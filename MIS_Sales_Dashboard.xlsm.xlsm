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Medha\Downloads\E_Commerce_Sales_Operations_MIS.xlsm\"/>
    </mc:Choice>
  </mc:AlternateContent>
  <xr:revisionPtr revIDLastSave="0" documentId="13_ncr:1_{CC6DCC64-238F-47D1-A189-45A3A468AD18}" xr6:coauthVersionLast="47" xr6:coauthVersionMax="47" xr10:uidLastSave="{00000000-0000-0000-0000-000000000000}"/>
  <bookViews>
    <workbookView xWindow="7428" yWindow="0" windowWidth="15708" windowHeight="13056" firstSheet="5" activeTab="7" xr2:uid="{00000000-000D-0000-FFFF-FFFF00000000}"/>
  </bookViews>
  <sheets>
    <sheet name="01_Raw_Data" sheetId="1" r:id="rId1"/>
    <sheet name="02_Master_Data" sheetId="3" r:id="rId2"/>
    <sheet name="03_Enriched_Data" sheetId="4" r:id="rId3"/>
    <sheet name="04_MIS_Report" sheetId="6" r:id="rId4"/>
    <sheet name="05_Pivot_Analysis" sheetId="7" r:id="rId5"/>
    <sheet name="06_MIS_Dashboard" sheetId="8" r:id="rId6"/>
    <sheet name="07_Control_Panel" sheetId="9" r:id="rId7"/>
    <sheet name="README_Raw_Data" sheetId="2" r:id="rId8"/>
  </sheets>
  <definedNames>
    <definedName name="_xlnm._FilterDatabase" localSheetId="0" hidden="1">'01_Raw_Data'!$A$1:$T$1201</definedName>
    <definedName name="Slicer_OrderStatus1">#N/A</definedName>
    <definedName name="Slicer_PaymentMethod1">#N/A</definedName>
    <definedName name="Slicer_Product">#N/A</definedName>
    <definedName name="Slicer_ReferralSource1">#N/A</definedName>
  </definedNames>
  <calcPr calcId="191029"/>
  <pivotCaches>
    <pivotCache cacheId="432"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4" l="1"/>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R392" i="4"/>
  <c r="R393" i="4"/>
  <c r="R394" i="4"/>
  <c r="R395" i="4"/>
  <c r="R396" i="4"/>
  <c r="R397" i="4"/>
  <c r="R398" i="4"/>
  <c r="R399" i="4"/>
  <c r="R400" i="4"/>
  <c r="R401" i="4"/>
  <c r="R402" i="4"/>
  <c r="R403" i="4"/>
  <c r="R404" i="4"/>
  <c r="R405" i="4"/>
  <c r="R406" i="4"/>
  <c r="R407" i="4"/>
  <c r="R408" i="4"/>
  <c r="R409" i="4"/>
  <c r="R410" i="4"/>
  <c r="R411" i="4"/>
  <c r="R412" i="4"/>
  <c r="R413" i="4"/>
  <c r="R414" i="4"/>
  <c r="R415" i="4"/>
  <c r="R416" i="4"/>
  <c r="R417" i="4"/>
  <c r="R418" i="4"/>
  <c r="R419" i="4"/>
  <c r="R420" i="4"/>
  <c r="R421" i="4"/>
  <c r="R422" i="4"/>
  <c r="R423" i="4"/>
  <c r="R424" i="4"/>
  <c r="R425" i="4"/>
  <c r="R426" i="4"/>
  <c r="R427" i="4"/>
  <c r="R428" i="4"/>
  <c r="R429" i="4"/>
  <c r="R430" i="4"/>
  <c r="R431" i="4"/>
  <c r="R432" i="4"/>
  <c r="R433" i="4"/>
  <c r="R434" i="4"/>
  <c r="R435" i="4"/>
  <c r="R436" i="4"/>
  <c r="R437" i="4"/>
  <c r="R438" i="4"/>
  <c r="R439" i="4"/>
  <c r="R440" i="4"/>
  <c r="R441" i="4"/>
  <c r="R442" i="4"/>
  <c r="R443" i="4"/>
  <c r="R444" i="4"/>
  <c r="R445" i="4"/>
  <c r="R446" i="4"/>
  <c r="R447" i="4"/>
  <c r="R448" i="4"/>
  <c r="R449" i="4"/>
  <c r="R450" i="4"/>
  <c r="R451" i="4"/>
  <c r="R452" i="4"/>
  <c r="R453" i="4"/>
  <c r="R454" i="4"/>
  <c r="R455" i="4"/>
  <c r="R456" i="4"/>
  <c r="R457" i="4"/>
  <c r="R458" i="4"/>
  <c r="R459" i="4"/>
  <c r="R460" i="4"/>
  <c r="R461" i="4"/>
  <c r="R462" i="4"/>
  <c r="R463" i="4"/>
  <c r="R464" i="4"/>
  <c r="R465" i="4"/>
  <c r="R466" i="4"/>
  <c r="R467" i="4"/>
  <c r="R468" i="4"/>
  <c r="R469" i="4"/>
  <c r="R470" i="4"/>
  <c r="R471" i="4"/>
  <c r="R472" i="4"/>
  <c r="R473" i="4"/>
  <c r="R474" i="4"/>
  <c r="R475" i="4"/>
  <c r="R476" i="4"/>
  <c r="R477" i="4"/>
  <c r="R478" i="4"/>
  <c r="R479" i="4"/>
  <c r="R480" i="4"/>
  <c r="R481" i="4"/>
  <c r="R482" i="4"/>
  <c r="R483" i="4"/>
  <c r="R484" i="4"/>
  <c r="R485" i="4"/>
  <c r="R486" i="4"/>
  <c r="R487" i="4"/>
  <c r="R488" i="4"/>
  <c r="R489" i="4"/>
  <c r="R490" i="4"/>
  <c r="R491" i="4"/>
  <c r="R492" i="4"/>
  <c r="R493" i="4"/>
  <c r="R494" i="4"/>
  <c r="R495" i="4"/>
  <c r="R496" i="4"/>
  <c r="R497" i="4"/>
  <c r="R498" i="4"/>
  <c r="R499" i="4"/>
  <c r="R500" i="4"/>
  <c r="R501" i="4"/>
  <c r="R502" i="4"/>
  <c r="R503" i="4"/>
  <c r="R504" i="4"/>
  <c r="R505" i="4"/>
  <c r="R506" i="4"/>
  <c r="R507" i="4"/>
  <c r="R508" i="4"/>
  <c r="R509" i="4"/>
  <c r="R510" i="4"/>
  <c r="R511" i="4"/>
  <c r="R512" i="4"/>
  <c r="R513" i="4"/>
  <c r="R514" i="4"/>
  <c r="R515" i="4"/>
  <c r="R516" i="4"/>
  <c r="R517" i="4"/>
  <c r="R518" i="4"/>
  <c r="R519" i="4"/>
  <c r="R520" i="4"/>
  <c r="R521" i="4"/>
  <c r="R522"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49" i="4"/>
  <c r="R550" i="4"/>
  <c r="R551" i="4"/>
  <c r="R552" i="4"/>
  <c r="R553" i="4"/>
  <c r="R554" i="4"/>
  <c r="R555" i="4"/>
  <c r="R556" i="4"/>
  <c r="R557" i="4"/>
  <c r="R558" i="4"/>
  <c r="R559" i="4"/>
  <c r="R560" i="4"/>
  <c r="R561" i="4"/>
  <c r="R562" i="4"/>
  <c r="R563" i="4"/>
  <c r="R564" i="4"/>
  <c r="R565" i="4"/>
  <c r="R566" i="4"/>
  <c r="R567" i="4"/>
  <c r="R568" i="4"/>
  <c r="R569" i="4"/>
  <c r="R570" i="4"/>
  <c r="R571" i="4"/>
  <c r="R572" i="4"/>
  <c r="R573" i="4"/>
  <c r="R574" i="4"/>
  <c r="R575" i="4"/>
  <c r="R576" i="4"/>
  <c r="R577" i="4"/>
  <c r="R578" i="4"/>
  <c r="R579" i="4"/>
  <c r="R580" i="4"/>
  <c r="R581" i="4"/>
  <c r="R582" i="4"/>
  <c r="R583" i="4"/>
  <c r="R584" i="4"/>
  <c r="R585" i="4"/>
  <c r="R586" i="4"/>
  <c r="R587" i="4"/>
  <c r="R588" i="4"/>
  <c r="R589" i="4"/>
  <c r="R590" i="4"/>
  <c r="R591" i="4"/>
  <c r="R592" i="4"/>
  <c r="R593" i="4"/>
  <c r="R594" i="4"/>
  <c r="R595" i="4"/>
  <c r="R596" i="4"/>
  <c r="R597" i="4"/>
  <c r="R598" i="4"/>
  <c r="R599" i="4"/>
  <c r="R600" i="4"/>
  <c r="R601" i="4"/>
  <c r="R602" i="4"/>
  <c r="R603" i="4"/>
  <c r="R604" i="4"/>
  <c r="R605" i="4"/>
  <c r="R606" i="4"/>
  <c r="R607" i="4"/>
  <c r="R608" i="4"/>
  <c r="R609" i="4"/>
  <c r="R610" i="4"/>
  <c r="R611" i="4"/>
  <c r="R612" i="4"/>
  <c r="R613" i="4"/>
  <c r="R614" i="4"/>
  <c r="R615" i="4"/>
  <c r="R616" i="4"/>
  <c r="R617" i="4"/>
  <c r="R618" i="4"/>
  <c r="R619" i="4"/>
  <c r="R620" i="4"/>
  <c r="R621" i="4"/>
  <c r="R622" i="4"/>
  <c r="R623" i="4"/>
  <c r="R624" i="4"/>
  <c r="R625" i="4"/>
  <c r="R626" i="4"/>
  <c r="R627" i="4"/>
  <c r="R628" i="4"/>
  <c r="R629" i="4"/>
  <c r="R630" i="4"/>
  <c r="R631" i="4"/>
  <c r="R632" i="4"/>
  <c r="R633" i="4"/>
  <c r="R634" i="4"/>
  <c r="R635" i="4"/>
  <c r="R636" i="4"/>
  <c r="R637" i="4"/>
  <c r="R638" i="4"/>
  <c r="R639" i="4"/>
  <c r="R640" i="4"/>
  <c r="R641"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1000" i="4"/>
  <c r="R1001" i="4"/>
  <c r="R1002" i="4"/>
  <c r="R1003" i="4"/>
  <c r="R1004" i="4"/>
  <c r="R1005" i="4"/>
  <c r="R1006" i="4"/>
  <c r="R1007" i="4"/>
  <c r="R1008" i="4"/>
  <c r="R1009" i="4"/>
  <c r="R1010" i="4"/>
  <c r="R1011" i="4"/>
  <c r="R1012" i="4"/>
  <c r="R1013" i="4"/>
  <c r="R1014" i="4"/>
  <c r="R1015" i="4"/>
  <c r="R1016" i="4"/>
  <c r="R1017" i="4"/>
  <c r="R1018" i="4"/>
  <c r="R1019" i="4"/>
  <c r="R1020" i="4"/>
  <c r="R1021" i="4"/>
  <c r="R1022" i="4"/>
  <c r="R1023" i="4"/>
  <c r="R1024" i="4"/>
  <c r="R1025" i="4"/>
  <c r="R1026" i="4"/>
  <c r="R1027" i="4"/>
  <c r="R1028" i="4"/>
  <c r="R1029" i="4"/>
  <c r="R1030" i="4"/>
  <c r="R1031" i="4"/>
  <c r="R1032" i="4"/>
  <c r="R1033" i="4"/>
  <c r="R1034" i="4"/>
  <c r="R1035" i="4"/>
  <c r="R1036" i="4"/>
  <c r="R1037" i="4"/>
  <c r="R1038" i="4"/>
  <c r="R1039" i="4"/>
  <c r="R1040" i="4"/>
  <c r="R1041" i="4"/>
  <c r="R1042" i="4"/>
  <c r="R1043" i="4"/>
  <c r="R1044" i="4"/>
  <c r="R1045" i="4"/>
  <c r="R1046" i="4"/>
  <c r="R1047" i="4"/>
  <c r="R1048" i="4"/>
  <c r="R1049" i="4"/>
  <c r="R1050" i="4"/>
  <c r="R1051" i="4"/>
  <c r="R1052" i="4"/>
  <c r="R1053" i="4"/>
  <c r="R1054" i="4"/>
  <c r="R1055" i="4"/>
  <c r="R1056" i="4"/>
  <c r="R1057" i="4"/>
  <c r="R1058" i="4"/>
  <c r="R1059" i="4"/>
  <c r="R1060" i="4"/>
  <c r="R1061" i="4"/>
  <c r="R1062" i="4"/>
  <c r="R1063" i="4"/>
  <c r="R1064" i="4"/>
  <c r="R1065" i="4"/>
  <c r="R1066" i="4"/>
  <c r="R1067" i="4"/>
  <c r="R1068" i="4"/>
  <c r="R1069" i="4"/>
  <c r="R1070" i="4"/>
  <c r="R1071" i="4"/>
  <c r="R1072" i="4"/>
  <c r="R1073" i="4"/>
  <c r="R1074" i="4"/>
  <c r="R1075" i="4"/>
  <c r="R1076" i="4"/>
  <c r="R1077" i="4"/>
  <c r="R1078" i="4"/>
  <c r="R1079" i="4"/>
  <c r="R1080" i="4"/>
  <c r="R1081" i="4"/>
  <c r="R1082" i="4"/>
  <c r="R1083" i="4"/>
  <c r="R1084" i="4"/>
  <c r="R1085" i="4"/>
  <c r="R1086" i="4"/>
  <c r="R1087" i="4"/>
  <c r="R1088" i="4"/>
  <c r="R1089" i="4"/>
  <c r="R1090" i="4"/>
  <c r="R1091" i="4"/>
  <c r="R1092" i="4"/>
  <c r="R1093" i="4"/>
  <c r="R1094" i="4"/>
  <c r="R1095" i="4"/>
  <c r="R1096" i="4"/>
  <c r="R1097" i="4"/>
  <c r="R1098" i="4"/>
  <c r="R1099" i="4"/>
  <c r="R1100" i="4"/>
  <c r="R1101" i="4"/>
  <c r="R1102" i="4"/>
  <c r="R1103" i="4"/>
  <c r="R1104" i="4"/>
  <c r="R1105" i="4"/>
  <c r="R1106" i="4"/>
  <c r="R1107" i="4"/>
  <c r="R1108" i="4"/>
  <c r="R1109" i="4"/>
  <c r="R1110" i="4"/>
  <c r="R1111" i="4"/>
  <c r="R1112" i="4"/>
  <c r="R1113" i="4"/>
  <c r="R1114" i="4"/>
  <c r="R1115" i="4"/>
  <c r="R1116" i="4"/>
  <c r="R1117" i="4"/>
  <c r="R1118" i="4"/>
  <c r="R1119" i="4"/>
  <c r="R1120" i="4"/>
  <c r="R1121" i="4"/>
  <c r="R1122" i="4"/>
  <c r="R1123" i="4"/>
  <c r="R1124" i="4"/>
  <c r="R1125" i="4"/>
  <c r="R1126" i="4"/>
  <c r="R1127" i="4"/>
  <c r="R1128" i="4"/>
  <c r="R1129" i="4"/>
  <c r="R1130" i="4"/>
  <c r="R1131" i="4"/>
  <c r="R1132" i="4"/>
  <c r="R1133" i="4"/>
  <c r="R1134" i="4"/>
  <c r="R1135" i="4"/>
  <c r="R1136" i="4"/>
  <c r="R1137" i="4"/>
  <c r="R1138" i="4"/>
  <c r="R1139" i="4"/>
  <c r="R1140" i="4"/>
  <c r="R1141" i="4"/>
  <c r="R1142" i="4"/>
  <c r="R1143" i="4"/>
  <c r="R1144" i="4"/>
  <c r="R1145" i="4"/>
  <c r="R1146" i="4"/>
  <c r="R1147" i="4"/>
  <c r="R1148" i="4"/>
  <c r="R1149" i="4"/>
  <c r="R1150" i="4"/>
  <c r="R1151" i="4"/>
  <c r="R1152" i="4"/>
  <c r="R1153" i="4"/>
  <c r="R1154" i="4"/>
  <c r="R1155" i="4"/>
  <c r="R1156" i="4"/>
  <c r="R1157" i="4"/>
  <c r="R1158" i="4"/>
  <c r="R1159" i="4"/>
  <c r="R1160" i="4"/>
  <c r="R1161" i="4"/>
  <c r="R1162" i="4"/>
  <c r="R1163" i="4"/>
  <c r="R1164" i="4"/>
  <c r="R1165" i="4"/>
  <c r="R1166" i="4"/>
  <c r="R1167" i="4"/>
  <c r="R1168" i="4"/>
  <c r="R1169" i="4"/>
  <c r="R1170" i="4"/>
  <c r="R1171" i="4"/>
  <c r="R1172" i="4"/>
  <c r="R1173" i="4"/>
  <c r="R1174" i="4"/>
  <c r="R1175" i="4"/>
  <c r="R1176" i="4"/>
  <c r="R1177" i="4"/>
  <c r="R1178" i="4"/>
  <c r="R1179" i="4"/>
  <c r="R1180" i="4"/>
  <c r="R1181" i="4"/>
  <c r="R1182" i="4"/>
  <c r="R1183" i="4"/>
  <c r="R1184" i="4"/>
  <c r="R1185" i="4"/>
  <c r="R1186" i="4"/>
  <c r="R1187" i="4"/>
  <c r="R1188" i="4"/>
  <c r="R1189" i="4"/>
  <c r="R1190" i="4"/>
  <c r="R1191" i="4"/>
  <c r="R1192" i="4"/>
  <c r="R1193" i="4"/>
  <c r="R1194" i="4"/>
  <c r="R1195" i="4"/>
  <c r="R1196" i="4"/>
  <c r="R1197" i="4"/>
  <c r="R1198" i="4"/>
  <c r="R1199" i="4"/>
  <c r="R1200" i="4"/>
  <c r="R1201" i="4"/>
  <c r="B13" i="6"/>
  <c r="M5" i="8" s="1"/>
  <c r="B14" i="6"/>
  <c r="P5" i="8" s="1"/>
  <c r="B12" i="6"/>
  <c r="A5" i="8"/>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Q763" i="4"/>
  <c r="Q764" i="4"/>
  <c r="Q765" i="4"/>
  <c r="Q766" i="4"/>
  <c r="Q767" i="4"/>
  <c r="Q768" i="4"/>
  <c r="Q769" i="4"/>
  <c r="Q770" i="4"/>
  <c r="Q771" i="4"/>
  <c r="Q772" i="4"/>
  <c r="Q773" i="4"/>
  <c r="Q774" i="4"/>
  <c r="Q775" i="4"/>
  <c r="Q776" i="4"/>
  <c r="Q777" i="4"/>
  <c r="Q778" i="4"/>
  <c r="Q779" i="4"/>
  <c r="Q780" i="4"/>
  <c r="Q781" i="4"/>
  <c r="Q782" i="4"/>
  <c r="Q783" i="4"/>
  <c r="Q784" i="4"/>
  <c r="Q785" i="4"/>
  <c r="Q786" i="4"/>
  <c r="Q787" i="4"/>
  <c r="Q788" i="4"/>
  <c r="Q789" i="4"/>
  <c r="Q790" i="4"/>
  <c r="Q791" i="4"/>
  <c r="Q792"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886" i="4"/>
  <c r="Q887" i="4"/>
  <c r="Q888" i="4"/>
  <c r="Q889" i="4"/>
  <c r="Q890" i="4"/>
  <c r="Q891" i="4"/>
  <c r="Q892" i="4"/>
  <c r="Q893" i="4"/>
  <c r="Q894" i="4"/>
  <c r="Q895" i="4"/>
  <c r="Q896" i="4"/>
  <c r="Q897" i="4"/>
  <c r="Q898" i="4"/>
  <c r="Q899" i="4"/>
  <c r="Q900" i="4"/>
  <c r="Q901" i="4"/>
  <c r="Q902" i="4"/>
  <c r="Q903" i="4"/>
  <c r="Q904" i="4"/>
  <c r="Q905" i="4"/>
  <c r="Q906" i="4"/>
  <c r="Q907" i="4"/>
  <c r="Q908" i="4"/>
  <c r="Q909" i="4"/>
  <c r="Q910" i="4"/>
  <c r="Q911" i="4"/>
  <c r="Q912" i="4"/>
  <c r="Q913" i="4"/>
  <c r="Q914" i="4"/>
  <c r="Q915" i="4"/>
  <c r="Q916" i="4"/>
  <c r="Q917" i="4"/>
  <c r="Q918" i="4"/>
  <c r="Q919" i="4"/>
  <c r="Q920" i="4"/>
  <c r="Q921" i="4"/>
  <c r="Q922" i="4"/>
  <c r="Q923" i="4"/>
  <c r="Q924" i="4"/>
  <c r="Q925" i="4"/>
  <c r="Q926" i="4"/>
  <c r="Q927" i="4"/>
  <c r="Q928" i="4"/>
  <c r="Q929" i="4"/>
  <c r="Q930" i="4"/>
  <c r="Q931" i="4"/>
  <c r="Q932" i="4"/>
  <c r="Q933" i="4"/>
  <c r="Q934" i="4"/>
  <c r="Q935" i="4"/>
  <c r="Q936" i="4"/>
  <c r="Q937" i="4"/>
  <c r="Q938" i="4"/>
  <c r="Q939" i="4"/>
  <c r="Q940" i="4"/>
  <c r="Q941" i="4"/>
  <c r="Q942" i="4"/>
  <c r="Q943" i="4"/>
  <c r="Q944" i="4"/>
  <c r="Q945" i="4"/>
  <c r="Q946" i="4"/>
  <c r="Q947" i="4"/>
  <c r="Q948" i="4"/>
  <c r="Q949" i="4"/>
  <c r="Q950" i="4"/>
  <c r="Q951" i="4"/>
  <c r="Q952" i="4"/>
  <c r="Q953" i="4"/>
  <c r="Q954" i="4"/>
  <c r="Q955" i="4"/>
  <c r="Q956" i="4"/>
  <c r="Q957" i="4"/>
  <c r="Q958" i="4"/>
  <c r="Q959" i="4"/>
  <c r="Q960" i="4"/>
  <c r="Q961" i="4"/>
  <c r="Q962" i="4"/>
  <c r="Q963" i="4"/>
  <c r="Q964" i="4"/>
  <c r="Q965" i="4"/>
  <c r="Q966" i="4"/>
  <c r="Q967" i="4"/>
  <c r="Q968" i="4"/>
  <c r="Q969" i="4"/>
  <c r="Q970" i="4"/>
  <c r="Q971" i="4"/>
  <c r="Q972" i="4"/>
  <c r="Q973" i="4"/>
  <c r="Q974" i="4"/>
  <c r="Q975" i="4"/>
  <c r="Q976" i="4"/>
  <c r="Q977" i="4"/>
  <c r="Q978" i="4"/>
  <c r="Q979" i="4"/>
  <c r="Q980" i="4"/>
  <c r="Q981" i="4"/>
  <c r="Q982" i="4"/>
  <c r="Q983" i="4"/>
  <c r="Q984" i="4"/>
  <c r="Q985" i="4"/>
  <c r="Q986" i="4"/>
  <c r="Q987" i="4"/>
  <c r="Q988" i="4"/>
  <c r="Q989" i="4"/>
  <c r="Q990" i="4"/>
  <c r="Q991" i="4"/>
  <c r="Q992" i="4"/>
  <c r="Q993" i="4"/>
  <c r="Q994" i="4"/>
  <c r="Q995" i="4"/>
  <c r="Q996" i="4"/>
  <c r="Q997" i="4"/>
  <c r="Q998" i="4"/>
  <c r="Q999" i="4"/>
  <c r="Q1000" i="4"/>
  <c r="Q1001" i="4"/>
  <c r="Q1002" i="4"/>
  <c r="Q1003" i="4"/>
  <c r="Q1004" i="4"/>
  <c r="Q1005" i="4"/>
  <c r="Q1006" i="4"/>
  <c r="Q1007" i="4"/>
  <c r="Q1008" i="4"/>
  <c r="Q1009" i="4"/>
  <c r="Q1010" i="4"/>
  <c r="Q1011" i="4"/>
  <c r="Q1012" i="4"/>
  <c r="Q1013" i="4"/>
  <c r="Q1014" i="4"/>
  <c r="Q1015" i="4"/>
  <c r="Q1016" i="4"/>
  <c r="Q1017" i="4"/>
  <c r="Q1018" i="4"/>
  <c r="Q1019" i="4"/>
  <c r="Q1020" i="4"/>
  <c r="Q1021" i="4"/>
  <c r="Q1022" i="4"/>
  <c r="Q1023" i="4"/>
  <c r="Q1024" i="4"/>
  <c r="Q1025" i="4"/>
  <c r="Q1026" i="4"/>
  <c r="Q1027" i="4"/>
  <c r="Q1028" i="4"/>
  <c r="Q1029" i="4"/>
  <c r="Q1030" i="4"/>
  <c r="Q1031" i="4"/>
  <c r="Q1032" i="4"/>
  <c r="Q1033" i="4"/>
  <c r="Q1034" i="4"/>
  <c r="Q1035" i="4"/>
  <c r="Q1036" i="4"/>
  <c r="Q1037" i="4"/>
  <c r="Q1038" i="4"/>
  <c r="Q1039" i="4"/>
  <c r="Q1040" i="4"/>
  <c r="Q1041" i="4"/>
  <c r="Q1042" i="4"/>
  <c r="Q1043" i="4"/>
  <c r="Q1044" i="4"/>
  <c r="Q1045" i="4"/>
  <c r="Q1046" i="4"/>
  <c r="Q1047" i="4"/>
  <c r="Q1048" i="4"/>
  <c r="Q1049" i="4"/>
  <c r="Q1050" i="4"/>
  <c r="Q1051" i="4"/>
  <c r="Q1052" i="4"/>
  <c r="Q1053" i="4"/>
  <c r="Q1054" i="4"/>
  <c r="Q1055" i="4"/>
  <c r="Q1056" i="4"/>
  <c r="Q1057" i="4"/>
  <c r="Q1058" i="4"/>
  <c r="Q1059" i="4"/>
  <c r="Q1060" i="4"/>
  <c r="Q1061" i="4"/>
  <c r="Q1062" i="4"/>
  <c r="Q1063" i="4"/>
  <c r="Q1064" i="4"/>
  <c r="Q1065" i="4"/>
  <c r="Q1066" i="4"/>
  <c r="Q1067" i="4"/>
  <c r="Q1068" i="4"/>
  <c r="Q1069" i="4"/>
  <c r="Q1070" i="4"/>
  <c r="Q1071" i="4"/>
  <c r="Q1072" i="4"/>
  <c r="Q1073" i="4"/>
  <c r="Q1074" i="4"/>
  <c r="Q1075" i="4"/>
  <c r="Q1076" i="4"/>
  <c r="Q1077" i="4"/>
  <c r="Q1078" i="4"/>
  <c r="Q1079" i="4"/>
  <c r="Q1080" i="4"/>
  <c r="Q1081" i="4"/>
  <c r="Q1082" i="4"/>
  <c r="Q1083" i="4"/>
  <c r="Q1084" i="4"/>
  <c r="Q1085" i="4"/>
  <c r="Q1086" i="4"/>
  <c r="Q1087" i="4"/>
  <c r="Q1088" i="4"/>
  <c r="Q1089" i="4"/>
  <c r="Q1090" i="4"/>
  <c r="Q1091" i="4"/>
  <c r="Q1092" i="4"/>
  <c r="Q1093" i="4"/>
  <c r="Q1094" i="4"/>
  <c r="Q1095" i="4"/>
  <c r="Q1096" i="4"/>
  <c r="Q1097" i="4"/>
  <c r="Q1098" i="4"/>
  <c r="Q1099" i="4"/>
  <c r="Q1100" i="4"/>
  <c r="Q1101" i="4"/>
  <c r="Q1102" i="4"/>
  <c r="Q1103" i="4"/>
  <c r="Q1104" i="4"/>
  <c r="Q1105" i="4"/>
  <c r="Q1106" i="4"/>
  <c r="Q1107" i="4"/>
  <c r="Q1108" i="4"/>
  <c r="Q1109" i="4"/>
  <c r="Q1110" i="4"/>
  <c r="Q1111" i="4"/>
  <c r="Q1112" i="4"/>
  <c r="Q1113" i="4"/>
  <c r="Q1114" i="4"/>
  <c r="Q1115" i="4"/>
  <c r="Q1116" i="4"/>
  <c r="Q1117" i="4"/>
  <c r="Q1118" i="4"/>
  <c r="Q1119" i="4"/>
  <c r="Q1120" i="4"/>
  <c r="Q1121" i="4"/>
  <c r="Q1122" i="4"/>
  <c r="Q1123" i="4"/>
  <c r="Q1124" i="4"/>
  <c r="Q1125" i="4"/>
  <c r="Q1126" i="4"/>
  <c r="Q1127" i="4"/>
  <c r="Q1128" i="4"/>
  <c r="Q1129" i="4"/>
  <c r="Q1130" i="4"/>
  <c r="Q1131" i="4"/>
  <c r="Q1132" i="4"/>
  <c r="Q1133" i="4"/>
  <c r="Q1134" i="4"/>
  <c r="Q1135" i="4"/>
  <c r="Q1136" i="4"/>
  <c r="Q1137" i="4"/>
  <c r="Q1138" i="4"/>
  <c r="Q1139" i="4"/>
  <c r="Q1140" i="4"/>
  <c r="Q1141" i="4"/>
  <c r="Q1142" i="4"/>
  <c r="Q1143" i="4"/>
  <c r="Q1144" i="4"/>
  <c r="Q1145" i="4"/>
  <c r="Q1146" i="4"/>
  <c r="Q1147" i="4"/>
  <c r="Q1148" i="4"/>
  <c r="Q1149" i="4"/>
  <c r="Q1150" i="4"/>
  <c r="Q1151" i="4"/>
  <c r="Q1152" i="4"/>
  <c r="Q1153" i="4"/>
  <c r="Q1154" i="4"/>
  <c r="Q1155" i="4"/>
  <c r="Q1156" i="4"/>
  <c r="Q1157" i="4"/>
  <c r="Q1158" i="4"/>
  <c r="Q1159" i="4"/>
  <c r="Q1160" i="4"/>
  <c r="Q1161" i="4"/>
  <c r="Q1162" i="4"/>
  <c r="Q1163" i="4"/>
  <c r="Q1164" i="4"/>
  <c r="Q1165" i="4"/>
  <c r="Q1166" i="4"/>
  <c r="Q1167" i="4"/>
  <c r="Q1168" i="4"/>
  <c r="Q1169" i="4"/>
  <c r="Q1170" i="4"/>
  <c r="Q1171" i="4"/>
  <c r="Q1172" i="4"/>
  <c r="Q1173" i="4"/>
  <c r="Q1174" i="4"/>
  <c r="Q1175" i="4"/>
  <c r="Q1176" i="4"/>
  <c r="Q1177" i="4"/>
  <c r="Q1178" i="4"/>
  <c r="Q1179" i="4"/>
  <c r="Q1180" i="4"/>
  <c r="Q1181" i="4"/>
  <c r="Q1182" i="4"/>
  <c r="Q1183" i="4"/>
  <c r="Q1184" i="4"/>
  <c r="Q1185" i="4"/>
  <c r="Q1186" i="4"/>
  <c r="Q1187" i="4"/>
  <c r="Q1188" i="4"/>
  <c r="Q1189" i="4"/>
  <c r="Q1190" i="4"/>
  <c r="Q1191" i="4"/>
  <c r="Q1192" i="4"/>
  <c r="Q1193" i="4"/>
  <c r="Q1194" i="4"/>
  <c r="Q1195" i="4"/>
  <c r="Q1196" i="4"/>
  <c r="Q1197" i="4"/>
  <c r="Q1198" i="4"/>
  <c r="Q1199" i="4"/>
  <c r="Q1200" i="4"/>
  <c r="Q1201" i="4"/>
  <c r="O2" i="1"/>
  <c r="B9" i="6"/>
  <c r="B11" i="6"/>
  <c r="B10" i="6"/>
  <c r="B8" i="6"/>
  <c r="B7" i="6"/>
  <c r="J5" i="8" s="1"/>
  <c r="B5" i="6"/>
  <c r="D5" i="8" s="1"/>
  <c r="B4" i="6"/>
  <c r="O2" i="4"/>
  <c r="N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067"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T1201" i="1"/>
  <c r="S1201" i="1"/>
  <c r="Q1201" i="1"/>
  <c r="P1201" i="1"/>
  <c r="O1201" i="1"/>
  <c r="T1200" i="1"/>
  <c r="S1200" i="1"/>
  <c r="Q1200" i="1"/>
  <c r="P1200" i="1"/>
  <c r="O1200" i="1"/>
  <c r="T1199" i="1"/>
  <c r="S1199" i="1"/>
  <c r="Q1199" i="1"/>
  <c r="P1199" i="1"/>
  <c r="O1199" i="1"/>
  <c r="T1198" i="1"/>
  <c r="S1198" i="1"/>
  <c r="Q1198" i="1"/>
  <c r="P1198" i="1"/>
  <c r="O1198" i="1"/>
  <c r="T1197" i="1"/>
  <c r="S1197" i="1"/>
  <c r="Q1197" i="1"/>
  <c r="P1197" i="1"/>
  <c r="O1197" i="1"/>
  <c r="T1196" i="1"/>
  <c r="S1196" i="1"/>
  <c r="Q1196" i="1"/>
  <c r="P1196" i="1"/>
  <c r="O1196" i="1"/>
  <c r="T1195" i="1"/>
  <c r="S1195" i="1"/>
  <c r="Q1195" i="1"/>
  <c r="P1195" i="1"/>
  <c r="O1195" i="1"/>
  <c r="T1194" i="1"/>
  <c r="S1194" i="1"/>
  <c r="Q1194" i="1"/>
  <c r="P1194" i="1"/>
  <c r="O1194" i="1"/>
  <c r="T1193" i="1"/>
  <c r="S1193" i="1"/>
  <c r="Q1193" i="1"/>
  <c r="P1193" i="1"/>
  <c r="O1193" i="1"/>
  <c r="T1192" i="1"/>
  <c r="S1192" i="1"/>
  <c r="Q1192" i="1"/>
  <c r="P1192" i="1"/>
  <c r="O1192" i="1"/>
  <c r="T1191" i="1"/>
  <c r="S1191" i="1"/>
  <c r="Q1191" i="1"/>
  <c r="P1191" i="1"/>
  <c r="O1191" i="1"/>
  <c r="T1190" i="1"/>
  <c r="S1190" i="1"/>
  <c r="Q1190" i="1"/>
  <c r="P1190" i="1"/>
  <c r="O1190" i="1"/>
  <c r="T1189" i="1"/>
  <c r="S1189" i="1"/>
  <c r="Q1189" i="1"/>
  <c r="P1189" i="1"/>
  <c r="O1189" i="1"/>
  <c r="T1188" i="1"/>
  <c r="S1188" i="1"/>
  <c r="Q1188" i="1"/>
  <c r="P1188" i="1"/>
  <c r="O1188" i="1"/>
  <c r="T1187" i="1"/>
  <c r="S1187" i="1"/>
  <c r="Q1187" i="1"/>
  <c r="P1187" i="1"/>
  <c r="O1187" i="1"/>
  <c r="T1186" i="1"/>
  <c r="S1186" i="1"/>
  <c r="Q1186" i="1"/>
  <c r="P1186" i="1"/>
  <c r="O1186" i="1"/>
  <c r="T1185" i="1"/>
  <c r="S1185" i="1"/>
  <c r="Q1185" i="1"/>
  <c r="P1185" i="1"/>
  <c r="O1185" i="1"/>
  <c r="T1184" i="1"/>
  <c r="S1184" i="1"/>
  <c r="Q1184" i="1"/>
  <c r="P1184" i="1"/>
  <c r="O1184" i="1"/>
  <c r="T1183" i="1"/>
  <c r="S1183" i="1"/>
  <c r="Q1183" i="1"/>
  <c r="P1183" i="1"/>
  <c r="O1183" i="1"/>
  <c r="T1182" i="1"/>
  <c r="S1182" i="1"/>
  <c r="Q1182" i="1"/>
  <c r="P1182" i="1"/>
  <c r="O1182" i="1"/>
  <c r="T1181" i="1"/>
  <c r="S1181" i="1"/>
  <c r="Q1181" i="1"/>
  <c r="P1181" i="1"/>
  <c r="O1181" i="1"/>
  <c r="T1180" i="1"/>
  <c r="S1180" i="1"/>
  <c r="Q1180" i="1"/>
  <c r="P1180" i="1"/>
  <c r="O1180" i="1"/>
  <c r="T1179" i="1"/>
  <c r="S1179" i="1"/>
  <c r="Q1179" i="1"/>
  <c r="P1179" i="1"/>
  <c r="O1179" i="1"/>
  <c r="T1178" i="1"/>
  <c r="S1178" i="1"/>
  <c r="Q1178" i="1"/>
  <c r="P1178" i="1"/>
  <c r="O1178" i="1"/>
  <c r="T1177" i="1"/>
  <c r="S1177" i="1"/>
  <c r="Q1177" i="1"/>
  <c r="P1177" i="1"/>
  <c r="O1177" i="1"/>
  <c r="T1176" i="1"/>
  <c r="S1176" i="1"/>
  <c r="Q1176" i="1"/>
  <c r="P1176" i="1"/>
  <c r="O1176" i="1"/>
  <c r="T1175" i="1"/>
  <c r="S1175" i="1"/>
  <c r="Q1175" i="1"/>
  <c r="P1175" i="1"/>
  <c r="O1175" i="1"/>
  <c r="T1174" i="1"/>
  <c r="S1174" i="1"/>
  <c r="Q1174" i="1"/>
  <c r="P1174" i="1"/>
  <c r="O1174" i="1"/>
  <c r="T1173" i="1"/>
  <c r="S1173" i="1"/>
  <c r="Q1173" i="1"/>
  <c r="P1173" i="1"/>
  <c r="O1173" i="1"/>
  <c r="T1172" i="1"/>
  <c r="S1172" i="1"/>
  <c r="Q1172" i="1"/>
  <c r="P1172" i="1"/>
  <c r="O1172" i="1"/>
  <c r="T1171" i="1"/>
  <c r="S1171" i="1"/>
  <c r="Q1171" i="1"/>
  <c r="P1171" i="1"/>
  <c r="O1171" i="1"/>
  <c r="T1170" i="1"/>
  <c r="S1170" i="1"/>
  <c r="Q1170" i="1"/>
  <c r="P1170" i="1"/>
  <c r="O1170" i="1"/>
  <c r="T1169" i="1"/>
  <c r="S1169" i="1"/>
  <c r="Q1169" i="1"/>
  <c r="P1169" i="1"/>
  <c r="O1169" i="1"/>
  <c r="T1168" i="1"/>
  <c r="S1168" i="1"/>
  <c r="Q1168" i="1"/>
  <c r="P1168" i="1"/>
  <c r="O1168" i="1"/>
  <c r="T1167" i="1"/>
  <c r="S1167" i="1"/>
  <c r="Q1167" i="1"/>
  <c r="P1167" i="1"/>
  <c r="O1167" i="1"/>
  <c r="T1166" i="1"/>
  <c r="S1166" i="1"/>
  <c r="Q1166" i="1"/>
  <c r="P1166" i="1"/>
  <c r="O1166" i="1"/>
  <c r="T1165" i="1"/>
  <c r="S1165" i="1"/>
  <c r="Q1165" i="1"/>
  <c r="P1165" i="1"/>
  <c r="O1165" i="1"/>
  <c r="T1164" i="1"/>
  <c r="S1164" i="1"/>
  <c r="Q1164" i="1"/>
  <c r="P1164" i="1"/>
  <c r="O1164" i="1"/>
  <c r="T1163" i="1"/>
  <c r="S1163" i="1"/>
  <c r="Q1163" i="1"/>
  <c r="P1163" i="1"/>
  <c r="O1163" i="1"/>
  <c r="T1162" i="1"/>
  <c r="S1162" i="1"/>
  <c r="Q1162" i="1"/>
  <c r="P1162" i="1"/>
  <c r="O1162" i="1"/>
  <c r="T1161" i="1"/>
  <c r="S1161" i="1"/>
  <c r="Q1161" i="1"/>
  <c r="P1161" i="1"/>
  <c r="O1161" i="1"/>
  <c r="T1160" i="1"/>
  <c r="S1160" i="1"/>
  <c r="Q1160" i="1"/>
  <c r="P1160" i="1"/>
  <c r="O1160" i="1"/>
  <c r="T1159" i="1"/>
  <c r="S1159" i="1"/>
  <c r="Q1159" i="1"/>
  <c r="P1159" i="1"/>
  <c r="O1159" i="1"/>
  <c r="T1158" i="1"/>
  <c r="S1158" i="1"/>
  <c r="Q1158" i="1"/>
  <c r="P1158" i="1"/>
  <c r="O1158" i="1"/>
  <c r="T1157" i="1"/>
  <c r="S1157" i="1"/>
  <c r="Q1157" i="1"/>
  <c r="P1157" i="1"/>
  <c r="O1157" i="1"/>
  <c r="T1156" i="1"/>
  <c r="S1156" i="1"/>
  <c r="Q1156" i="1"/>
  <c r="P1156" i="1"/>
  <c r="O1156" i="1"/>
  <c r="T1155" i="1"/>
  <c r="S1155" i="1"/>
  <c r="Q1155" i="1"/>
  <c r="P1155" i="1"/>
  <c r="O1155" i="1"/>
  <c r="T1154" i="1"/>
  <c r="S1154" i="1"/>
  <c r="Q1154" i="1"/>
  <c r="P1154" i="1"/>
  <c r="O1154" i="1"/>
  <c r="T1153" i="1"/>
  <c r="S1153" i="1"/>
  <c r="Q1153" i="1"/>
  <c r="P1153" i="1"/>
  <c r="O1153" i="1"/>
  <c r="T1152" i="1"/>
  <c r="S1152" i="1"/>
  <c r="Q1152" i="1"/>
  <c r="P1152" i="1"/>
  <c r="O1152" i="1"/>
  <c r="T1151" i="1"/>
  <c r="S1151" i="1"/>
  <c r="Q1151" i="1"/>
  <c r="P1151" i="1"/>
  <c r="O1151" i="1"/>
  <c r="T1150" i="1"/>
  <c r="S1150" i="1"/>
  <c r="Q1150" i="1"/>
  <c r="P1150" i="1"/>
  <c r="O1150" i="1"/>
  <c r="T1149" i="1"/>
  <c r="S1149" i="1"/>
  <c r="Q1149" i="1"/>
  <c r="P1149" i="1"/>
  <c r="O1149" i="1"/>
  <c r="T1148" i="1"/>
  <c r="S1148" i="1"/>
  <c r="Q1148" i="1"/>
  <c r="P1148" i="1"/>
  <c r="O1148" i="1"/>
  <c r="T1147" i="1"/>
  <c r="S1147" i="1"/>
  <c r="Q1147" i="1"/>
  <c r="P1147" i="1"/>
  <c r="O1147" i="1"/>
  <c r="T1146" i="1"/>
  <c r="S1146" i="1"/>
  <c r="Q1146" i="1"/>
  <c r="P1146" i="1"/>
  <c r="O1146" i="1"/>
  <c r="T1145" i="1"/>
  <c r="S1145" i="1"/>
  <c r="Q1145" i="1"/>
  <c r="P1145" i="1"/>
  <c r="O1145" i="1"/>
  <c r="T1144" i="1"/>
  <c r="S1144" i="1"/>
  <c r="Q1144" i="1"/>
  <c r="P1144" i="1"/>
  <c r="O1144" i="1"/>
  <c r="T1143" i="1"/>
  <c r="S1143" i="1"/>
  <c r="Q1143" i="1"/>
  <c r="P1143" i="1"/>
  <c r="O1143" i="1"/>
  <c r="T1142" i="1"/>
  <c r="S1142" i="1"/>
  <c r="Q1142" i="1"/>
  <c r="P1142" i="1"/>
  <c r="O1142" i="1"/>
  <c r="T1141" i="1"/>
  <c r="S1141" i="1"/>
  <c r="Q1141" i="1"/>
  <c r="P1141" i="1"/>
  <c r="O1141" i="1"/>
  <c r="T1140" i="1"/>
  <c r="S1140" i="1"/>
  <c r="Q1140" i="1"/>
  <c r="P1140" i="1"/>
  <c r="O1140" i="1"/>
  <c r="T1139" i="1"/>
  <c r="S1139" i="1"/>
  <c r="Q1139" i="1"/>
  <c r="P1139" i="1"/>
  <c r="O1139" i="1"/>
  <c r="T1138" i="1"/>
  <c r="S1138" i="1"/>
  <c r="Q1138" i="1"/>
  <c r="P1138" i="1"/>
  <c r="O1138" i="1"/>
  <c r="T1137" i="1"/>
  <c r="S1137" i="1"/>
  <c r="Q1137" i="1"/>
  <c r="P1137" i="1"/>
  <c r="O1137" i="1"/>
  <c r="T1136" i="1"/>
  <c r="S1136" i="1"/>
  <c r="Q1136" i="1"/>
  <c r="P1136" i="1"/>
  <c r="O1136" i="1"/>
  <c r="T1135" i="1"/>
  <c r="S1135" i="1"/>
  <c r="Q1135" i="1"/>
  <c r="P1135" i="1"/>
  <c r="O1135" i="1"/>
  <c r="T1134" i="1"/>
  <c r="S1134" i="1"/>
  <c r="Q1134" i="1"/>
  <c r="P1134" i="1"/>
  <c r="O1134" i="1"/>
  <c r="T1133" i="1"/>
  <c r="S1133" i="1"/>
  <c r="Q1133" i="1"/>
  <c r="P1133" i="1"/>
  <c r="O1133" i="1"/>
  <c r="T1132" i="1"/>
  <c r="S1132" i="1"/>
  <c r="Q1132" i="1"/>
  <c r="P1132" i="1"/>
  <c r="O1132" i="1"/>
  <c r="T1131" i="1"/>
  <c r="S1131" i="1"/>
  <c r="Q1131" i="1"/>
  <c r="P1131" i="1"/>
  <c r="O1131" i="1"/>
  <c r="T1130" i="1"/>
  <c r="S1130" i="1"/>
  <c r="Q1130" i="1"/>
  <c r="P1130" i="1"/>
  <c r="O1130" i="1"/>
  <c r="T1129" i="1"/>
  <c r="S1129" i="1"/>
  <c r="Q1129" i="1"/>
  <c r="P1129" i="1"/>
  <c r="O1129" i="1"/>
  <c r="T1128" i="1"/>
  <c r="S1128" i="1"/>
  <c r="Q1128" i="1"/>
  <c r="P1128" i="1"/>
  <c r="O1128" i="1"/>
  <c r="T1127" i="1"/>
  <c r="S1127" i="1"/>
  <c r="Q1127" i="1"/>
  <c r="P1127" i="1"/>
  <c r="O1127" i="1"/>
  <c r="T1126" i="1"/>
  <c r="S1126" i="1"/>
  <c r="Q1126" i="1"/>
  <c r="P1126" i="1"/>
  <c r="O1126" i="1"/>
  <c r="T1125" i="1"/>
  <c r="S1125" i="1"/>
  <c r="Q1125" i="1"/>
  <c r="P1125" i="1"/>
  <c r="O1125" i="1"/>
  <c r="T1124" i="1"/>
  <c r="S1124" i="1"/>
  <c r="Q1124" i="1"/>
  <c r="P1124" i="1"/>
  <c r="O1124" i="1"/>
  <c r="T1123" i="1"/>
  <c r="S1123" i="1"/>
  <c r="Q1123" i="1"/>
  <c r="P1123" i="1"/>
  <c r="O1123" i="1"/>
  <c r="T1122" i="1"/>
  <c r="S1122" i="1"/>
  <c r="Q1122" i="1"/>
  <c r="P1122" i="1"/>
  <c r="O1122" i="1"/>
  <c r="T1121" i="1"/>
  <c r="S1121" i="1"/>
  <c r="Q1121" i="1"/>
  <c r="P1121" i="1"/>
  <c r="O1121" i="1"/>
  <c r="T1120" i="1"/>
  <c r="S1120" i="1"/>
  <c r="Q1120" i="1"/>
  <c r="P1120" i="1"/>
  <c r="O1120" i="1"/>
  <c r="T1119" i="1"/>
  <c r="S1119" i="1"/>
  <c r="Q1119" i="1"/>
  <c r="P1119" i="1"/>
  <c r="O1119" i="1"/>
  <c r="T1118" i="1"/>
  <c r="S1118" i="1"/>
  <c r="Q1118" i="1"/>
  <c r="P1118" i="1"/>
  <c r="O1118" i="1"/>
  <c r="T1117" i="1"/>
  <c r="S1117" i="1"/>
  <c r="Q1117" i="1"/>
  <c r="P1117" i="1"/>
  <c r="O1117" i="1"/>
  <c r="T1116" i="1"/>
  <c r="S1116" i="1"/>
  <c r="Q1116" i="1"/>
  <c r="P1116" i="1"/>
  <c r="O1116" i="1"/>
  <c r="T1115" i="1"/>
  <c r="S1115" i="1"/>
  <c r="Q1115" i="1"/>
  <c r="P1115" i="1"/>
  <c r="O1115" i="1"/>
  <c r="T1114" i="1"/>
  <c r="S1114" i="1"/>
  <c r="Q1114" i="1"/>
  <c r="P1114" i="1"/>
  <c r="O1114" i="1"/>
  <c r="T1113" i="1"/>
  <c r="S1113" i="1"/>
  <c r="Q1113" i="1"/>
  <c r="P1113" i="1"/>
  <c r="O1113" i="1"/>
  <c r="T1112" i="1"/>
  <c r="S1112" i="1"/>
  <c r="Q1112" i="1"/>
  <c r="P1112" i="1"/>
  <c r="O1112" i="1"/>
  <c r="T1111" i="1"/>
  <c r="S1111" i="1"/>
  <c r="Q1111" i="1"/>
  <c r="P1111" i="1"/>
  <c r="O1111" i="1"/>
  <c r="T1110" i="1"/>
  <c r="S1110" i="1"/>
  <c r="Q1110" i="1"/>
  <c r="P1110" i="1"/>
  <c r="O1110" i="1"/>
  <c r="T1109" i="1"/>
  <c r="S1109" i="1"/>
  <c r="Q1109" i="1"/>
  <c r="P1109" i="1"/>
  <c r="O1109" i="1"/>
  <c r="T1108" i="1"/>
  <c r="S1108" i="1"/>
  <c r="Q1108" i="1"/>
  <c r="P1108" i="1"/>
  <c r="O1108" i="1"/>
  <c r="T1107" i="1"/>
  <c r="S1107" i="1"/>
  <c r="Q1107" i="1"/>
  <c r="P1107" i="1"/>
  <c r="O1107" i="1"/>
  <c r="T1106" i="1"/>
  <c r="S1106" i="1"/>
  <c r="Q1106" i="1"/>
  <c r="P1106" i="1"/>
  <c r="O1106" i="1"/>
  <c r="T1105" i="1"/>
  <c r="S1105" i="1"/>
  <c r="Q1105" i="1"/>
  <c r="P1105" i="1"/>
  <c r="O1105" i="1"/>
  <c r="T1104" i="1"/>
  <c r="S1104" i="1"/>
  <c r="Q1104" i="1"/>
  <c r="P1104" i="1"/>
  <c r="O1104" i="1"/>
  <c r="T1103" i="1"/>
  <c r="S1103" i="1"/>
  <c r="Q1103" i="1"/>
  <c r="P1103" i="1"/>
  <c r="O1103" i="1"/>
  <c r="T1102" i="1"/>
  <c r="S1102" i="1"/>
  <c r="Q1102" i="1"/>
  <c r="P1102" i="1"/>
  <c r="O1102" i="1"/>
  <c r="T1101" i="1"/>
  <c r="S1101" i="1"/>
  <c r="Q1101" i="1"/>
  <c r="P1101" i="1"/>
  <c r="O1101" i="1"/>
  <c r="T1100" i="1"/>
  <c r="S1100" i="1"/>
  <c r="Q1100" i="1"/>
  <c r="P1100" i="1"/>
  <c r="O1100" i="1"/>
  <c r="T1099" i="1"/>
  <c r="S1099" i="1"/>
  <c r="Q1099" i="1"/>
  <c r="P1099" i="1"/>
  <c r="O1099" i="1"/>
  <c r="T1098" i="1"/>
  <c r="S1098" i="1"/>
  <c r="Q1098" i="1"/>
  <c r="P1098" i="1"/>
  <c r="O1098" i="1"/>
  <c r="T1097" i="1"/>
  <c r="S1097" i="1"/>
  <c r="Q1097" i="1"/>
  <c r="P1097" i="1"/>
  <c r="O1097" i="1"/>
  <c r="T1096" i="1"/>
  <c r="S1096" i="1"/>
  <c r="Q1096" i="1"/>
  <c r="P1096" i="1"/>
  <c r="O1096" i="1"/>
  <c r="T1095" i="1"/>
  <c r="S1095" i="1"/>
  <c r="Q1095" i="1"/>
  <c r="P1095" i="1"/>
  <c r="O1095" i="1"/>
  <c r="T1094" i="1"/>
  <c r="S1094" i="1"/>
  <c r="Q1094" i="1"/>
  <c r="P1094" i="1"/>
  <c r="O1094" i="1"/>
  <c r="T1093" i="1"/>
  <c r="S1093" i="1"/>
  <c r="Q1093" i="1"/>
  <c r="P1093" i="1"/>
  <c r="O1093" i="1"/>
  <c r="T1092" i="1"/>
  <c r="S1092" i="1"/>
  <c r="Q1092" i="1"/>
  <c r="P1092" i="1"/>
  <c r="O1092" i="1"/>
  <c r="T1091" i="1"/>
  <c r="S1091" i="1"/>
  <c r="Q1091" i="1"/>
  <c r="P1091" i="1"/>
  <c r="O1091" i="1"/>
  <c r="T1090" i="1"/>
  <c r="S1090" i="1"/>
  <c r="Q1090" i="1"/>
  <c r="P1090" i="1"/>
  <c r="O1090" i="1"/>
  <c r="T1089" i="1"/>
  <c r="S1089" i="1"/>
  <c r="Q1089" i="1"/>
  <c r="P1089" i="1"/>
  <c r="O1089" i="1"/>
  <c r="T1088" i="1"/>
  <c r="S1088" i="1"/>
  <c r="Q1088" i="1"/>
  <c r="P1088" i="1"/>
  <c r="O1088" i="1"/>
  <c r="T1087" i="1"/>
  <c r="S1087" i="1"/>
  <c r="Q1087" i="1"/>
  <c r="P1087" i="1"/>
  <c r="O1087" i="1"/>
  <c r="T1086" i="1"/>
  <c r="S1086" i="1"/>
  <c r="Q1086" i="1"/>
  <c r="P1086" i="1"/>
  <c r="O1086" i="1"/>
  <c r="T1085" i="1"/>
  <c r="S1085" i="1"/>
  <c r="Q1085" i="1"/>
  <c r="P1085" i="1"/>
  <c r="O1085" i="1"/>
  <c r="T1084" i="1"/>
  <c r="S1084" i="1"/>
  <c r="Q1084" i="1"/>
  <c r="P1084" i="1"/>
  <c r="O1084" i="1"/>
  <c r="T1083" i="1"/>
  <c r="S1083" i="1"/>
  <c r="Q1083" i="1"/>
  <c r="P1083" i="1"/>
  <c r="O1083" i="1"/>
  <c r="T1082" i="1"/>
  <c r="S1082" i="1"/>
  <c r="Q1082" i="1"/>
  <c r="P1082" i="1"/>
  <c r="O1082" i="1"/>
  <c r="T1081" i="1"/>
  <c r="S1081" i="1"/>
  <c r="Q1081" i="1"/>
  <c r="P1081" i="1"/>
  <c r="O1081" i="1"/>
  <c r="T1080" i="1"/>
  <c r="S1080" i="1"/>
  <c r="Q1080" i="1"/>
  <c r="P1080" i="1"/>
  <c r="O1080" i="1"/>
  <c r="T1079" i="1"/>
  <c r="S1079" i="1"/>
  <c r="Q1079" i="1"/>
  <c r="P1079" i="1"/>
  <c r="O1079" i="1"/>
  <c r="T1078" i="1"/>
  <c r="S1078" i="1"/>
  <c r="Q1078" i="1"/>
  <c r="P1078" i="1"/>
  <c r="O1078" i="1"/>
  <c r="T1077" i="1"/>
  <c r="S1077" i="1"/>
  <c r="Q1077" i="1"/>
  <c r="P1077" i="1"/>
  <c r="O1077" i="1"/>
  <c r="T1076" i="1"/>
  <c r="S1076" i="1"/>
  <c r="Q1076" i="1"/>
  <c r="P1076" i="1"/>
  <c r="O1076" i="1"/>
  <c r="T1075" i="1"/>
  <c r="S1075" i="1"/>
  <c r="Q1075" i="1"/>
  <c r="P1075" i="1"/>
  <c r="O1075" i="1"/>
  <c r="T1074" i="1"/>
  <c r="S1074" i="1"/>
  <c r="Q1074" i="1"/>
  <c r="P1074" i="1"/>
  <c r="O1074" i="1"/>
  <c r="T1073" i="1"/>
  <c r="S1073" i="1"/>
  <c r="Q1073" i="1"/>
  <c r="P1073" i="1"/>
  <c r="O1073" i="1"/>
  <c r="T1072" i="1"/>
  <c r="S1072" i="1"/>
  <c r="Q1072" i="1"/>
  <c r="P1072" i="1"/>
  <c r="O1072" i="1"/>
  <c r="T1071" i="1"/>
  <c r="S1071" i="1"/>
  <c r="Q1071" i="1"/>
  <c r="P1071" i="1"/>
  <c r="O1071" i="1"/>
  <c r="T1070" i="1"/>
  <c r="S1070" i="1"/>
  <c r="Q1070" i="1"/>
  <c r="P1070" i="1"/>
  <c r="O1070" i="1"/>
  <c r="T1069" i="1"/>
  <c r="S1069" i="1"/>
  <c r="Q1069" i="1"/>
  <c r="P1069" i="1"/>
  <c r="O1069" i="1"/>
  <c r="T1068" i="1"/>
  <c r="S1068" i="1"/>
  <c r="Q1068" i="1"/>
  <c r="P1068" i="1"/>
  <c r="O1068" i="1"/>
  <c r="T1067" i="1"/>
  <c r="S1067" i="1"/>
  <c r="Q1067" i="1"/>
  <c r="P1067" i="1"/>
  <c r="O1067" i="1"/>
  <c r="T1066" i="1"/>
  <c r="S1066" i="1"/>
  <c r="Q1066" i="1"/>
  <c r="P1066" i="1"/>
  <c r="O1066" i="1"/>
  <c r="T1065" i="1"/>
  <c r="S1065" i="1"/>
  <c r="Q1065" i="1"/>
  <c r="P1065" i="1"/>
  <c r="O1065" i="1"/>
  <c r="T1064" i="1"/>
  <c r="S1064" i="1"/>
  <c r="Q1064" i="1"/>
  <c r="P1064" i="1"/>
  <c r="O1064" i="1"/>
  <c r="T1063" i="1"/>
  <c r="S1063" i="1"/>
  <c r="Q1063" i="1"/>
  <c r="P1063" i="1"/>
  <c r="O1063" i="1"/>
  <c r="T1062" i="1"/>
  <c r="S1062" i="1"/>
  <c r="Q1062" i="1"/>
  <c r="P1062" i="1"/>
  <c r="O1062" i="1"/>
  <c r="T1061" i="1"/>
  <c r="S1061" i="1"/>
  <c r="Q1061" i="1"/>
  <c r="P1061" i="1"/>
  <c r="O1061" i="1"/>
  <c r="T1060" i="1"/>
  <c r="S1060" i="1"/>
  <c r="Q1060" i="1"/>
  <c r="P1060" i="1"/>
  <c r="O1060" i="1"/>
  <c r="T1059" i="1"/>
  <c r="S1059" i="1"/>
  <c r="Q1059" i="1"/>
  <c r="P1059" i="1"/>
  <c r="O1059" i="1"/>
  <c r="T1058" i="1"/>
  <c r="S1058" i="1"/>
  <c r="Q1058" i="1"/>
  <c r="P1058" i="1"/>
  <c r="O1058" i="1"/>
  <c r="T1057" i="1"/>
  <c r="S1057" i="1"/>
  <c r="Q1057" i="1"/>
  <c r="P1057" i="1"/>
  <c r="O1057" i="1"/>
  <c r="T1056" i="1"/>
  <c r="S1056" i="1"/>
  <c r="Q1056" i="1"/>
  <c r="P1056" i="1"/>
  <c r="O1056" i="1"/>
  <c r="T1055" i="1"/>
  <c r="S1055" i="1"/>
  <c r="Q1055" i="1"/>
  <c r="P1055" i="1"/>
  <c r="O1055" i="1"/>
  <c r="T1054" i="1"/>
  <c r="S1054" i="1"/>
  <c r="Q1054" i="1"/>
  <c r="P1054" i="1"/>
  <c r="O1054" i="1"/>
  <c r="T1053" i="1"/>
  <c r="S1053" i="1"/>
  <c r="Q1053" i="1"/>
  <c r="P1053" i="1"/>
  <c r="O1053" i="1"/>
  <c r="T1052" i="1"/>
  <c r="S1052" i="1"/>
  <c r="Q1052" i="1"/>
  <c r="P1052" i="1"/>
  <c r="O1052" i="1"/>
  <c r="T1051" i="1"/>
  <c r="S1051" i="1"/>
  <c r="Q1051" i="1"/>
  <c r="P1051" i="1"/>
  <c r="O1051" i="1"/>
  <c r="T1050" i="1"/>
  <c r="S1050" i="1"/>
  <c r="Q1050" i="1"/>
  <c r="P1050" i="1"/>
  <c r="O1050" i="1"/>
  <c r="T1049" i="1"/>
  <c r="S1049" i="1"/>
  <c r="Q1049" i="1"/>
  <c r="P1049" i="1"/>
  <c r="O1049" i="1"/>
  <c r="T1048" i="1"/>
  <c r="S1048" i="1"/>
  <c r="Q1048" i="1"/>
  <c r="P1048" i="1"/>
  <c r="O1048" i="1"/>
  <c r="T1047" i="1"/>
  <c r="S1047" i="1"/>
  <c r="Q1047" i="1"/>
  <c r="P1047" i="1"/>
  <c r="O1047" i="1"/>
  <c r="T1046" i="1"/>
  <c r="S1046" i="1"/>
  <c r="Q1046" i="1"/>
  <c r="P1046" i="1"/>
  <c r="O1046" i="1"/>
  <c r="T1045" i="1"/>
  <c r="S1045" i="1"/>
  <c r="Q1045" i="1"/>
  <c r="P1045" i="1"/>
  <c r="O1045" i="1"/>
  <c r="T1044" i="1"/>
  <c r="S1044" i="1"/>
  <c r="Q1044" i="1"/>
  <c r="P1044" i="1"/>
  <c r="O1044" i="1"/>
  <c r="T1043" i="1"/>
  <c r="S1043" i="1"/>
  <c r="Q1043" i="1"/>
  <c r="P1043" i="1"/>
  <c r="O1043" i="1"/>
  <c r="T1042" i="1"/>
  <c r="S1042" i="1"/>
  <c r="Q1042" i="1"/>
  <c r="P1042" i="1"/>
  <c r="O1042" i="1"/>
  <c r="T1041" i="1"/>
  <c r="S1041" i="1"/>
  <c r="Q1041" i="1"/>
  <c r="P1041" i="1"/>
  <c r="O1041" i="1"/>
  <c r="T1040" i="1"/>
  <c r="S1040" i="1"/>
  <c r="Q1040" i="1"/>
  <c r="P1040" i="1"/>
  <c r="O1040" i="1"/>
  <c r="T1039" i="1"/>
  <c r="S1039" i="1"/>
  <c r="Q1039" i="1"/>
  <c r="P1039" i="1"/>
  <c r="O1039" i="1"/>
  <c r="T1038" i="1"/>
  <c r="S1038" i="1"/>
  <c r="Q1038" i="1"/>
  <c r="P1038" i="1"/>
  <c r="O1038" i="1"/>
  <c r="T1037" i="1"/>
  <c r="S1037" i="1"/>
  <c r="Q1037" i="1"/>
  <c r="P1037" i="1"/>
  <c r="O1037" i="1"/>
  <c r="T1036" i="1"/>
  <c r="S1036" i="1"/>
  <c r="Q1036" i="1"/>
  <c r="P1036" i="1"/>
  <c r="O1036" i="1"/>
  <c r="T1035" i="1"/>
  <c r="S1035" i="1"/>
  <c r="Q1035" i="1"/>
  <c r="P1035" i="1"/>
  <c r="O1035" i="1"/>
  <c r="T1034" i="1"/>
  <c r="S1034" i="1"/>
  <c r="Q1034" i="1"/>
  <c r="P1034" i="1"/>
  <c r="O1034" i="1"/>
  <c r="T1033" i="1"/>
  <c r="S1033" i="1"/>
  <c r="Q1033" i="1"/>
  <c r="P1033" i="1"/>
  <c r="O1033" i="1"/>
  <c r="T1032" i="1"/>
  <c r="S1032" i="1"/>
  <c r="Q1032" i="1"/>
  <c r="P1032" i="1"/>
  <c r="O1032" i="1"/>
  <c r="T1031" i="1"/>
  <c r="S1031" i="1"/>
  <c r="Q1031" i="1"/>
  <c r="P1031" i="1"/>
  <c r="O1031" i="1"/>
  <c r="T1030" i="1"/>
  <c r="S1030" i="1"/>
  <c r="Q1030" i="1"/>
  <c r="P1030" i="1"/>
  <c r="O1030" i="1"/>
  <c r="T1029" i="1"/>
  <c r="S1029" i="1"/>
  <c r="Q1029" i="1"/>
  <c r="P1029" i="1"/>
  <c r="O1029" i="1"/>
  <c r="T1028" i="1"/>
  <c r="S1028" i="1"/>
  <c r="Q1028" i="1"/>
  <c r="P1028" i="1"/>
  <c r="O1028" i="1"/>
  <c r="T1027" i="1"/>
  <c r="S1027" i="1"/>
  <c r="Q1027" i="1"/>
  <c r="P1027" i="1"/>
  <c r="O1027" i="1"/>
  <c r="T1026" i="1"/>
  <c r="S1026" i="1"/>
  <c r="Q1026" i="1"/>
  <c r="P1026" i="1"/>
  <c r="O1026" i="1"/>
  <c r="T1025" i="1"/>
  <c r="S1025" i="1"/>
  <c r="Q1025" i="1"/>
  <c r="P1025" i="1"/>
  <c r="O1025" i="1"/>
  <c r="T1024" i="1"/>
  <c r="S1024" i="1"/>
  <c r="Q1024" i="1"/>
  <c r="P1024" i="1"/>
  <c r="O1024" i="1"/>
  <c r="T1023" i="1"/>
  <c r="S1023" i="1"/>
  <c r="Q1023" i="1"/>
  <c r="P1023" i="1"/>
  <c r="O1023" i="1"/>
  <c r="T1022" i="1"/>
  <c r="S1022" i="1"/>
  <c r="Q1022" i="1"/>
  <c r="P1022" i="1"/>
  <c r="O1022" i="1"/>
  <c r="T1021" i="1"/>
  <c r="S1021" i="1"/>
  <c r="Q1021" i="1"/>
  <c r="P1021" i="1"/>
  <c r="O1021" i="1"/>
  <c r="T1020" i="1"/>
  <c r="S1020" i="1"/>
  <c r="Q1020" i="1"/>
  <c r="P1020" i="1"/>
  <c r="O1020" i="1"/>
  <c r="T1019" i="1"/>
  <c r="S1019" i="1"/>
  <c r="Q1019" i="1"/>
  <c r="P1019" i="1"/>
  <c r="O1019" i="1"/>
  <c r="T1018" i="1"/>
  <c r="S1018" i="1"/>
  <c r="Q1018" i="1"/>
  <c r="P1018" i="1"/>
  <c r="O1018" i="1"/>
  <c r="T1017" i="1"/>
  <c r="S1017" i="1"/>
  <c r="Q1017" i="1"/>
  <c r="P1017" i="1"/>
  <c r="O1017" i="1"/>
  <c r="T1016" i="1"/>
  <c r="S1016" i="1"/>
  <c r="Q1016" i="1"/>
  <c r="P1016" i="1"/>
  <c r="O1016" i="1"/>
  <c r="T1015" i="1"/>
  <c r="S1015" i="1"/>
  <c r="Q1015" i="1"/>
  <c r="P1015" i="1"/>
  <c r="O1015" i="1"/>
  <c r="T1014" i="1"/>
  <c r="S1014" i="1"/>
  <c r="Q1014" i="1"/>
  <c r="P1014" i="1"/>
  <c r="O1014" i="1"/>
  <c r="T1013" i="1"/>
  <c r="S1013" i="1"/>
  <c r="Q1013" i="1"/>
  <c r="P1013" i="1"/>
  <c r="O1013" i="1"/>
  <c r="T1012" i="1"/>
  <c r="S1012" i="1"/>
  <c r="Q1012" i="1"/>
  <c r="P1012" i="1"/>
  <c r="O1012" i="1"/>
  <c r="T1011" i="1"/>
  <c r="S1011" i="1"/>
  <c r="Q1011" i="1"/>
  <c r="P1011" i="1"/>
  <c r="O1011" i="1"/>
  <c r="T1010" i="1"/>
  <c r="S1010" i="1"/>
  <c r="Q1010" i="1"/>
  <c r="P1010" i="1"/>
  <c r="O1010" i="1"/>
  <c r="T1009" i="1"/>
  <c r="S1009" i="1"/>
  <c r="Q1009" i="1"/>
  <c r="P1009" i="1"/>
  <c r="O1009" i="1"/>
  <c r="T1008" i="1"/>
  <c r="S1008" i="1"/>
  <c r="Q1008" i="1"/>
  <c r="P1008" i="1"/>
  <c r="O1008" i="1"/>
  <c r="T1007" i="1"/>
  <c r="S1007" i="1"/>
  <c r="Q1007" i="1"/>
  <c r="P1007" i="1"/>
  <c r="O1007" i="1"/>
  <c r="T1006" i="1"/>
  <c r="S1006" i="1"/>
  <c r="Q1006" i="1"/>
  <c r="P1006" i="1"/>
  <c r="O1006" i="1"/>
  <c r="T1005" i="1"/>
  <c r="S1005" i="1"/>
  <c r="Q1005" i="1"/>
  <c r="P1005" i="1"/>
  <c r="O1005" i="1"/>
  <c r="T1004" i="1"/>
  <c r="S1004" i="1"/>
  <c r="Q1004" i="1"/>
  <c r="P1004" i="1"/>
  <c r="O1004" i="1"/>
  <c r="T1003" i="1"/>
  <c r="S1003" i="1"/>
  <c r="Q1003" i="1"/>
  <c r="P1003" i="1"/>
  <c r="O1003" i="1"/>
  <c r="T1002" i="1"/>
  <c r="S1002" i="1"/>
  <c r="Q1002" i="1"/>
  <c r="P1002" i="1"/>
  <c r="O1002" i="1"/>
  <c r="T1001" i="1"/>
  <c r="S1001" i="1"/>
  <c r="Q1001" i="1"/>
  <c r="P1001" i="1"/>
  <c r="O1001" i="1"/>
  <c r="T1000" i="1"/>
  <c r="S1000" i="1"/>
  <c r="Q1000" i="1"/>
  <c r="P1000" i="1"/>
  <c r="O1000" i="1"/>
  <c r="T999" i="1"/>
  <c r="S999" i="1"/>
  <c r="Q999" i="1"/>
  <c r="P999" i="1"/>
  <c r="O999" i="1"/>
  <c r="T998" i="1"/>
  <c r="S998" i="1"/>
  <c r="Q998" i="1"/>
  <c r="P998" i="1"/>
  <c r="O998" i="1"/>
  <c r="T997" i="1"/>
  <c r="S997" i="1"/>
  <c r="Q997" i="1"/>
  <c r="P997" i="1"/>
  <c r="O997" i="1"/>
  <c r="T996" i="1"/>
  <c r="S996" i="1"/>
  <c r="Q996" i="1"/>
  <c r="P996" i="1"/>
  <c r="O996" i="1"/>
  <c r="T995" i="1"/>
  <c r="S995" i="1"/>
  <c r="Q995" i="1"/>
  <c r="P995" i="1"/>
  <c r="O995" i="1"/>
  <c r="T994" i="1"/>
  <c r="S994" i="1"/>
  <c r="Q994" i="1"/>
  <c r="P994" i="1"/>
  <c r="O994" i="1"/>
  <c r="T993" i="1"/>
  <c r="S993" i="1"/>
  <c r="Q993" i="1"/>
  <c r="P993" i="1"/>
  <c r="O993" i="1"/>
  <c r="T992" i="1"/>
  <c r="S992" i="1"/>
  <c r="Q992" i="1"/>
  <c r="P992" i="1"/>
  <c r="O992" i="1"/>
  <c r="T991" i="1"/>
  <c r="S991" i="1"/>
  <c r="Q991" i="1"/>
  <c r="P991" i="1"/>
  <c r="O991" i="1"/>
  <c r="T990" i="1"/>
  <c r="S990" i="1"/>
  <c r="Q990" i="1"/>
  <c r="P990" i="1"/>
  <c r="O990" i="1"/>
  <c r="T989" i="1"/>
  <c r="S989" i="1"/>
  <c r="Q989" i="1"/>
  <c r="P989" i="1"/>
  <c r="O989" i="1"/>
  <c r="T988" i="1"/>
  <c r="S988" i="1"/>
  <c r="Q988" i="1"/>
  <c r="P988" i="1"/>
  <c r="O988" i="1"/>
  <c r="T987" i="1"/>
  <c r="S987" i="1"/>
  <c r="Q987" i="1"/>
  <c r="P987" i="1"/>
  <c r="O987" i="1"/>
  <c r="T986" i="1"/>
  <c r="S986" i="1"/>
  <c r="Q986" i="1"/>
  <c r="P986" i="1"/>
  <c r="O986" i="1"/>
  <c r="T985" i="1"/>
  <c r="S985" i="1"/>
  <c r="Q985" i="1"/>
  <c r="P985" i="1"/>
  <c r="O985" i="1"/>
  <c r="T984" i="1"/>
  <c r="S984" i="1"/>
  <c r="Q984" i="1"/>
  <c r="P984" i="1"/>
  <c r="O984" i="1"/>
  <c r="T983" i="1"/>
  <c r="S983" i="1"/>
  <c r="Q983" i="1"/>
  <c r="P983" i="1"/>
  <c r="O983" i="1"/>
  <c r="T982" i="1"/>
  <c r="S982" i="1"/>
  <c r="Q982" i="1"/>
  <c r="P982" i="1"/>
  <c r="O982" i="1"/>
  <c r="T981" i="1"/>
  <c r="S981" i="1"/>
  <c r="Q981" i="1"/>
  <c r="P981" i="1"/>
  <c r="O981" i="1"/>
  <c r="T980" i="1"/>
  <c r="S980" i="1"/>
  <c r="Q980" i="1"/>
  <c r="P980" i="1"/>
  <c r="O980" i="1"/>
  <c r="T979" i="1"/>
  <c r="S979" i="1"/>
  <c r="Q979" i="1"/>
  <c r="P979" i="1"/>
  <c r="O979" i="1"/>
  <c r="T978" i="1"/>
  <c r="S978" i="1"/>
  <c r="Q978" i="1"/>
  <c r="P978" i="1"/>
  <c r="O978" i="1"/>
  <c r="T977" i="1"/>
  <c r="S977" i="1"/>
  <c r="Q977" i="1"/>
  <c r="P977" i="1"/>
  <c r="O977" i="1"/>
  <c r="T976" i="1"/>
  <c r="S976" i="1"/>
  <c r="Q976" i="1"/>
  <c r="P976" i="1"/>
  <c r="O976" i="1"/>
  <c r="T975" i="1"/>
  <c r="S975" i="1"/>
  <c r="Q975" i="1"/>
  <c r="P975" i="1"/>
  <c r="O975" i="1"/>
  <c r="T974" i="1"/>
  <c r="S974" i="1"/>
  <c r="Q974" i="1"/>
  <c r="P974" i="1"/>
  <c r="O974" i="1"/>
  <c r="T973" i="1"/>
  <c r="S973" i="1"/>
  <c r="Q973" i="1"/>
  <c r="P973" i="1"/>
  <c r="O973" i="1"/>
  <c r="T972" i="1"/>
  <c r="S972" i="1"/>
  <c r="Q972" i="1"/>
  <c r="P972" i="1"/>
  <c r="O972" i="1"/>
  <c r="T971" i="1"/>
  <c r="S971" i="1"/>
  <c r="Q971" i="1"/>
  <c r="P971" i="1"/>
  <c r="O971" i="1"/>
  <c r="T970" i="1"/>
  <c r="S970" i="1"/>
  <c r="Q970" i="1"/>
  <c r="P970" i="1"/>
  <c r="O970" i="1"/>
  <c r="T969" i="1"/>
  <c r="S969" i="1"/>
  <c r="Q969" i="1"/>
  <c r="P969" i="1"/>
  <c r="O969" i="1"/>
  <c r="T968" i="1"/>
  <c r="S968" i="1"/>
  <c r="Q968" i="1"/>
  <c r="P968" i="1"/>
  <c r="O968" i="1"/>
  <c r="T967" i="1"/>
  <c r="S967" i="1"/>
  <c r="Q967" i="1"/>
  <c r="P967" i="1"/>
  <c r="O967" i="1"/>
  <c r="T966" i="1"/>
  <c r="S966" i="1"/>
  <c r="Q966" i="1"/>
  <c r="P966" i="1"/>
  <c r="O966" i="1"/>
  <c r="T965" i="1"/>
  <c r="S965" i="1"/>
  <c r="Q965" i="1"/>
  <c r="P965" i="1"/>
  <c r="O965" i="1"/>
  <c r="T964" i="1"/>
  <c r="S964" i="1"/>
  <c r="Q964" i="1"/>
  <c r="P964" i="1"/>
  <c r="O964" i="1"/>
  <c r="T963" i="1"/>
  <c r="S963" i="1"/>
  <c r="Q963" i="1"/>
  <c r="P963" i="1"/>
  <c r="O963" i="1"/>
  <c r="T962" i="1"/>
  <c r="S962" i="1"/>
  <c r="Q962" i="1"/>
  <c r="P962" i="1"/>
  <c r="O962" i="1"/>
  <c r="T961" i="1"/>
  <c r="S961" i="1"/>
  <c r="Q961" i="1"/>
  <c r="P961" i="1"/>
  <c r="O961" i="1"/>
  <c r="T960" i="1"/>
  <c r="S960" i="1"/>
  <c r="Q960" i="1"/>
  <c r="P960" i="1"/>
  <c r="O960" i="1"/>
  <c r="T959" i="1"/>
  <c r="S959" i="1"/>
  <c r="Q959" i="1"/>
  <c r="P959" i="1"/>
  <c r="O959" i="1"/>
  <c r="T958" i="1"/>
  <c r="S958" i="1"/>
  <c r="Q958" i="1"/>
  <c r="P958" i="1"/>
  <c r="O958" i="1"/>
  <c r="T957" i="1"/>
  <c r="S957" i="1"/>
  <c r="Q957" i="1"/>
  <c r="P957" i="1"/>
  <c r="O957" i="1"/>
  <c r="T956" i="1"/>
  <c r="S956" i="1"/>
  <c r="Q956" i="1"/>
  <c r="P956" i="1"/>
  <c r="O956" i="1"/>
  <c r="T955" i="1"/>
  <c r="S955" i="1"/>
  <c r="Q955" i="1"/>
  <c r="P955" i="1"/>
  <c r="O955" i="1"/>
  <c r="T954" i="1"/>
  <c r="S954" i="1"/>
  <c r="Q954" i="1"/>
  <c r="P954" i="1"/>
  <c r="O954" i="1"/>
  <c r="T953" i="1"/>
  <c r="S953" i="1"/>
  <c r="Q953" i="1"/>
  <c r="P953" i="1"/>
  <c r="O953" i="1"/>
  <c r="T952" i="1"/>
  <c r="S952" i="1"/>
  <c r="Q952" i="1"/>
  <c r="P952" i="1"/>
  <c r="O952" i="1"/>
  <c r="T951" i="1"/>
  <c r="S951" i="1"/>
  <c r="Q951" i="1"/>
  <c r="P951" i="1"/>
  <c r="O951" i="1"/>
  <c r="T950" i="1"/>
  <c r="S950" i="1"/>
  <c r="Q950" i="1"/>
  <c r="P950" i="1"/>
  <c r="O950" i="1"/>
  <c r="T949" i="1"/>
  <c r="S949" i="1"/>
  <c r="Q949" i="1"/>
  <c r="P949" i="1"/>
  <c r="O949" i="1"/>
  <c r="T948" i="1"/>
  <c r="S948" i="1"/>
  <c r="Q948" i="1"/>
  <c r="P948" i="1"/>
  <c r="O948" i="1"/>
  <c r="T947" i="1"/>
  <c r="S947" i="1"/>
  <c r="Q947" i="1"/>
  <c r="P947" i="1"/>
  <c r="O947" i="1"/>
  <c r="T946" i="1"/>
  <c r="S946" i="1"/>
  <c r="Q946" i="1"/>
  <c r="P946" i="1"/>
  <c r="O946" i="1"/>
  <c r="T945" i="1"/>
  <c r="S945" i="1"/>
  <c r="Q945" i="1"/>
  <c r="P945" i="1"/>
  <c r="O945" i="1"/>
  <c r="T944" i="1"/>
  <c r="S944" i="1"/>
  <c r="Q944" i="1"/>
  <c r="P944" i="1"/>
  <c r="O944" i="1"/>
  <c r="T943" i="1"/>
  <c r="S943" i="1"/>
  <c r="Q943" i="1"/>
  <c r="P943" i="1"/>
  <c r="O943" i="1"/>
  <c r="T942" i="1"/>
  <c r="S942" i="1"/>
  <c r="Q942" i="1"/>
  <c r="P942" i="1"/>
  <c r="O942" i="1"/>
  <c r="T941" i="1"/>
  <c r="S941" i="1"/>
  <c r="Q941" i="1"/>
  <c r="P941" i="1"/>
  <c r="O941" i="1"/>
  <c r="T940" i="1"/>
  <c r="S940" i="1"/>
  <c r="Q940" i="1"/>
  <c r="P940" i="1"/>
  <c r="O940" i="1"/>
  <c r="T939" i="1"/>
  <c r="S939" i="1"/>
  <c r="Q939" i="1"/>
  <c r="P939" i="1"/>
  <c r="O939" i="1"/>
  <c r="T938" i="1"/>
  <c r="S938" i="1"/>
  <c r="Q938" i="1"/>
  <c r="P938" i="1"/>
  <c r="O938" i="1"/>
  <c r="T937" i="1"/>
  <c r="S937" i="1"/>
  <c r="Q937" i="1"/>
  <c r="P937" i="1"/>
  <c r="O937" i="1"/>
  <c r="T936" i="1"/>
  <c r="S936" i="1"/>
  <c r="Q936" i="1"/>
  <c r="P936" i="1"/>
  <c r="O936" i="1"/>
  <c r="T935" i="1"/>
  <c r="S935" i="1"/>
  <c r="Q935" i="1"/>
  <c r="P935" i="1"/>
  <c r="O935" i="1"/>
  <c r="T934" i="1"/>
  <c r="S934" i="1"/>
  <c r="Q934" i="1"/>
  <c r="P934" i="1"/>
  <c r="O934" i="1"/>
  <c r="T933" i="1"/>
  <c r="S933" i="1"/>
  <c r="Q933" i="1"/>
  <c r="P933" i="1"/>
  <c r="O933" i="1"/>
  <c r="T932" i="1"/>
  <c r="S932" i="1"/>
  <c r="Q932" i="1"/>
  <c r="P932" i="1"/>
  <c r="O932" i="1"/>
  <c r="T931" i="1"/>
  <c r="S931" i="1"/>
  <c r="Q931" i="1"/>
  <c r="P931" i="1"/>
  <c r="O931" i="1"/>
  <c r="T930" i="1"/>
  <c r="S930" i="1"/>
  <c r="Q930" i="1"/>
  <c r="P930" i="1"/>
  <c r="O930" i="1"/>
  <c r="T929" i="1"/>
  <c r="S929" i="1"/>
  <c r="Q929" i="1"/>
  <c r="P929" i="1"/>
  <c r="O929" i="1"/>
  <c r="T928" i="1"/>
  <c r="S928" i="1"/>
  <c r="Q928" i="1"/>
  <c r="P928" i="1"/>
  <c r="O928" i="1"/>
  <c r="T927" i="1"/>
  <c r="S927" i="1"/>
  <c r="Q927" i="1"/>
  <c r="P927" i="1"/>
  <c r="O927" i="1"/>
  <c r="T926" i="1"/>
  <c r="S926" i="1"/>
  <c r="Q926" i="1"/>
  <c r="P926" i="1"/>
  <c r="O926" i="1"/>
  <c r="T925" i="1"/>
  <c r="S925" i="1"/>
  <c r="Q925" i="1"/>
  <c r="P925" i="1"/>
  <c r="O925" i="1"/>
  <c r="T924" i="1"/>
  <c r="S924" i="1"/>
  <c r="Q924" i="1"/>
  <c r="P924" i="1"/>
  <c r="O924" i="1"/>
  <c r="T923" i="1"/>
  <c r="S923" i="1"/>
  <c r="Q923" i="1"/>
  <c r="P923" i="1"/>
  <c r="O923" i="1"/>
  <c r="T922" i="1"/>
  <c r="S922" i="1"/>
  <c r="Q922" i="1"/>
  <c r="P922" i="1"/>
  <c r="O922" i="1"/>
  <c r="T921" i="1"/>
  <c r="S921" i="1"/>
  <c r="Q921" i="1"/>
  <c r="P921" i="1"/>
  <c r="O921" i="1"/>
  <c r="T920" i="1"/>
  <c r="S920" i="1"/>
  <c r="Q920" i="1"/>
  <c r="P920" i="1"/>
  <c r="O920" i="1"/>
  <c r="T919" i="1"/>
  <c r="S919" i="1"/>
  <c r="Q919" i="1"/>
  <c r="P919" i="1"/>
  <c r="O919" i="1"/>
  <c r="T918" i="1"/>
  <c r="S918" i="1"/>
  <c r="Q918" i="1"/>
  <c r="P918" i="1"/>
  <c r="O918" i="1"/>
  <c r="T917" i="1"/>
  <c r="S917" i="1"/>
  <c r="Q917" i="1"/>
  <c r="P917" i="1"/>
  <c r="O917" i="1"/>
  <c r="T916" i="1"/>
  <c r="S916" i="1"/>
  <c r="Q916" i="1"/>
  <c r="P916" i="1"/>
  <c r="O916" i="1"/>
  <c r="T915" i="1"/>
  <c r="S915" i="1"/>
  <c r="Q915" i="1"/>
  <c r="P915" i="1"/>
  <c r="O915" i="1"/>
  <c r="T914" i="1"/>
  <c r="S914" i="1"/>
  <c r="Q914" i="1"/>
  <c r="P914" i="1"/>
  <c r="O914" i="1"/>
  <c r="T913" i="1"/>
  <c r="S913" i="1"/>
  <c r="Q913" i="1"/>
  <c r="P913" i="1"/>
  <c r="O913" i="1"/>
  <c r="T912" i="1"/>
  <c r="S912" i="1"/>
  <c r="Q912" i="1"/>
  <c r="P912" i="1"/>
  <c r="O912" i="1"/>
  <c r="T911" i="1"/>
  <c r="S911" i="1"/>
  <c r="Q911" i="1"/>
  <c r="P911" i="1"/>
  <c r="O911" i="1"/>
  <c r="T910" i="1"/>
  <c r="S910" i="1"/>
  <c r="Q910" i="1"/>
  <c r="P910" i="1"/>
  <c r="O910" i="1"/>
  <c r="T909" i="1"/>
  <c r="S909" i="1"/>
  <c r="Q909" i="1"/>
  <c r="P909" i="1"/>
  <c r="O909" i="1"/>
  <c r="T908" i="1"/>
  <c r="S908" i="1"/>
  <c r="Q908" i="1"/>
  <c r="P908" i="1"/>
  <c r="O908" i="1"/>
  <c r="T907" i="1"/>
  <c r="S907" i="1"/>
  <c r="Q907" i="1"/>
  <c r="P907" i="1"/>
  <c r="O907" i="1"/>
  <c r="T906" i="1"/>
  <c r="S906" i="1"/>
  <c r="Q906" i="1"/>
  <c r="P906" i="1"/>
  <c r="O906" i="1"/>
  <c r="T905" i="1"/>
  <c r="S905" i="1"/>
  <c r="Q905" i="1"/>
  <c r="P905" i="1"/>
  <c r="O905" i="1"/>
  <c r="T904" i="1"/>
  <c r="S904" i="1"/>
  <c r="Q904" i="1"/>
  <c r="P904" i="1"/>
  <c r="O904" i="1"/>
  <c r="T903" i="1"/>
  <c r="S903" i="1"/>
  <c r="Q903" i="1"/>
  <c r="P903" i="1"/>
  <c r="O903" i="1"/>
  <c r="T902" i="1"/>
  <c r="S902" i="1"/>
  <c r="Q902" i="1"/>
  <c r="P902" i="1"/>
  <c r="O902" i="1"/>
  <c r="T901" i="1"/>
  <c r="S901" i="1"/>
  <c r="Q901" i="1"/>
  <c r="P901" i="1"/>
  <c r="O901" i="1"/>
  <c r="T900" i="1"/>
  <c r="S900" i="1"/>
  <c r="Q900" i="1"/>
  <c r="P900" i="1"/>
  <c r="O900" i="1"/>
  <c r="T899" i="1"/>
  <c r="S899" i="1"/>
  <c r="Q899" i="1"/>
  <c r="P899" i="1"/>
  <c r="O899" i="1"/>
  <c r="T898" i="1"/>
  <c r="S898" i="1"/>
  <c r="Q898" i="1"/>
  <c r="P898" i="1"/>
  <c r="O898" i="1"/>
  <c r="T897" i="1"/>
  <c r="S897" i="1"/>
  <c r="Q897" i="1"/>
  <c r="P897" i="1"/>
  <c r="O897" i="1"/>
  <c r="T896" i="1"/>
  <c r="S896" i="1"/>
  <c r="Q896" i="1"/>
  <c r="P896" i="1"/>
  <c r="O896" i="1"/>
  <c r="T895" i="1"/>
  <c r="S895" i="1"/>
  <c r="Q895" i="1"/>
  <c r="P895" i="1"/>
  <c r="O895" i="1"/>
  <c r="T894" i="1"/>
  <c r="S894" i="1"/>
  <c r="Q894" i="1"/>
  <c r="P894" i="1"/>
  <c r="O894" i="1"/>
  <c r="T893" i="1"/>
  <c r="S893" i="1"/>
  <c r="Q893" i="1"/>
  <c r="P893" i="1"/>
  <c r="O893" i="1"/>
  <c r="T892" i="1"/>
  <c r="S892" i="1"/>
  <c r="Q892" i="1"/>
  <c r="P892" i="1"/>
  <c r="O892" i="1"/>
  <c r="T891" i="1"/>
  <c r="S891" i="1"/>
  <c r="Q891" i="1"/>
  <c r="P891" i="1"/>
  <c r="O891" i="1"/>
  <c r="T890" i="1"/>
  <c r="S890" i="1"/>
  <c r="Q890" i="1"/>
  <c r="P890" i="1"/>
  <c r="O890" i="1"/>
  <c r="T889" i="1"/>
  <c r="S889" i="1"/>
  <c r="Q889" i="1"/>
  <c r="P889" i="1"/>
  <c r="O889" i="1"/>
  <c r="T888" i="1"/>
  <c r="S888" i="1"/>
  <c r="Q888" i="1"/>
  <c r="P888" i="1"/>
  <c r="O888" i="1"/>
  <c r="T887" i="1"/>
  <c r="S887" i="1"/>
  <c r="Q887" i="1"/>
  <c r="P887" i="1"/>
  <c r="O887" i="1"/>
  <c r="T886" i="1"/>
  <c r="S886" i="1"/>
  <c r="Q886" i="1"/>
  <c r="P886" i="1"/>
  <c r="O886" i="1"/>
  <c r="T885" i="1"/>
  <c r="S885" i="1"/>
  <c r="Q885" i="1"/>
  <c r="P885" i="1"/>
  <c r="O885" i="1"/>
  <c r="T884" i="1"/>
  <c r="S884" i="1"/>
  <c r="Q884" i="1"/>
  <c r="P884" i="1"/>
  <c r="O884" i="1"/>
  <c r="T883" i="1"/>
  <c r="S883" i="1"/>
  <c r="Q883" i="1"/>
  <c r="P883" i="1"/>
  <c r="O883" i="1"/>
  <c r="T882" i="1"/>
  <c r="S882" i="1"/>
  <c r="Q882" i="1"/>
  <c r="P882" i="1"/>
  <c r="O882" i="1"/>
  <c r="T881" i="1"/>
  <c r="S881" i="1"/>
  <c r="Q881" i="1"/>
  <c r="P881" i="1"/>
  <c r="O881" i="1"/>
  <c r="T880" i="1"/>
  <c r="S880" i="1"/>
  <c r="Q880" i="1"/>
  <c r="P880" i="1"/>
  <c r="O880" i="1"/>
  <c r="T879" i="1"/>
  <c r="S879" i="1"/>
  <c r="Q879" i="1"/>
  <c r="P879" i="1"/>
  <c r="O879" i="1"/>
  <c r="T878" i="1"/>
  <c r="S878" i="1"/>
  <c r="Q878" i="1"/>
  <c r="P878" i="1"/>
  <c r="O878" i="1"/>
  <c r="T877" i="1"/>
  <c r="S877" i="1"/>
  <c r="Q877" i="1"/>
  <c r="P877" i="1"/>
  <c r="O877" i="1"/>
  <c r="T876" i="1"/>
  <c r="S876" i="1"/>
  <c r="Q876" i="1"/>
  <c r="P876" i="1"/>
  <c r="O876" i="1"/>
  <c r="T875" i="1"/>
  <c r="S875" i="1"/>
  <c r="Q875" i="1"/>
  <c r="P875" i="1"/>
  <c r="O875" i="1"/>
  <c r="T874" i="1"/>
  <c r="S874" i="1"/>
  <c r="Q874" i="1"/>
  <c r="P874" i="1"/>
  <c r="O874" i="1"/>
  <c r="T873" i="1"/>
  <c r="S873" i="1"/>
  <c r="Q873" i="1"/>
  <c r="P873" i="1"/>
  <c r="O873" i="1"/>
  <c r="T872" i="1"/>
  <c r="S872" i="1"/>
  <c r="Q872" i="1"/>
  <c r="P872" i="1"/>
  <c r="O872" i="1"/>
  <c r="T871" i="1"/>
  <c r="S871" i="1"/>
  <c r="Q871" i="1"/>
  <c r="P871" i="1"/>
  <c r="O871" i="1"/>
  <c r="T870" i="1"/>
  <c r="S870" i="1"/>
  <c r="Q870" i="1"/>
  <c r="P870" i="1"/>
  <c r="O870" i="1"/>
  <c r="T869" i="1"/>
  <c r="S869" i="1"/>
  <c r="Q869" i="1"/>
  <c r="P869" i="1"/>
  <c r="O869" i="1"/>
  <c r="T868" i="1"/>
  <c r="S868" i="1"/>
  <c r="Q868" i="1"/>
  <c r="P868" i="1"/>
  <c r="O868" i="1"/>
  <c r="T867" i="1"/>
  <c r="S867" i="1"/>
  <c r="Q867" i="1"/>
  <c r="P867" i="1"/>
  <c r="O867" i="1"/>
  <c r="T866" i="1"/>
  <c r="S866" i="1"/>
  <c r="Q866" i="1"/>
  <c r="P866" i="1"/>
  <c r="O866" i="1"/>
  <c r="T865" i="1"/>
  <c r="S865" i="1"/>
  <c r="Q865" i="1"/>
  <c r="P865" i="1"/>
  <c r="O865" i="1"/>
  <c r="T864" i="1"/>
  <c r="S864" i="1"/>
  <c r="Q864" i="1"/>
  <c r="P864" i="1"/>
  <c r="O864" i="1"/>
  <c r="T863" i="1"/>
  <c r="S863" i="1"/>
  <c r="Q863" i="1"/>
  <c r="P863" i="1"/>
  <c r="O863" i="1"/>
  <c r="T862" i="1"/>
  <c r="S862" i="1"/>
  <c r="Q862" i="1"/>
  <c r="P862" i="1"/>
  <c r="O862" i="1"/>
  <c r="T861" i="1"/>
  <c r="S861" i="1"/>
  <c r="Q861" i="1"/>
  <c r="P861" i="1"/>
  <c r="O861" i="1"/>
  <c r="T860" i="1"/>
  <c r="S860" i="1"/>
  <c r="Q860" i="1"/>
  <c r="P860" i="1"/>
  <c r="O860" i="1"/>
  <c r="T859" i="1"/>
  <c r="S859" i="1"/>
  <c r="Q859" i="1"/>
  <c r="P859" i="1"/>
  <c r="O859" i="1"/>
  <c r="T858" i="1"/>
  <c r="S858" i="1"/>
  <c r="Q858" i="1"/>
  <c r="P858" i="1"/>
  <c r="O858" i="1"/>
  <c r="T857" i="1"/>
  <c r="S857" i="1"/>
  <c r="Q857" i="1"/>
  <c r="P857" i="1"/>
  <c r="O857" i="1"/>
  <c r="T856" i="1"/>
  <c r="S856" i="1"/>
  <c r="Q856" i="1"/>
  <c r="P856" i="1"/>
  <c r="O856" i="1"/>
  <c r="T855" i="1"/>
  <c r="S855" i="1"/>
  <c r="Q855" i="1"/>
  <c r="P855" i="1"/>
  <c r="O855" i="1"/>
  <c r="T854" i="1"/>
  <c r="S854" i="1"/>
  <c r="Q854" i="1"/>
  <c r="P854" i="1"/>
  <c r="O854" i="1"/>
  <c r="T853" i="1"/>
  <c r="S853" i="1"/>
  <c r="Q853" i="1"/>
  <c r="P853" i="1"/>
  <c r="O853" i="1"/>
  <c r="T852" i="1"/>
  <c r="S852" i="1"/>
  <c r="Q852" i="1"/>
  <c r="P852" i="1"/>
  <c r="O852" i="1"/>
  <c r="T851" i="1"/>
  <c r="S851" i="1"/>
  <c r="Q851" i="1"/>
  <c r="P851" i="1"/>
  <c r="O851" i="1"/>
  <c r="T850" i="1"/>
  <c r="S850" i="1"/>
  <c r="Q850" i="1"/>
  <c r="P850" i="1"/>
  <c r="O850" i="1"/>
  <c r="T849" i="1"/>
  <c r="S849" i="1"/>
  <c r="Q849" i="1"/>
  <c r="P849" i="1"/>
  <c r="O849" i="1"/>
  <c r="T848" i="1"/>
  <c r="S848" i="1"/>
  <c r="Q848" i="1"/>
  <c r="P848" i="1"/>
  <c r="O848" i="1"/>
  <c r="T847" i="1"/>
  <c r="S847" i="1"/>
  <c r="Q847" i="1"/>
  <c r="P847" i="1"/>
  <c r="O847" i="1"/>
  <c r="T846" i="1"/>
  <c r="S846" i="1"/>
  <c r="Q846" i="1"/>
  <c r="P846" i="1"/>
  <c r="O846" i="1"/>
  <c r="T845" i="1"/>
  <c r="S845" i="1"/>
  <c r="Q845" i="1"/>
  <c r="P845" i="1"/>
  <c r="O845" i="1"/>
  <c r="T844" i="1"/>
  <c r="S844" i="1"/>
  <c r="Q844" i="1"/>
  <c r="P844" i="1"/>
  <c r="O844" i="1"/>
  <c r="T843" i="1"/>
  <c r="S843" i="1"/>
  <c r="Q843" i="1"/>
  <c r="P843" i="1"/>
  <c r="O843" i="1"/>
  <c r="T842" i="1"/>
  <c r="S842" i="1"/>
  <c r="Q842" i="1"/>
  <c r="P842" i="1"/>
  <c r="O842" i="1"/>
  <c r="T841" i="1"/>
  <c r="S841" i="1"/>
  <c r="Q841" i="1"/>
  <c r="P841" i="1"/>
  <c r="O841" i="1"/>
  <c r="T840" i="1"/>
  <c r="S840" i="1"/>
  <c r="Q840" i="1"/>
  <c r="P840" i="1"/>
  <c r="O840" i="1"/>
  <c r="T839" i="1"/>
  <c r="S839" i="1"/>
  <c r="Q839" i="1"/>
  <c r="P839" i="1"/>
  <c r="O839" i="1"/>
  <c r="T838" i="1"/>
  <c r="S838" i="1"/>
  <c r="Q838" i="1"/>
  <c r="P838" i="1"/>
  <c r="O838" i="1"/>
  <c r="T837" i="1"/>
  <c r="S837" i="1"/>
  <c r="Q837" i="1"/>
  <c r="P837" i="1"/>
  <c r="O837" i="1"/>
  <c r="T836" i="1"/>
  <c r="S836" i="1"/>
  <c r="Q836" i="1"/>
  <c r="P836" i="1"/>
  <c r="O836" i="1"/>
  <c r="T835" i="1"/>
  <c r="S835" i="1"/>
  <c r="Q835" i="1"/>
  <c r="P835" i="1"/>
  <c r="O835" i="1"/>
  <c r="T834" i="1"/>
  <c r="S834" i="1"/>
  <c r="Q834" i="1"/>
  <c r="P834" i="1"/>
  <c r="O834" i="1"/>
  <c r="T833" i="1"/>
  <c r="S833" i="1"/>
  <c r="Q833" i="1"/>
  <c r="P833" i="1"/>
  <c r="O833" i="1"/>
  <c r="T832" i="1"/>
  <c r="S832" i="1"/>
  <c r="Q832" i="1"/>
  <c r="P832" i="1"/>
  <c r="O832" i="1"/>
  <c r="T831" i="1"/>
  <c r="S831" i="1"/>
  <c r="Q831" i="1"/>
  <c r="P831" i="1"/>
  <c r="O831" i="1"/>
  <c r="T830" i="1"/>
  <c r="S830" i="1"/>
  <c r="Q830" i="1"/>
  <c r="P830" i="1"/>
  <c r="O830" i="1"/>
  <c r="T829" i="1"/>
  <c r="S829" i="1"/>
  <c r="Q829" i="1"/>
  <c r="P829" i="1"/>
  <c r="O829" i="1"/>
  <c r="T828" i="1"/>
  <c r="S828" i="1"/>
  <c r="Q828" i="1"/>
  <c r="P828" i="1"/>
  <c r="O828" i="1"/>
  <c r="T827" i="1"/>
  <c r="S827" i="1"/>
  <c r="Q827" i="1"/>
  <c r="P827" i="1"/>
  <c r="O827" i="1"/>
  <c r="T826" i="1"/>
  <c r="S826" i="1"/>
  <c r="Q826" i="1"/>
  <c r="P826" i="1"/>
  <c r="O826" i="1"/>
  <c r="T825" i="1"/>
  <c r="S825" i="1"/>
  <c r="Q825" i="1"/>
  <c r="P825" i="1"/>
  <c r="O825" i="1"/>
  <c r="T824" i="1"/>
  <c r="S824" i="1"/>
  <c r="Q824" i="1"/>
  <c r="P824" i="1"/>
  <c r="O824" i="1"/>
  <c r="T823" i="1"/>
  <c r="S823" i="1"/>
  <c r="Q823" i="1"/>
  <c r="P823" i="1"/>
  <c r="O823" i="1"/>
  <c r="T822" i="1"/>
  <c r="S822" i="1"/>
  <c r="Q822" i="1"/>
  <c r="P822" i="1"/>
  <c r="O822" i="1"/>
  <c r="T821" i="1"/>
  <c r="S821" i="1"/>
  <c r="Q821" i="1"/>
  <c r="P821" i="1"/>
  <c r="O821" i="1"/>
  <c r="T820" i="1"/>
  <c r="S820" i="1"/>
  <c r="Q820" i="1"/>
  <c r="P820" i="1"/>
  <c r="O820" i="1"/>
  <c r="T819" i="1"/>
  <c r="S819" i="1"/>
  <c r="Q819" i="1"/>
  <c r="P819" i="1"/>
  <c r="O819" i="1"/>
  <c r="T818" i="1"/>
  <c r="S818" i="1"/>
  <c r="Q818" i="1"/>
  <c r="P818" i="1"/>
  <c r="O818" i="1"/>
  <c r="T817" i="1"/>
  <c r="S817" i="1"/>
  <c r="Q817" i="1"/>
  <c r="P817" i="1"/>
  <c r="O817" i="1"/>
  <c r="T816" i="1"/>
  <c r="S816" i="1"/>
  <c r="Q816" i="1"/>
  <c r="P816" i="1"/>
  <c r="O816" i="1"/>
  <c r="T815" i="1"/>
  <c r="S815" i="1"/>
  <c r="Q815" i="1"/>
  <c r="P815" i="1"/>
  <c r="O815" i="1"/>
  <c r="T814" i="1"/>
  <c r="S814" i="1"/>
  <c r="Q814" i="1"/>
  <c r="P814" i="1"/>
  <c r="O814" i="1"/>
  <c r="T813" i="1"/>
  <c r="S813" i="1"/>
  <c r="Q813" i="1"/>
  <c r="P813" i="1"/>
  <c r="O813" i="1"/>
  <c r="T812" i="1"/>
  <c r="S812" i="1"/>
  <c r="Q812" i="1"/>
  <c r="P812" i="1"/>
  <c r="O812" i="1"/>
  <c r="T811" i="1"/>
  <c r="S811" i="1"/>
  <c r="Q811" i="1"/>
  <c r="P811" i="1"/>
  <c r="O811" i="1"/>
  <c r="T810" i="1"/>
  <c r="S810" i="1"/>
  <c r="Q810" i="1"/>
  <c r="P810" i="1"/>
  <c r="O810" i="1"/>
  <c r="T809" i="1"/>
  <c r="S809" i="1"/>
  <c r="Q809" i="1"/>
  <c r="P809" i="1"/>
  <c r="O809" i="1"/>
  <c r="T808" i="1"/>
  <c r="S808" i="1"/>
  <c r="Q808" i="1"/>
  <c r="P808" i="1"/>
  <c r="O808" i="1"/>
  <c r="T807" i="1"/>
  <c r="S807" i="1"/>
  <c r="Q807" i="1"/>
  <c r="P807" i="1"/>
  <c r="O807" i="1"/>
  <c r="T806" i="1"/>
  <c r="S806" i="1"/>
  <c r="Q806" i="1"/>
  <c r="P806" i="1"/>
  <c r="O806" i="1"/>
  <c r="T805" i="1"/>
  <c r="S805" i="1"/>
  <c r="Q805" i="1"/>
  <c r="P805" i="1"/>
  <c r="O805" i="1"/>
  <c r="T804" i="1"/>
  <c r="S804" i="1"/>
  <c r="Q804" i="1"/>
  <c r="P804" i="1"/>
  <c r="O804" i="1"/>
  <c r="T803" i="1"/>
  <c r="S803" i="1"/>
  <c r="Q803" i="1"/>
  <c r="P803" i="1"/>
  <c r="O803" i="1"/>
  <c r="T802" i="1"/>
  <c r="S802" i="1"/>
  <c r="Q802" i="1"/>
  <c r="P802" i="1"/>
  <c r="O802" i="1"/>
  <c r="T801" i="1"/>
  <c r="S801" i="1"/>
  <c r="Q801" i="1"/>
  <c r="P801" i="1"/>
  <c r="O801" i="1"/>
  <c r="T800" i="1"/>
  <c r="S800" i="1"/>
  <c r="Q800" i="1"/>
  <c r="P800" i="1"/>
  <c r="O800" i="1"/>
  <c r="T799" i="1"/>
  <c r="S799" i="1"/>
  <c r="Q799" i="1"/>
  <c r="P799" i="1"/>
  <c r="O799" i="1"/>
  <c r="T798" i="1"/>
  <c r="S798" i="1"/>
  <c r="Q798" i="1"/>
  <c r="P798" i="1"/>
  <c r="O798" i="1"/>
  <c r="T797" i="1"/>
  <c r="S797" i="1"/>
  <c r="Q797" i="1"/>
  <c r="P797" i="1"/>
  <c r="O797" i="1"/>
  <c r="T796" i="1"/>
  <c r="S796" i="1"/>
  <c r="Q796" i="1"/>
  <c r="P796" i="1"/>
  <c r="O796" i="1"/>
  <c r="T795" i="1"/>
  <c r="S795" i="1"/>
  <c r="Q795" i="1"/>
  <c r="P795" i="1"/>
  <c r="O795" i="1"/>
  <c r="T794" i="1"/>
  <c r="S794" i="1"/>
  <c r="Q794" i="1"/>
  <c r="P794" i="1"/>
  <c r="O794" i="1"/>
  <c r="T793" i="1"/>
  <c r="S793" i="1"/>
  <c r="Q793" i="1"/>
  <c r="P793" i="1"/>
  <c r="O793" i="1"/>
  <c r="T792" i="1"/>
  <c r="S792" i="1"/>
  <c r="Q792" i="1"/>
  <c r="P792" i="1"/>
  <c r="O792" i="1"/>
  <c r="T791" i="1"/>
  <c r="S791" i="1"/>
  <c r="Q791" i="1"/>
  <c r="P791" i="1"/>
  <c r="O791" i="1"/>
  <c r="T790" i="1"/>
  <c r="S790" i="1"/>
  <c r="Q790" i="1"/>
  <c r="P790" i="1"/>
  <c r="O790" i="1"/>
  <c r="T789" i="1"/>
  <c r="S789" i="1"/>
  <c r="Q789" i="1"/>
  <c r="P789" i="1"/>
  <c r="O789" i="1"/>
  <c r="T788" i="1"/>
  <c r="S788" i="1"/>
  <c r="Q788" i="1"/>
  <c r="P788" i="1"/>
  <c r="O788" i="1"/>
  <c r="T787" i="1"/>
  <c r="S787" i="1"/>
  <c r="Q787" i="1"/>
  <c r="P787" i="1"/>
  <c r="O787" i="1"/>
  <c r="T786" i="1"/>
  <c r="S786" i="1"/>
  <c r="Q786" i="1"/>
  <c r="P786" i="1"/>
  <c r="O786" i="1"/>
  <c r="T785" i="1"/>
  <c r="S785" i="1"/>
  <c r="Q785" i="1"/>
  <c r="P785" i="1"/>
  <c r="O785" i="1"/>
  <c r="T784" i="1"/>
  <c r="S784" i="1"/>
  <c r="Q784" i="1"/>
  <c r="P784" i="1"/>
  <c r="O784" i="1"/>
  <c r="T783" i="1"/>
  <c r="S783" i="1"/>
  <c r="Q783" i="1"/>
  <c r="P783" i="1"/>
  <c r="O783" i="1"/>
  <c r="T782" i="1"/>
  <c r="S782" i="1"/>
  <c r="Q782" i="1"/>
  <c r="P782" i="1"/>
  <c r="O782" i="1"/>
  <c r="T781" i="1"/>
  <c r="S781" i="1"/>
  <c r="Q781" i="1"/>
  <c r="P781" i="1"/>
  <c r="O781" i="1"/>
  <c r="T780" i="1"/>
  <c r="S780" i="1"/>
  <c r="Q780" i="1"/>
  <c r="P780" i="1"/>
  <c r="O780" i="1"/>
  <c r="T779" i="1"/>
  <c r="S779" i="1"/>
  <c r="Q779" i="1"/>
  <c r="P779" i="1"/>
  <c r="O779" i="1"/>
  <c r="T778" i="1"/>
  <c r="S778" i="1"/>
  <c r="Q778" i="1"/>
  <c r="P778" i="1"/>
  <c r="O778" i="1"/>
  <c r="T777" i="1"/>
  <c r="S777" i="1"/>
  <c r="Q777" i="1"/>
  <c r="P777" i="1"/>
  <c r="O777" i="1"/>
  <c r="T776" i="1"/>
  <c r="S776" i="1"/>
  <c r="Q776" i="1"/>
  <c r="P776" i="1"/>
  <c r="O776" i="1"/>
  <c r="T775" i="1"/>
  <c r="S775" i="1"/>
  <c r="Q775" i="1"/>
  <c r="P775" i="1"/>
  <c r="O775" i="1"/>
  <c r="T774" i="1"/>
  <c r="S774" i="1"/>
  <c r="Q774" i="1"/>
  <c r="P774" i="1"/>
  <c r="O774" i="1"/>
  <c r="T773" i="1"/>
  <c r="S773" i="1"/>
  <c r="Q773" i="1"/>
  <c r="P773" i="1"/>
  <c r="O773" i="1"/>
  <c r="T772" i="1"/>
  <c r="S772" i="1"/>
  <c r="Q772" i="1"/>
  <c r="P772" i="1"/>
  <c r="O772" i="1"/>
  <c r="T771" i="1"/>
  <c r="S771" i="1"/>
  <c r="Q771" i="1"/>
  <c r="P771" i="1"/>
  <c r="O771" i="1"/>
  <c r="T770" i="1"/>
  <c r="S770" i="1"/>
  <c r="Q770" i="1"/>
  <c r="P770" i="1"/>
  <c r="O770" i="1"/>
  <c r="T769" i="1"/>
  <c r="S769" i="1"/>
  <c r="Q769" i="1"/>
  <c r="P769" i="1"/>
  <c r="O769" i="1"/>
  <c r="T768" i="1"/>
  <c r="S768" i="1"/>
  <c r="Q768" i="1"/>
  <c r="P768" i="1"/>
  <c r="O768" i="1"/>
  <c r="T767" i="1"/>
  <c r="S767" i="1"/>
  <c r="Q767" i="1"/>
  <c r="P767" i="1"/>
  <c r="O767" i="1"/>
  <c r="T766" i="1"/>
  <c r="S766" i="1"/>
  <c r="Q766" i="1"/>
  <c r="P766" i="1"/>
  <c r="O766" i="1"/>
  <c r="T765" i="1"/>
  <c r="S765" i="1"/>
  <c r="Q765" i="1"/>
  <c r="P765" i="1"/>
  <c r="O765" i="1"/>
  <c r="T764" i="1"/>
  <c r="S764" i="1"/>
  <c r="Q764" i="1"/>
  <c r="P764" i="1"/>
  <c r="O764" i="1"/>
  <c r="T763" i="1"/>
  <c r="S763" i="1"/>
  <c r="Q763" i="1"/>
  <c r="P763" i="1"/>
  <c r="O763" i="1"/>
  <c r="T762" i="1"/>
  <c r="S762" i="1"/>
  <c r="Q762" i="1"/>
  <c r="P762" i="1"/>
  <c r="O762" i="1"/>
  <c r="T761" i="1"/>
  <c r="S761" i="1"/>
  <c r="Q761" i="1"/>
  <c r="P761" i="1"/>
  <c r="O761" i="1"/>
  <c r="T760" i="1"/>
  <c r="S760" i="1"/>
  <c r="Q760" i="1"/>
  <c r="P760" i="1"/>
  <c r="O760" i="1"/>
  <c r="T759" i="1"/>
  <c r="S759" i="1"/>
  <c r="Q759" i="1"/>
  <c r="P759" i="1"/>
  <c r="O759" i="1"/>
  <c r="T758" i="1"/>
  <c r="S758" i="1"/>
  <c r="Q758" i="1"/>
  <c r="P758" i="1"/>
  <c r="O758" i="1"/>
  <c r="T757" i="1"/>
  <c r="S757" i="1"/>
  <c r="Q757" i="1"/>
  <c r="P757" i="1"/>
  <c r="O757" i="1"/>
  <c r="T756" i="1"/>
  <c r="S756" i="1"/>
  <c r="Q756" i="1"/>
  <c r="P756" i="1"/>
  <c r="O756" i="1"/>
  <c r="T755" i="1"/>
  <c r="S755" i="1"/>
  <c r="Q755" i="1"/>
  <c r="P755" i="1"/>
  <c r="O755" i="1"/>
  <c r="T754" i="1"/>
  <c r="S754" i="1"/>
  <c r="Q754" i="1"/>
  <c r="P754" i="1"/>
  <c r="O754" i="1"/>
  <c r="T753" i="1"/>
  <c r="S753" i="1"/>
  <c r="Q753" i="1"/>
  <c r="P753" i="1"/>
  <c r="O753" i="1"/>
  <c r="T752" i="1"/>
  <c r="S752" i="1"/>
  <c r="Q752" i="1"/>
  <c r="P752" i="1"/>
  <c r="O752" i="1"/>
  <c r="T751" i="1"/>
  <c r="S751" i="1"/>
  <c r="Q751" i="1"/>
  <c r="P751" i="1"/>
  <c r="O751" i="1"/>
  <c r="T750" i="1"/>
  <c r="S750" i="1"/>
  <c r="Q750" i="1"/>
  <c r="P750" i="1"/>
  <c r="O750" i="1"/>
  <c r="T749" i="1"/>
  <c r="S749" i="1"/>
  <c r="Q749" i="1"/>
  <c r="P749" i="1"/>
  <c r="O749" i="1"/>
  <c r="T748" i="1"/>
  <c r="S748" i="1"/>
  <c r="Q748" i="1"/>
  <c r="P748" i="1"/>
  <c r="O748" i="1"/>
  <c r="T747" i="1"/>
  <c r="S747" i="1"/>
  <c r="Q747" i="1"/>
  <c r="P747" i="1"/>
  <c r="O747" i="1"/>
  <c r="T746" i="1"/>
  <c r="S746" i="1"/>
  <c r="Q746" i="1"/>
  <c r="P746" i="1"/>
  <c r="O746" i="1"/>
  <c r="T745" i="1"/>
  <c r="S745" i="1"/>
  <c r="Q745" i="1"/>
  <c r="P745" i="1"/>
  <c r="O745" i="1"/>
  <c r="T744" i="1"/>
  <c r="S744" i="1"/>
  <c r="Q744" i="1"/>
  <c r="P744" i="1"/>
  <c r="O744" i="1"/>
  <c r="T743" i="1"/>
  <c r="S743" i="1"/>
  <c r="Q743" i="1"/>
  <c r="P743" i="1"/>
  <c r="O743" i="1"/>
  <c r="T742" i="1"/>
  <c r="S742" i="1"/>
  <c r="Q742" i="1"/>
  <c r="P742" i="1"/>
  <c r="O742" i="1"/>
  <c r="T741" i="1"/>
  <c r="S741" i="1"/>
  <c r="Q741" i="1"/>
  <c r="P741" i="1"/>
  <c r="O741" i="1"/>
  <c r="T740" i="1"/>
  <c r="S740" i="1"/>
  <c r="Q740" i="1"/>
  <c r="P740" i="1"/>
  <c r="O740" i="1"/>
  <c r="T739" i="1"/>
  <c r="S739" i="1"/>
  <c r="Q739" i="1"/>
  <c r="P739" i="1"/>
  <c r="O739" i="1"/>
  <c r="T738" i="1"/>
  <c r="S738" i="1"/>
  <c r="Q738" i="1"/>
  <c r="P738" i="1"/>
  <c r="O738" i="1"/>
  <c r="T737" i="1"/>
  <c r="S737" i="1"/>
  <c r="Q737" i="1"/>
  <c r="P737" i="1"/>
  <c r="O737" i="1"/>
  <c r="T736" i="1"/>
  <c r="S736" i="1"/>
  <c r="Q736" i="1"/>
  <c r="P736" i="1"/>
  <c r="O736" i="1"/>
  <c r="T735" i="1"/>
  <c r="S735" i="1"/>
  <c r="Q735" i="1"/>
  <c r="P735" i="1"/>
  <c r="O735" i="1"/>
  <c r="T734" i="1"/>
  <c r="S734" i="1"/>
  <c r="Q734" i="1"/>
  <c r="P734" i="1"/>
  <c r="O734" i="1"/>
  <c r="T733" i="1"/>
  <c r="S733" i="1"/>
  <c r="Q733" i="1"/>
  <c r="P733" i="1"/>
  <c r="O733" i="1"/>
  <c r="T732" i="1"/>
  <c r="S732" i="1"/>
  <c r="Q732" i="1"/>
  <c r="P732" i="1"/>
  <c r="O732" i="1"/>
  <c r="T731" i="1"/>
  <c r="S731" i="1"/>
  <c r="Q731" i="1"/>
  <c r="P731" i="1"/>
  <c r="O731" i="1"/>
  <c r="T730" i="1"/>
  <c r="S730" i="1"/>
  <c r="Q730" i="1"/>
  <c r="P730" i="1"/>
  <c r="O730" i="1"/>
  <c r="T729" i="1"/>
  <c r="S729" i="1"/>
  <c r="Q729" i="1"/>
  <c r="P729" i="1"/>
  <c r="O729" i="1"/>
  <c r="T728" i="1"/>
  <c r="S728" i="1"/>
  <c r="Q728" i="1"/>
  <c r="P728" i="1"/>
  <c r="O728" i="1"/>
  <c r="T727" i="1"/>
  <c r="S727" i="1"/>
  <c r="Q727" i="1"/>
  <c r="P727" i="1"/>
  <c r="O727" i="1"/>
  <c r="T726" i="1"/>
  <c r="S726" i="1"/>
  <c r="Q726" i="1"/>
  <c r="P726" i="1"/>
  <c r="O726" i="1"/>
  <c r="T725" i="1"/>
  <c r="S725" i="1"/>
  <c r="Q725" i="1"/>
  <c r="P725" i="1"/>
  <c r="O725" i="1"/>
  <c r="T724" i="1"/>
  <c r="S724" i="1"/>
  <c r="Q724" i="1"/>
  <c r="P724" i="1"/>
  <c r="O724" i="1"/>
  <c r="T723" i="1"/>
  <c r="S723" i="1"/>
  <c r="Q723" i="1"/>
  <c r="P723" i="1"/>
  <c r="O723" i="1"/>
  <c r="T722" i="1"/>
  <c r="S722" i="1"/>
  <c r="Q722" i="1"/>
  <c r="P722" i="1"/>
  <c r="O722" i="1"/>
  <c r="T721" i="1"/>
  <c r="S721" i="1"/>
  <c r="Q721" i="1"/>
  <c r="P721" i="1"/>
  <c r="O721" i="1"/>
  <c r="T720" i="1"/>
  <c r="S720" i="1"/>
  <c r="Q720" i="1"/>
  <c r="P720" i="1"/>
  <c r="O720" i="1"/>
  <c r="T719" i="1"/>
  <c r="S719" i="1"/>
  <c r="Q719" i="1"/>
  <c r="P719" i="1"/>
  <c r="O719" i="1"/>
  <c r="T718" i="1"/>
  <c r="S718" i="1"/>
  <c r="Q718" i="1"/>
  <c r="P718" i="1"/>
  <c r="O718" i="1"/>
  <c r="T717" i="1"/>
  <c r="S717" i="1"/>
  <c r="Q717" i="1"/>
  <c r="P717" i="1"/>
  <c r="O717" i="1"/>
  <c r="T716" i="1"/>
  <c r="S716" i="1"/>
  <c r="Q716" i="1"/>
  <c r="P716" i="1"/>
  <c r="O716" i="1"/>
  <c r="T715" i="1"/>
  <c r="S715" i="1"/>
  <c r="Q715" i="1"/>
  <c r="P715" i="1"/>
  <c r="O715" i="1"/>
  <c r="T714" i="1"/>
  <c r="S714" i="1"/>
  <c r="Q714" i="1"/>
  <c r="P714" i="1"/>
  <c r="O714" i="1"/>
  <c r="T713" i="1"/>
  <c r="S713" i="1"/>
  <c r="Q713" i="1"/>
  <c r="P713" i="1"/>
  <c r="O713" i="1"/>
  <c r="T712" i="1"/>
  <c r="S712" i="1"/>
  <c r="Q712" i="1"/>
  <c r="P712" i="1"/>
  <c r="O712" i="1"/>
  <c r="T711" i="1"/>
  <c r="S711" i="1"/>
  <c r="Q711" i="1"/>
  <c r="P711" i="1"/>
  <c r="O711" i="1"/>
  <c r="T710" i="1"/>
  <c r="S710" i="1"/>
  <c r="Q710" i="1"/>
  <c r="P710" i="1"/>
  <c r="O710" i="1"/>
  <c r="T709" i="1"/>
  <c r="S709" i="1"/>
  <c r="Q709" i="1"/>
  <c r="P709" i="1"/>
  <c r="O709" i="1"/>
  <c r="T708" i="1"/>
  <c r="S708" i="1"/>
  <c r="Q708" i="1"/>
  <c r="P708" i="1"/>
  <c r="O708" i="1"/>
  <c r="T707" i="1"/>
  <c r="S707" i="1"/>
  <c r="Q707" i="1"/>
  <c r="P707" i="1"/>
  <c r="O707" i="1"/>
  <c r="T706" i="1"/>
  <c r="S706" i="1"/>
  <c r="Q706" i="1"/>
  <c r="P706" i="1"/>
  <c r="O706" i="1"/>
  <c r="T705" i="1"/>
  <c r="S705" i="1"/>
  <c r="Q705" i="1"/>
  <c r="P705" i="1"/>
  <c r="O705" i="1"/>
  <c r="T704" i="1"/>
  <c r="S704" i="1"/>
  <c r="Q704" i="1"/>
  <c r="P704" i="1"/>
  <c r="O704" i="1"/>
  <c r="T703" i="1"/>
  <c r="S703" i="1"/>
  <c r="Q703" i="1"/>
  <c r="P703" i="1"/>
  <c r="O703" i="1"/>
  <c r="T702" i="1"/>
  <c r="S702" i="1"/>
  <c r="Q702" i="1"/>
  <c r="P702" i="1"/>
  <c r="O702" i="1"/>
  <c r="T701" i="1"/>
  <c r="S701" i="1"/>
  <c r="Q701" i="1"/>
  <c r="P701" i="1"/>
  <c r="O701" i="1"/>
  <c r="T700" i="1"/>
  <c r="S700" i="1"/>
  <c r="Q700" i="1"/>
  <c r="P700" i="1"/>
  <c r="O700" i="1"/>
  <c r="T699" i="1"/>
  <c r="S699" i="1"/>
  <c r="Q699" i="1"/>
  <c r="P699" i="1"/>
  <c r="O699" i="1"/>
  <c r="T698" i="1"/>
  <c r="S698" i="1"/>
  <c r="Q698" i="1"/>
  <c r="P698" i="1"/>
  <c r="O698" i="1"/>
  <c r="T697" i="1"/>
  <c r="S697" i="1"/>
  <c r="Q697" i="1"/>
  <c r="P697" i="1"/>
  <c r="O697" i="1"/>
  <c r="T696" i="1"/>
  <c r="S696" i="1"/>
  <c r="Q696" i="1"/>
  <c r="P696" i="1"/>
  <c r="O696" i="1"/>
  <c r="T695" i="1"/>
  <c r="S695" i="1"/>
  <c r="Q695" i="1"/>
  <c r="P695" i="1"/>
  <c r="O695" i="1"/>
  <c r="T694" i="1"/>
  <c r="S694" i="1"/>
  <c r="Q694" i="1"/>
  <c r="P694" i="1"/>
  <c r="O694" i="1"/>
  <c r="T693" i="1"/>
  <c r="S693" i="1"/>
  <c r="Q693" i="1"/>
  <c r="P693" i="1"/>
  <c r="O693" i="1"/>
  <c r="T692" i="1"/>
  <c r="S692" i="1"/>
  <c r="Q692" i="1"/>
  <c r="P692" i="1"/>
  <c r="O692" i="1"/>
  <c r="T691" i="1"/>
  <c r="S691" i="1"/>
  <c r="Q691" i="1"/>
  <c r="P691" i="1"/>
  <c r="O691" i="1"/>
  <c r="T690" i="1"/>
  <c r="S690" i="1"/>
  <c r="Q690" i="1"/>
  <c r="P690" i="1"/>
  <c r="O690" i="1"/>
  <c r="T689" i="1"/>
  <c r="S689" i="1"/>
  <c r="Q689" i="1"/>
  <c r="P689" i="1"/>
  <c r="O689" i="1"/>
  <c r="T688" i="1"/>
  <c r="S688" i="1"/>
  <c r="Q688" i="1"/>
  <c r="P688" i="1"/>
  <c r="O688" i="1"/>
  <c r="T687" i="1"/>
  <c r="S687" i="1"/>
  <c r="Q687" i="1"/>
  <c r="P687" i="1"/>
  <c r="O687" i="1"/>
  <c r="T686" i="1"/>
  <c r="S686" i="1"/>
  <c r="Q686" i="1"/>
  <c r="P686" i="1"/>
  <c r="O686" i="1"/>
  <c r="T685" i="1"/>
  <c r="S685" i="1"/>
  <c r="Q685" i="1"/>
  <c r="P685" i="1"/>
  <c r="O685" i="1"/>
  <c r="T684" i="1"/>
  <c r="S684" i="1"/>
  <c r="Q684" i="1"/>
  <c r="P684" i="1"/>
  <c r="O684" i="1"/>
  <c r="T683" i="1"/>
  <c r="S683" i="1"/>
  <c r="Q683" i="1"/>
  <c r="P683" i="1"/>
  <c r="O683" i="1"/>
  <c r="T682" i="1"/>
  <c r="S682" i="1"/>
  <c r="Q682" i="1"/>
  <c r="P682" i="1"/>
  <c r="O682" i="1"/>
  <c r="T681" i="1"/>
  <c r="S681" i="1"/>
  <c r="Q681" i="1"/>
  <c r="P681" i="1"/>
  <c r="O681" i="1"/>
  <c r="T680" i="1"/>
  <c r="S680" i="1"/>
  <c r="Q680" i="1"/>
  <c r="P680" i="1"/>
  <c r="O680" i="1"/>
  <c r="T679" i="1"/>
  <c r="S679" i="1"/>
  <c r="Q679" i="1"/>
  <c r="P679" i="1"/>
  <c r="O679" i="1"/>
  <c r="T678" i="1"/>
  <c r="S678" i="1"/>
  <c r="Q678" i="1"/>
  <c r="P678" i="1"/>
  <c r="O678" i="1"/>
  <c r="T677" i="1"/>
  <c r="S677" i="1"/>
  <c r="Q677" i="1"/>
  <c r="P677" i="1"/>
  <c r="O677" i="1"/>
  <c r="T676" i="1"/>
  <c r="S676" i="1"/>
  <c r="Q676" i="1"/>
  <c r="P676" i="1"/>
  <c r="O676" i="1"/>
  <c r="T675" i="1"/>
  <c r="S675" i="1"/>
  <c r="Q675" i="1"/>
  <c r="P675" i="1"/>
  <c r="O675" i="1"/>
  <c r="T674" i="1"/>
  <c r="S674" i="1"/>
  <c r="Q674" i="1"/>
  <c r="P674" i="1"/>
  <c r="O674" i="1"/>
  <c r="T673" i="1"/>
  <c r="S673" i="1"/>
  <c r="Q673" i="1"/>
  <c r="P673" i="1"/>
  <c r="O673" i="1"/>
  <c r="T672" i="1"/>
  <c r="S672" i="1"/>
  <c r="Q672" i="1"/>
  <c r="P672" i="1"/>
  <c r="O672" i="1"/>
  <c r="T671" i="1"/>
  <c r="S671" i="1"/>
  <c r="Q671" i="1"/>
  <c r="P671" i="1"/>
  <c r="O671" i="1"/>
  <c r="T670" i="1"/>
  <c r="S670" i="1"/>
  <c r="Q670" i="1"/>
  <c r="P670" i="1"/>
  <c r="O670" i="1"/>
  <c r="T669" i="1"/>
  <c r="S669" i="1"/>
  <c r="Q669" i="1"/>
  <c r="P669" i="1"/>
  <c r="O669" i="1"/>
  <c r="T668" i="1"/>
  <c r="S668" i="1"/>
  <c r="Q668" i="1"/>
  <c r="P668" i="1"/>
  <c r="O668" i="1"/>
  <c r="T667" i="1"/>
  <c r="S667" i="1"/>
  <c r="Q667" i="1"/>
  <c r="P667" i="1"/>
  <c r="O667" i="1"/>
  <c r="T666" i="1"/>
  <c r="S666" i="1"/>
  <c r="Q666" i="1"/>
  <c r="P666" i="1"/>
  <c r="O666" i="1"/>
  <c r="T665" i="1"/>
  <c r="S665" i="1"/>
  <c r="Q665" i="1"/>
  <c r="P665" i="1"/>
  <c r="O665" i="1"/>
  <c r="T664" i="1"/>
  <c r="S664" i="1"/>
  <c r="Q664" i="1"/>
  <c r="P664" i="1"/>
  <c r="O664" i="1"/>
  <c r="T663" i="1"/>
  <c r="S663" i="1"/>
  <c r="Q663" i="1"/>
  <c r="P663" i="1"/>
  <c r="O663" i="1"/>
  <c r="T662" i="1"/>
  <c r="S662" i="1"/>
  <c r="Q662" i="1"/>
  <c r="P662" i="1"/>
  <c r="O662" i="1"/>
  <c r="T661" i="1"/>
  <c r="S661" i="1"/>
  <c r="Q661" i="1"/>
  <c r="P661" i="1"/>
  <c r="O661" i="1"/>
  <c r="T660" i="1"/>
  <c r="S660" i="1"/>
  <c r="Q660" i="1"/>
  <c r="P660" i="1"/>
  <c r="O660" i="1"/>
  <c r="T659" i="1"/>
  <c r="S659" i="1"/>
  <c r="Q659" i="1"/>
  <c r="P659" i="1"/>
  <c r="O659" i="1"/>
  <c r="T658" i="1"/>
  <c r="S658" i="1"/>
  <c r="Q658" i="1"/>
  <c r="P658" i="1"/>
  <c r="O658" i="1"/>
  <c r="T657" i="1"/>
  <c r="S657" i="1"/>
  <c r="Q657" i="1"/>
  <c r="P657" i="1"/>
  <c r="O657" i="1"/>
  <c r="T656" i="1"/>
  <c r="S656" i="1"/>
  <c r="Q656" i="1"/>
  <c r="P656" i="1"/>
  <c r="O656" i="1"/>
  <c r="T655" i="1"/>
  <c r="S655" i="1"/>
  <c r="Q655" i="1"/>
  <c r="P655" i="1"/>
  <c r="O655" i="1"/>
  <c r="T654" i="1"/>
  <c r="S654" i="1"/>
  <c r="Q654" i="1"/>
  <c r="P654" i="1"/>
  <c r="O654" i="1"/>
  <c r="T653" i="1"/>
  <c r="S653" i="1"/>
  <c r="Q653" i="1"/>
  <c r="P653" i="1"/>
  <c r="O653" i="1"/>
  <c r="T652" i="1"/>
  <c r="S652" i="1"/>
  <c r="Q652" i="1"/>
  <c r="P652" i="1"/>
  <c r="O652" i="1"/>
  <c r="T651" i="1"/>
  <c r="S651" i="1"/>
  <c r="Q651" i="1"/>
  <c r="P651" i="1"/>
  <c r="O651" i="1"/>
  <c r="T650" i="1"/>
  <c r="S650" i="1"/>
  <c r="Q650" i="1"/>
  <c r="P650" i="1"/>
  <c r="O650" i="1"/>
  <c r="T649" i="1"/>
  <c r="S649" i="1"/>
  <c r="Q649" i="1"/>
  <c r="P649" i="1"/>
  <c r="O649" i="1"/>
  <c r="T648" i="1"/>
  <c r="S648" i="1"/>
  <c r="Q648" i="1"/>
  <c r="P648" i="1"/>
  <c r="O648" i="1"/>
  <c r="T647" i="1"/>
  <c r="S647" i="1"/>
  <c r="Q647" i="1"/>
  <c r="P647" i="1"/>
  <c r="O647" i="1"/>
  <c r="T646" i="1"/>
  <c r="S646" i="1"/>
  <c r="Q646" i="1"/>
  <c r="P646" i="1"/>
  <c r="O646" i="1"/>
  <c r="T645" i="1"/>
  <c r="S645" i="1"/>
  <c r="Q645" i="1"/>
  <c r="P645" i="1"/>
  <c r="O645" i="1"/>
  <c r="T644" i="1"/>
  <c r="S644" i="1"/>
  <c r="Q644" i="1"/>
  <c r="P644" i="1"/>
  <c r="O644" i="1"/>
  <c r="T643" i="1"/>
  <c r="S643" i="1"/>
  <c r="Q643" i="1"/>
  <c r="P643" i="1"/>
  <c r="O643" i="1"/>
  <c r="T642" i="1"/>
  <c r="S642" i="1"/>
  <c r="Q642" i="1"/>
  <c r="P642" i="1"/>
  <c r="O642" i="1"/>
  <c r="T641" i="1"/>
  <c r="S641" i="1"/>
  <c r="Q641" i="1"/>
  <c r="P641" i="1"/>
  <c r="O641" i="1"/>
  <c r="T640" i="1"/>
  <c r="S640" i="1"/>
  <c r="Q640" i="1"/>
  <c r="P640" i="1"/>
  <c r="O640" i="1"/>
  <c r="T639" i="1"/>
  <c r="S639" i="1"/>
  <c r="Q639" i="1"/>
  <c r="P639" i="1"/>
  <c r="O639" i="1"/>
  <c r="T638" i="1"/>
  <c r="S638" i="1"/>
  <c r="Q638" i="1"/>
  <c r="P638" i="1"/>
  <c r="O638" i="1"/>
  <c r="T637" i="1"/>
  <c r="S637" i="1"/>
  <c r="Q637" i="1"/>
  <c r="P637" i="1"/>
  <c r="O637" i="1"/>
  <c r="T636" i="1"/>
  <c r="S636" i="1"/>
  <c r="Q636" i="1"/>
  <c r="P636" i="1"/>
  <c r="O636" i="1"/>
  <c r="T635" i="1"/>
  <c r="S635" i="1"/>
  <c r="Q635" i="1"/>
  <c r="P635" i="1"/>
  <c r="O635" i="1"/>
  <c r="T634" i="1"/>
  <c r="S634" i="1"/>
  <c r="Q634" i="1"/>
  <c r="P634" i="1"/>
  <c r="O634" i="1"/>
  <c r="T633" i="1"/>
  <c r="S633" i="1"/>
  <c r="Q633" i="1"/>
  <c r="P633" i="1"/>
  <c r="O633" i="1"/>
  <c r="T632" i="1"/>
  <c r="S632" i="1"/>
  <c r="Q632" i="1"/>
  <c r="P632" i="1"/>
  <c r="O632" i="1"/>
  <c r="T631" i="1"/>
  <c r="S631" i="1"/>
  <c r="Q631" i="1"/>
  <c r="P631" i="1"/>
  <c r="O631" i="1"/>
  <c r="T630" i="1"/>
  <c r="S630" i="1"/>
  <c r="Q630" i="1"/>
  <c r="P630" i="1"/>
  <c r="O630" i="1"/>
  <c r="T629" i="1"/>
  <c r="S629" i="1"/>
  <c r="Q629" i="1"/>
  <c r="P629" i="1"/>
  <c r="O629" i="1"/>
  <c r="T628" i="1"/>
  <c r="S628" i="1"/>
  <c r="Q628" i="1"/>
  <c r="P628" i="1"/>
  <c r="O628" i="1"/>
  <c r="T627" i="1"/>
  <c r="S627" i="1"/>
  <c r="Q627" i="1"/>
  <c r="P627" i="1"/>
  <c r="O627" i="1"/>
  <c r="T626" i="1"/>
  <c r="S626" i="1"/>
  <c r="Q626" i="1"/>
  <c r="P626" i="1"/>
  <c r="O626" i="1"/>
  <c r="T625" i="1"/>
  <c r="S625" i="1"/>
  <c r="Q625" i="1"/>
  <c r="P625" i="1"/>
  <c r="O625" i="1"/>
  <c r="T624" i="1"/>
  <c r="S624" i="1"/>
  <c r="Q624" i="1"/>
  <c r="P624" i="1"/>
  <c r="O624" i="1"/>
  <c r="T623" i="1"/>
  <c r="S623" i="1"/>
  <c r="Q623" i="1"/>
  <c r="P623" i="1"/>
  <c r="O623" i="1"/>
  <c r="T622" i="1"/>
  <c r="S622" i="1"/>
  <c r="Q622" i="1"/>
  <c r="P622" i="1"/>
  <c r="O622" i="1"/>
  <c r="T621" i="1"/>
  <c r="S621" i="1"/>
  <c r="Q621" i="1"/>
  <c r="P621" i="1"/>
  <c r="O621" i="1"/>
  <c r="T620" i="1"/>
  <c r="S620" i="1"/>
  <c r="Q620" i="1"/>
  <c r="P620" i="1"/>
  <c r="O620" i="1"/>
  <c r="T619" i="1"/>
  <c r="S619" i="1"/>
  <c r="Q619" i="1"/>
  <c r="P619" i="1"/>
  <c r="O619" i="1"/>
  <c r="T618" i="1"/>
  <c r="S618" i="1"/>
  <c r="Q618" i="1"/>
  <c r="P618" i="1"/>
  <c r="O618" i="1"/>
  <c r="T617" i="1"/>
  <c r="S617" i="1"/>
  <c r="Q617" i="1"/>
  <c r="P617" i="1"/>
  <c r="O617" i="1"/>
  <c r="T616" i="1"/>
  <c r="S616" i="1"/>
  <c r="Q616" i="1"/>
  <c r="P616" i="1"/>
  <c r="O616" i="1"/>
  <c r="T615" i="1"/>
  <c r="S615" i="1"/>
  <c r="Q615" i="1"/>
  <c r="P615" i="1"/>
  <c r="O615" i="1"/>
  <c r="T614" i="1"/>
  <c r="S614" i="1"/>
  <c r="Q614" i="1"/>
  <c r="P614" i="1"/>
  <c r="O614" i="1"/>
  <c r="T613" i="1"/>
  <c r="S613" i="1"/>
  <c r="Q613" i="1"/>
  <c r="P613" i="1"/>
  <c r="O613" i="1"/>
  <c r="T612" i="1"/>
  <c r="S612" i="1"/>
  <c r="Q612" i="1"/>
  <c r="P612" i="1"/>
  <c r="O612" i="1"/>
  <c r="T611" i="1"/>
  <c r="S611" i="1"/>
  <c r="Q611" i="1"/>
  <c r="P611" i="1"/>
  <c r="O611" i="1"/>
  <c r="T610" i="1"/>
  <c r="S610" i="1"/>
  <c r="Q610" i="1"/>
  <c r="P610" i="1"/>
  <c r="O610" i="1"/>
  <c r="T609" i="1"/>
  <c r="S609" i="1"/>
  <c r="Q609" i="1"/>
  <c r="P609" i="1"/>
  <c r="O609" i="1"/>
  <c r="T608" i="1"/>
  <c r="S608" i="1"/>
  <c r="Q608" i="1"/>
  <c r="P608" i="1"/>
  <c r="O608" i="1"/>
  <c r="T607" i="1"/>
  <c r="S607" i="1"/>
  <c r="Q607" i="1"/>
  <c r="P607" i="1"/>
  <c r="O607" i="1"/>
  <c r="T606" i="1"/>
  <c r="S606" i="1"/>
  <c r="Q606" i="1"/>
  <c r="P606" i="1"/>
  <c r="O606" i="1"/>
  <c r="T605" i="1"/>
  <c r="S605" i="1"/>
  <c r="Q605" i="1"/>
  <c r="P605" i="1"/>
  <c r="O605" i="1"/>
  <c r="T604" i="1"/>
  <c r="S604" i="1"/>
  <c r="Q604" i="1"/>
  <c r="P604" i="1"/>
  <c r="O604" i="1"/>
  <c r="T603" i="1"/>
  <c r="S603" i="1"/>
  <c r="Q603" i="1"/>
  <c r="P603" i="1"/>
  <c r="O603" i="1"/>
  <c r="T602" i="1"/>
  <c r="S602" i="1"/>
  <c r="Q602" i="1"/>
  <c r="P602" i="1"/>
  <c r="O602" i="1"/>
  <c r="T601" i="1"/>
  <c r="S601" i="1"/>
  <c r="Q601" i="1"/>
  <c r="P601" i="1"/>
  <c r="O601" i="1"/>
  <c r="T600" i="1"/>
  <c r="S600" i="1"/>
  <c r="Q600" i="1"/>
  <c r="P600" i="1"/>
  <c r="O600" i="1"/>
  <c r="T599" i="1"/>
  <c r="S599" i="1"/>
  <c r="Q599" i="1"/>
  <c r="P599" i="1"/>
  <c r="O599" i="1"/>
  <c r="T598" i="1"/>
  <c r="S598" i="1"/>
  <c r="Q598" i="1"/>
  <c r="P598" i="1"/>
  <c r="O598" i="1"/>
  <c r="T597" i="1"/>
  <c r="S597" i="1"/>
  <c r="Q597" i="1"/>
  <c r="P597" i="1"/>
  <c r="O597" i="1"/>
  <c r="T596" i="1"/>
  <c r="S596" i="1"/>
  <c r="Q596" i="1"/>
  <c r="P596" i="1"/>
  <c r="O596" i="1"/>
  <c r="T595" i="1"/>
  <c r="S595" i="1"/>
  <c r="Q595" i="1"/>
  <c r="P595" i="1"/>
  <c r="O595" i="1"/>
  <c r="T594" i="1"/>
  <c r="S594" i="1"/>
  <c r="Q594" i="1"/>
  <c r="P594" i="1"/>
  <c r="O594" i="1"/>
  <c r="T593" i="1"/>
  <c r="S593" i="1"/>
  <c r="Q593" i="1"/>
  <c r="P593" i="1"/>
  <c r="O593" i="1"/>
  <c r="T592" i="1"/>
  <c r="S592" i="1"/>
  <c r="Q592" i="1"/>
  <c r="P592" i="1"/>
  <c r="O592" i="1"/>
  <c r="T591" i="1"/>
  <c r="S591" i="1"/>
  <c r="Q591" i="1"/>
  <c r="P591" i="1"/>
  <c r="O591" i="1"/>
  <c r="T590" i="1"/>
  <c r="S590" i="1"/>
  <c r="Q590" i="1"/>
  <c r="P590" i="1"/>
  <c r="O590" i="1"/>
  <c r="T589" i="1"/>
  <c r="S589" i="1"/>
  <c r="Q589" i="1"/>
  <c r="P589" i="1"/>
  <c r="O589" i="1"/>
  <c r="T588" i="1"/>
  <c r="S588" i="1"/>
  <c r="Q588" i="1"/>
  <c r="P588" i="1"/>
  <c r="O588" i="1"/>
  <c r="T587" i="1"/>
  <c r="S587" i="1"/>
  <c r="Q587" i="1"/>
  <c r="P587" i="1"/>
  <c r="O587" i="1"/>
  <c r="T586" i="1"/>
  <c r="S586" i="1"/>
  <c r="Q586" i="1"/>
  <c r="P586" i="1"/>
  <c r="O586" i="1"/>
  <c r="T585" i="1"/>
  <c r="S585" i="1"/>
  <c r="Q585" i="1"/>
  <c r="P585" i="1"/>
  <c r="O585" i="1"/>
  <c r="T584" i="1"/>
  <c r="S584" i="1"/>
  <c r="Q584" i="1"/>
  <c r="P584" i="1"/>
  <c r="O584" i="1"/>
  <c r="T583" i="1"/>
  <c r="S583" i="1"/>
  <c r="Q583" i="1"/>
  <c r="P583" i="1"/>
  <c r="O583" i="1"/>
  <c r="T582" i="1"/>
  <c r="S582" i="1"/>
  <c r="Q582" i="1"/>
  <c r="P582" i="1"/>
  <c r="O582" i="1"/>
  <c r="T581" i="1"/>
  <c r="S581" i="1"/>
  <c r="Q581" i="1"/>
  <c r="P581" i="1"/>
  <c r="O581" i="1"/>
  <c r="T580" i="1"/>
  <c r="S580" i="1"/>
  <c r="Q580" i="1"/>
  <c r="P580" i="1"/>
  <c r="O580" i="1"/>
  <c r="T579" i="1"/>
  <c r="S579" i="1"/>
  <c r="Q579" i="1"/>
  <c r="P579" i="1"/>
  <c r="O579" i="1"/>
  <c r="T578" i="1"/>
  <c r="S578" i="1"/>
  <c r="Q578" i="1"/>
  <c r="P578" i="1"/>
  <c r="O578" i="1"/>
  <c r="T577" i="1"/>
  <c r="S577" i="1"/>
  <c r="Q577" i="1"/>
  <c r="P577" i="1"/>
  <c r="O577" i="1"/>
  <c r="T576" i="1"/>
  <c r="S576" i="1"/>
  <c r="Q576" i="1"/>
  <c r="P576" i="1"/>
  <c r="O576" i="1"/>
  <c r="T575" i="1"/>
  <c r="S575" i="1"/>
  <c r="Q575" i="1"/>
  <c r="P575" i="1"/>
  <c r="O575" i="1"/>
  <c r="T574" i="1"/>
  <c r="S574" i="1"/>
  <c r="Q574" i="1"/>
  <c r="P574" i="1"/>
  <c r="O574" i="1"/>
  <c r="T573" i="1"/>
  <c r="S573" i="1"/>
  <c r="Q573" i="1"/>
  <c r="P573" i="1"/>
  <c r="O573" i="1"/>
  <c r="T572" i="1"/>
  <c r="S572" i="1"/>
  <c r="Q572" i="1"/>
  <c r="P572" i="1"/>
  <c r="O572" i="1"/>
  <c r="T571" i="1"/>
  <c r="S571" i="1"/>
  <c r="Q571" i="1"/>
  <c r="P571" i="1"/>
  <c r="O571" i="1"/>
  <c r="T570" i="1"/>
  <c r="S570" i="1"/>
  <c r="Q570" i="1"/>
  <c r="P570" i="1"/>
  <c r="O570" i="1"/>
  <c r="T569" i="1"/>
  <c r="S569" i="1"/>
  <c r="Q569" i="1"/>
  <c r="P569" i="1"/>
  <c r="O569" i="1"/>
  <c r="T568" i="1"/>
  <c r="S568" i="1"/>
  <c r="Q568" i="1"/>
  <c r="P568" i="1"/>
  <c r="O568" i="1"/>
  <c r="T567" i="1"/>
  <c r="S567" i="1"/>
  <c r="Q567" i="1"/>
  <c r="P567" i="1"/>
  <c r="O567" i="1"/>
  <c r="T566" i="1"/>
  <c r="S566" i="1"/>
  <c r="Q566" i="1"/>
  <c r="P566" i="1"/>
  <c r="O566" i="1"/>
  <c r="T565" i="1"/>
  <c r="S565" i="1"/>
  <c r="Q565" i="1"/>
  <c r="P565" i="1"/>
  <c r="O565" i="1"/>
  <c r="T564" i="1"/>
  <c r="S564" i="1"/>
  <c r="Q564" i="1"/>
  <c r="P564" i="1"/>
  <c r="O564" i="1"/>
  <c r="T563" i="1"/>
  <c r="S563" i="1"/>
  <c r="Q563" i="1"/>
  <c r="P563" i="1"/>
  <c r="O563" i="1"/>
  <c r="T562" i="1"/>
  <c r="S562" i="1"/>
  <c r="Q562" i="1"/>
  <c r="P562" i="1"/>
  <c r="O562" i="1"/>
  <c r="T561" i="1"/>
  <c r="S561" i="1"/>
  <c r="Q561" i="1"/>
  <c r="P561" i="1"/>
  <c r="O561" i="1"/>
  <c r="T560" i="1"/>
  <c r="S560" i="1"/>
  <c r="Q560" i="1"/>
  <c r="P560" i="1"/>
  <c r="O560" i="1"/>
  <c r="T559" i="1"/>
  <c r="S559" i="1"/>
  <c r="Q559" i="1"/>
  <c r="P559" i="1"/>
  <c r="O559" i="1"/>
  <c r="T558" i="1"/>
  <c r="S558" i="1"/>
  <c r="Q558" i="1"/>
  <c r="P558" i="1"/>
  <c r="O558" i="1"/>
  <c r="T557" i="1"/>
  <c r="S557" i="1"/>
  <c r="Q557" i="1"/>
  <c r="P557" i="1"/>
  <c r="O557" i="1"/>
  <c r="T556" i="1"/>
  <c r="S556" i="1"/>
  <c r="Q556" i="1"/>
  <c r="P556" i="1"/>
  <c r="O556" i="1"/>
  <c r="T555" i="1"/>
  <c r="S555" i="1"/>
  <c r="Q555" i="1"/>
  <c r="P555" i="1"/>
  <c r="O555" i="1"/>
  <c r="T554" i="1"/>
  <c r="S554" i="1"/>
  <c r="Q554" i="1"/>
  <c r="P554" i="1"/>
  <c r="O554" i="1"/>
  <c r="T553" i="1"/>
  <c r="S553" i="1"/>
  <c r="Q553" i="1"/>
  <c r="P553" i="1"/>
  <c r="O553" i="1"/>
  <c r="T552" i="1"/>
  <c r="S552" i="1"/>
  <c r="Q552" i="1"/>
  <c r="P552" i="1"/>
  <c r="O552" i="1"/>
  <c r="T551" i="1"/>
  <c r="S551" i="1"/>
  <c r="Q551" i="1"/>
  <c r="P551" i="1"/>
  <c r="O551" i="1"/>
  <c r="T550" i="1"/>
  <c r="S550" i="1"/>
  <c r="Q550" i="1"/>
  <c r="P550" i="1"/>
  <c r="O550" i="1"/>
  <c r="T549" i="1"/>
  <c r="S549" i="1"/>
  <c r="Q549" i="1"/>
  <c r="P549" i="1"/>
  <c r="O549" i="1"/>
  <c r="T548" i="1"/>
  <c r="S548" i="1"/>
  <c r="Q548" i="1"/>
  <c r="P548" i="1"/>
  <c r="O548" i="1"/>
  <c r="T547" i="1"/>
  <c r="S547" i="1"/>
  <c r="Q547" i="1"/>
  <c r="P547" i="1"/>
  <c r="O547" i="1"/>
  <c r="T546" i="1"/>
  <c r="S546" i="1"/>
  <c r="Q546" i="1"/>
  <c r="P546" i="1"/>
  <c r="O546" i="1"/>
  <c r="T545" i="1"/>
  <c r="S545" i="1"/>
  <c r="Q545" i="1"/>
  <c r="P545" i="1"/>
  <c r="O545" i="1"/>
  <c r="T544" i="1"/>
  <c r="S544" i="1"/>
  <c r="Q544" i="1"/>
  <c r="P544" i="1"/>
  <c r="O544" i="1"/>
  <c r="T543" i="1"/>
  <c r="S543" i="1"/>
  <c r="Q543" i="1"/>
  <c r="P543" i="1"/>
  <c r="O543" i="1"/>
  <c r="T542" i="1"/>
  <c r="S542" i="1"/>
  <c r="Q542" i="1"/>
  <c r="P542" i="1"/>
  <c r="O542" i="1"/>
  <c r="T541" i="1"/>
  <c r="S541" i="1"/>
  <c r="Q541" i="1"/>
  <c r="P541" i="1"/>
  <c r="O541" i="1"/>
  <c r="T540" i="1"/>
  <c r="S540" i="1"/>
  <c r="Q540" i="1"/>
  <c r="P540" i="1"/>
  <c r="O540" i="1"/>
  <c r="T539" i="1"/>
  <c r="S539" i="1"/>
  <c r="Q539" i="1"/>
  <c r="P539" i="1"/>
  <c r="O539" i="1"/>
  <c r="T538" i="1"/>
  <c r="S538" i="1"/>
  <c r="Q538" i="1"/>
  <c r="P538" i="1"/>
  <c r="O538" i="1"/>
  <c r="T537" i="1"/>
  <c r="S537" i="1"/>
  <c r="Q537" i="1"/>
  <c r="P537" i="1"/>
  <c r="O537" i="1"/>
  <c r="T536" i="1"/>
  <c r="S536" i="1"/>
  <c r="Q536" i="1"/>
  <c r="P536" i="1"/>
  <c r="O536" i="1"/>
  <c r="T535" i="1"/>
  <c r="S535" i="1"/>
  <c r="Q535" i="1"/>
  <c r="P535" i="1"/>
  <c r="O535" i="1"/>
  <c r="T534" i="1"/>
  <c r="S534" i="1"/>
  <c r="Q534" i="1"/>
  <c r="P534" i="1"/>
  <c r="O534" i="1"/>
  <c r="T533" i="1"/>
  <c r="S533" i="1"/>
  <c r="Q533" i="1"/>
  <c r="P533" i="1"/>
  <c r="O533" i="1"/>
  <c r="T532" i="1"/>
  <c r="S532" i="1"/>
  <c r="Q532" i="1"/>
  <c r="P532" i="1"/>
  <c r="O532" i="1"/>
  <c r="T531" i="1"/>
  <c r="S531" i="1"/>
  <c r="Q531" i="1"/>
  <c r="P531" i="1"/>
  <c r="O531" i="1"/>
  <c r="T530" i="1"/>
  <c r="S530" i="1"/>
  <c r="Q530" i="1"/>
  <c r="P530" i="1"/>
  <c r="O530" i="1"/>
  <c r="T529" i="1"/>
  <c r="S529" i="1"/>
  <c r="Q529" i="1"/>
  <c r="P529" i="1"/>
  <c r="O529" i="1"/>
  <c r="T528" i="1"/>
  <c r="S528" i="1"/>
  <c r="Q528" i="1"/>
  <c r="P528" i="1"/>
  <c r="O528" i="1"/>
  <c r="T527" i="1"/>
  <c r="S527" i="1"/>
  <c r="Q527" i="1"/>
  <c r="P527" i="1"/>
  <c r="O527" i="1"/>
  <c r="T526" i="1"/>
  <c r="S526" i="1"/>
  <c r="Q526" i="1"/>
  <c r="P526" i="1"/>
  <c r="O526" i="1"/>
  <c r="T525" i="1"/>
  <c r="S525" i="1"/>
  <c r="Q525" i="1"/>
  <c r="P525" i="1"/>
  <c r="O525" i="1"/>
  <c r="T524" i="1"/>
  <c r="S524" i="1"/>
  <c r="Q524" i="1"/>
  <c r="P524" i="1"/>
  <c r="O524" i="1"/>
  <c r="T523" i="1"/>
  <c r="S523" i="1"/>
  <c r="Q523" i="1"/>
  <c r="P523" i="1"/>
  <c r="O523" i="1"/>
  <c r="T522" i="1"/>
  <c r="S522" i="1"/>
  <c r="Q522" i="1"/>
  <c r="P522" i="1"/>
  <c r="O522" i="1"/>
  <c r="T521" i="1"/>
  <c r="S521" i="1"/>
  <c r="Q521" i="1"/>
  <c r="P521" i="1"/>
  <c r="O521" i="1"/>
  <c r="T520" i="1"/>
  <c r="S520" i="1"/>
  <c r="Q520" i="1"/>
  <c r="P520" i="1"/>
  <c r="O520" i="1"/>
  <c r="T519" i="1"/>
  <c r="S519" i="1"/>
  <c r="Q519" i="1"/>
  <c r="P519" i="1"/>
  <c r="O519" i="1"/>
  <c r="T518" i="1"/>
  <c r="S518" i="1"/>
  <c r="Q518" i="1"/>
  <c r="P518" i="1"/>
  <c r="O518" i="1"/>
  <c r="T517" i="1"/>
  <c r="S517" i="1"/>
  <c r="Q517" i="1"/>
  <c r="P517" i="1"/>
  <c r="O517" i="1"/>
  <c r="T516" i="1"/>
  <c r="S516" i="1"/>
  <c r="Q516" i="1"/>
  <c r="P516" i="1"/>
  <c r="O516" i="1"/>
  <c r="T515" i="1"/>
  <c r="S515" i="1"/>
  <c r="Q515" i="1"/>
  <c r="P515" i="1"/>
  <c r="O515" i="1"/>
  <c r="T514" i="1"/>
  <c r="S514" i="1"/>
  <c r="Q514" i="1"/>
  <c r="P514" i="1"/>
  <c r="O514" i="1"/>
  <c r="T513" i="1"/>
  <c r="S513" i="1"/>
  <c r="Q513" i="1"/>
  <c r="P513" i="1"/>
  <c r="O513" i="1"/>
  <c r="T512" i="1"/>
  <c r="S512" i="1"/>
  <c r="Q512" i="1"/>
  <c r="P512" i="1"/>
  <c r="O512" i="1"/>
  <c r="T511" i="1"/>
  <c r="S511" i="1"/>
  <c r="Q511" i="1"/>
  <c r="P511" i="1"/>
  <c r="O511" i="1"/>
  <c r="T510" i="1"/>
  <c r="S510" i="1"/>
  <c r="Q510" i="1"/>
  <c r="P510" i="1"/>
  <c r="O510" i="1"/>
  <c r="T509" i="1"/>
  <c r="S509" i="1"/>
  <c r="Q509" i="1"/>
  <c r="P509" i="1"/>
  <c r="O509" i="1"/>
  <c r="T508" i="1"/>
  <c r="S508" i="1"/>
  <c r="Q508" i="1"/>
  <c r="P508" i="1"/>
  <c r="O508" i="1"/>
  <c r="T507" i="1"/>
  <c r="S507" i="1"/>
  <c r="Q507" i="1"/>
  <c r="P507" i="1"/>
  <c r="O507" i="1"/>
  <c r="T506" i="1"/>
  <c r="S506" i="1"/>
  <c r="Q506" i="1"/>
  <c r="P506" i="1"/>
  <c r="O506" i="1"/>
  <c r="T505" i="1"/>
  <c r="S505" i="1"/>
  <c r="Q505" i="1"/>
  <c r="P505" i="1"/>
  <c r="O505" i="1"/>
  <c r="T504" i="1"/>
  <c r="S504" i="1"/>
  <c r="Q504" i="1"/>
  <c r="P504" i="1"/>
  <c r="O504" i="1"/>
  <c r="T503" i="1"/>
  <c r="S503" i="1"/>
  <c r="Q503" i="1"/>
  <c r="P503" i="1"/>
  <c r="O503" i="1"/>
  <c r="T502" i="1"/>
  <c r="S502" i="1"/>
  <c r="Q502" i="1"/>
  <c r="P502" i="1"/>
  <c r="O502" i="1"/>
  <c r="T501" i="1"/>
  <c r="S501" i="1"/>
  <c r="Q501" i="1"/>
  <c r="P501" i="1"/>
  <c r="O501" i="1"/>
  <c r="T500" i="1"/>
  <c r="S500" i="1"/>
  <c r="Q500" i="1"/>
  <c r="P500" i="1"/>
  <c r="O500" i="1"/>
  <c r="T499" i="1"/>
  <c r="S499" i="1"/>
  <c r="Q499" i="1"/>
  <c r="P499" i="1"/>
  <c r="O499" i="1"/>
  <c r="T498" i="1"/>
  <c r="S498" i="1"/>
  <c r="Q498" i="1"/>
  <c r="P498" i="1"/>
  <c r="O498" i="1"/>
  <c r="T497" i="1"/>
  <c r="S497" i="1"/>
  <c r="Q497" i="1"/>
  <c r="P497" i="1"/>
  <c r="O497" i="1"/>
  <c r="T496" i="1"/>
  <c r="S496" i="1"/>
  <c r="Q496" i="1"/>
  <c r="P496" i="1"/>
  <c r="O496" i="1"/>
  <c r="T495" i="1"/>
  <c r="S495" i="1"/>
  <c r="Q495" i="1"/>
  <c r="P495" i="1"/>
  <c r="O495" i="1"/>
  <c r="T494" i="1"/>
  <c r="S494" i="1"/>
  <c r="Q494" i="1"/>
  <c r="P494" i="1"/>
  <c r="O494" i="1"/>
  <c r="T493" i="1"/>
  <c r="S493" i="1"/>
  <c r="Q493" i="1"/>
  <c r="P493" i="1"/>
  <c r="O493" i="1"/>
  <c r="T492" i="1"/>
  <c r="S492" i="1"/>
  <c r="Q492" i="1"/>
  <c r="P492" i="1"/>
  <c r="O492" i="1"/>
  <c r="T491" i="1"/>
  <c r="S491" i="1"/>
  <c r="Q491" i="1"/>
  <c r="P491" i="1"/>
  <c r="O491" i="1"/>
  <c r="T490" i="1"/>
  <c r="S490" i="1"/>
  <c r="Q490" i="1"/>
  <c r="P490" i="1"/>
  <c r="O490" i="1"/>
  <c r="T489" i="1"/>
  <c r="S489" i="1"/>
  <c r="Q489" i="1"/>
  <c r="P489" i="1"/>
  <c r="O489" i="1"/>
  <c r="T488" i="1"/>
  <c r="S488" i="1"/>
  <c r="Q488" i="1"/>
  <c r="P488" i="1"/>
  <c r="O488" i="1"/>
  <c r="T487" i="1"/>
  <c r="S487" i="1"/>
  <c r="Q487" i="1"/>
  <c r="P487" i="1"/>
  <c r="O487" i="1"/>
  <c r="T486" i="1"/>
  <c r="S486" i="1"/>
  <c r="Q486" i="1"/>
  <c r="P486" i="1"/>
  <c r="O486" i="1"/>
  <c r="T485" i="1"/>
  <c r="S485" i="1"/>
  <c r="Q485" i="1"/>
  <c r="P485" i="1"/>
  <c r="O485" i="1"/>
  <c r="T484" i="1"/>
  <c r="S484" i="1"/>
  <c r="Q484" i="1"/>
  <c r="P484" i="1"/>
  <c r="O484" i="1"/>
  <c r="T483" i="1"/>
  <c r="S483" i="1"/>
  <c r="Q483" i="1"/>
  <c r="P483" i="1"/>
  <c r="O483" i="1"/>
  <c r="T482" i="1"/>
  <c r="S482" i="1"/>
  <c r="Q482" i="1"/>
  <c r="P482" i="1"/>
  <c r="O482" i="1"/>
  <c r="T481" i="1"/>
  <c r="S481" i="1"/>
  <c r="Q481" i="1"/>
  <c r="P481" i="1"/>
  <c r="O481" i="1"/>
  <c r="T480" i="1"/>
  <c r="S480" i="1"/>
  <c r="Q480" i="1"/>
  <c r="P480" i="1"/>
  <c r="O480" i="1"/>
  <c r="T479" i="1"/>
  <c r="S479" i="1"/>
  <c r="Q479" i="1"/>
  <c r="P479" i="1"/>
  <c r="O479" i="1"/>
  <c r="T478" i="1"/>
  <c r="S478" i="1"/>
  <c r="Q478" i="1"/>
  <c r="P478" i="1"/>
  <c r="O478" i="1"/>
  <c r="T477" i="1"/>
  <c r="S477" i="1"/>
  <c r="Q477" i="1"/>
  <c r="P477" i="1"/>
  <c r="O477" i="1"/>
  <c r="T476" i="1"/>
  <c r="S476" i="1"/>
  <c r="Q476" i="1"/>
  <c r="P476" i="1"/>
  <c r="O476" i="1"/>
  <c r="T475" i="1"/>
  <c r="S475" i="1"/>
  <c r="Q475" i="1"/>
  <c r="P475" i="1"/>
  <c r="O475" i="1"/>
  <c r="T474" i="1"/>
  <c r="S474" i="1"/>
  <c r="Q474" i="1"/>
  <c r="P474" i="1"/>
  <c r="O474" i="1"/>
  <c r="T473" i="1"/>
  <c r="S473" i="1"/>
  <c r="Q473" i="1"/>
  <c r="P473" i="1"/>
  <c r="O473" i="1"/>
  <c r="T472" i="1"/>
  <c r="S472" i="1"/>
  <c r="Q472" i="1"/>
  <c r="P472" i="1"/>
  <c r="O472" i="1"/>
  <c r="T471" i="1"/>
  <c r="S471" i="1"/>
  <c r="Q471" i="1"/>
  <c r="P471" i="1"/>
  <c r="O471" i="1"/>
  <c r="T470" i="1"/>
  <c r="S470" i="1"/>
  <c r="Q470" i="1"/>
  <c r="P470" i="1"/>
  <c r="O470" i="1"/>
  <c r="T469" i="1"/>
  <c r="S469" i="1"/>
  <c r="Q469" i="1"/>
  <c r="P469" i="1"/>
  <c r="O469" i="1"/>
  <c r="T468" i="1"/>
  <c r="S468" i="1"/>
  <c r="Q468" i="1"/>
  <c r="P468" i="1"/>
  <c r="O468" i="1"/>
  <c r="T467" i="1"/>
  <c r="S467" i="1"/>
  <c r="Q467" i="1"/>
  <c r="P467" i="1"/>
  <c r="O467" i="1"/>
  <c r="T466" i="1"/>
  <c r="S466" i="1"/>
  <c r="Q466" i="1"/>
  <c r="P466" i="1"/>
  <c r="O466" i="1"/>
  <c r="T465" i="1"/>
  <c r="S465" i="1"/>
  <c r="Q465" i="1"/>
  <c r="P465" i="1"/>
  <c r="O465" i="1"/>
  <c r="T464" i="1"/>
  <c r="S464" i="1"/>
  <c r="Q464" i="1"/>
  <c r="P464" i="1"/>
  <c r="O464" i="1"/>
  <c r="T463" i="1"/>
  <c r="S463" i="1"/>
  <c r="Q463" i="1"/>
  <c r="P463" i="1"/>
  <c r="O463" i="1"/>
  <c r="T462" i="1"/>
  <c r="S462" i="1"/>
  <c r="Q462" i="1"/>
  <c r="P462" i="1"/>
  <c r="O462" i="1"/>
  <c r="T461" i="1"/>
  <c r="S461" i="1"/>
  <c r="Q461" i="1"/>
  <c r="P461" i="1"/>
  <c r="O461" i="1"/>
  <c r="T460" i="1"/>
  <c r="S460" i="1"/>
  <c r="Q460" i="1"/>
  <c r="P460" i="1"/>
  <c r="O460" i="1"/>
  <c r="T459" i="1"/>
  <c r="S459" i="1"/>
  <c r="Q459" i="1"/>
  <c r="P459" i="1"/>
  <c r="O459" i="1"/>
  <c r="T458" i="1"/>
  <c r="S458" i="1"/>
  <c r="Q458" i="1"/>
  <c r="P458" i="1"/>
  <c r="O458" i="1"/>
  <c r="T457" i="1"/>
  <c r="S457" i="1"/>
  <c r="Q457" i="1"/>
  <c r="P457" i="1"/>
  <c r="O457" i="1"/>
  <c r="T456" i="1"/>
  <c r="S456" i="1"/>
  <c r="Q456" i="1"/>
  <c r="P456" i="1"/>
  <c r="O456" i="1"/>
  <c r="T455" i="1"/>
  <c r="S455" i="1"/>
  <c r="Q455" i="1"/>
  <c r="P455" i="1"/>
  <c r="O455" i="1"/>
  <c r="T454" i="1"/>
  <c r="S454" i="1"/>
  <c r="Q454" i="1"/>
  <c r="P454" i="1"/>
  <c r="O454" i="1"/>
  <c r="T453" i="1"/>
  <c r="S453" i="1"/>
  <c r="Q453" i="1"/>
  <c r="P453" i="1"/>
  <c r="O453" i="1"/>
  <c r="T452" i="1"/>
  <c r="S452" i="1"/>
  <c r="Q452" i="1"/>
  <c r="P452" i="1"/>
  <c r="O452" i="1"/>
  <c r="T451" i="1"/>
  <c r="S451" i="1"/>
  <c r="Q451" i="1"/>
  <c r="P451" i="1"/>
  <c r="O451" i="1"/>
  <c r="T450" i="1"/>
  <c r="S450" i="1"/>
  <c r="Q450" i="1"/>
  <c r="P450" i="1"/>
  <c r="O450" i="1"/>
  <c r="T449" i="1"/>
  <c r="S449" i="1"/>
  <c r="Q449" i="1"/>
  <c r="P449" i="1"/>
  <c r="O449" i="1"/>
  <c r="T448" i="1"/>
  <c r="S448" i="1"/>
  <c r="Q448" i="1"/>
  <c r="P448" i="1"/>
  <c r="O448" i="1"/>
  <c r="T447" i="1"/>
  <c r="S447" i="1"/>
  <c r="Q447" i="1"/>
  <c r="P447" i="1"/>
  <c r="O447" i="1"/>
  <c r="T446" i="1"/>
  <c r="S446" i="1"/>
  <c r="Q446" i="1"/>
  <c r="P446" i="1"/>
  <c r="O446" i="1"/>
  <c r="T445" i="1"/>
  <c r="S445" i="1"/>
  <c r="Q445" i="1"/>
  <c r="P445" i="1"/>
  <c r="O445" i="1"/>
  <c r="T444" i="1"/>
  <c r="S444" i="1"/>
  <c r="Q444" i="1"/>
  <c r="P444" i="1"/>
  <c r="O444" i="1"/>
  <c r="T443" i="1"/>
  <c r="S443" i="1"/>
  <c r="Q443" i="1"/>
  <c r="P443" i="1"/>
  <c r="O443" i="1"/>
  <c r="T442" i="1"/>
  <c r="S442" i="1"/>
  <c r="Q442" i="1"/>
  <c r="P442" i="1"/>
  <c r="O442" i="1"/>
  <c r="T441" i="1"/>
  <c r="S441" i="1"/>
  <c r="Q441" i="1"/>
  <c r="P441" i="1"/>
  <c r="O441" i="1"/>
  <c r="T440" i="1"/>
  <c r="S440" i="1"/>
  <c r="Q440" i="1"/>
  <c r="P440" i="1"/>
  <c r="O440" i="1"/>
  <c r="T439" i="1"/>
  <c r="S439" i="1"/>
  <c r="Q439" i="1"/>
  <c r="P439" i="1"/>
  <c r="O439" i="1"/>
  <c r="T438" i="1"/>
  <c r="S438" i="1"/>
  <c r="Q438" i="1"/>
  <c r="P438" i="1"/>
  <c r="O438" i="1"/>
  <c r="T437" i="1"/>
  <c r="S437" i="1"/>
  <c r="Q437" i="1"/>
  <c r="P437" i="1"/>
  <c r="O437" i="1"/>
  <c r="T436" i="1"/>
  <c r="S436" i="1"/>
  <c r="Q436" i="1"/>
  <c r="P436" i="1"/>
  <c r="O436" i="1"/>
  <c r="T435" i="1"/>
  <c r="S435" i="1"/>
  <c r="Q435" i="1"/>
  <c r="P435" i="1"/>
  <c r="O435" i="1"/>
  <c r="T434" i="1"/>
  <c r="S434" i="1"/>
  <c r="Q434" i="1"/>
  <c r="P434" i="1"/>
  <c r="O434" i="1"/>
  <c r="T433" i="1"/>
  <c r="S433" i="1"/>
  <c r="Q433" i="1"/>
  <c r="P433" i="1"/>
  <c r="O433" i="1"/>
  <c r="T432" i="1"/>
  <c r="S432" i="1"/>
  <c r="Q432" i="1"/>
  <c r="P432" i="1"/>
  <c r="O432" i="1"/>
  <c r="T431" i="1"/>
  <c r="S431" i="1"/>
  <c r="Q431" i="1"/>
  <c r="P431" i="1"/>
  <c r="O431" i="1"/>
  <c r="T430" i="1"/>
  <c r="S430" i="1"/>
  <c r="Q430" i="1"/>
  <c r="P430" i="1"/>
  <c r="O430" i="1"/>
  <c r="T429" i="1"/>
  <c r="S429" i="1"/>
  <c r="Q429" i="1"/>
  <c r="P429" i="1"/>
  <c r="O429" i="1"/>
  <c r="T428" i="1"/>
  <c r="S428" i="1"/>
  <c r="Q428" i="1"/>
  <c r="P428" i="1"/>
  <c r="O428" i="1"/>
  <c r="T427" i="1"/>
  <c r="S427" i="1"/>
  <c r="Q427" i="1"/>
  <c r="P427" i="1"/>
  <c r="O427" i="1"/>
  <c r="T426" i="1"/>
  <c r="S426" i="1"/>
  <c r="Q426" i="1"/>
  <c r="P426" i="1"/>
  <c r="O426" i="1"/>
  <c r="T425" i="1"/>
  <c r="S425" i="1"/>
  <c r="Q425" i="1"/>
  <c r="P425" i="1"/>
  <c r="O425" i="1"/>
  <c r="T424" i="1"/>
  <c r="S424" i="1"/>
  <c r="Q424" i="1"/>
  <c r="P424" i="1"/>
  <c r="O424" i="1"/>
  <c r="T423" i="1"/>
  <c r="S423" i="1"/>
  <c r="Q423" i="1"/>
  <c r="P423" i="1"/>
  <c r="O423" i="1"/>
  <c r="T422" i="1"/>
  <c r="S422" i="1"/>
  <c r="Q422" i="1"/>
  <c r="P422" i="1"/>
  <c r="O422" i="1"/>
  <c r="T421" i="1"/>
  <c r="S421" i="1"/>
  <c r="Q421" i="1"/>
  <c r="P421" i="1"/>
  <c r="O421" i="1"/>
  <c r="T420" i="1"/>
  <c r="S420" i="1"/>
  <c r="Q420" i="1"/>
  <c r="P420" i="1"/>
  <c r="O420" i="1"/>
  <c r="T419" i="1"/>
  <c r="S419" i="1"/>
  <c r="Q419" i="1"/>
  <c r="P419" i="1"/>
  <c r="O419" i="1"/>
  <c r="T418" i="1"/>
  <c r="S418" i="1"/>
  <c r="Q418" i="1"/>
  <c r="P418" i="1"/>
  <c r="O418" i="1"/>
  <c r="T417" i="1"/>
  <c r="S417" i="1"/>
  <c r="Q417" i="1"/>
  <c r="P417" i="1"/>
  <c r="O417" i="1"/>
  <c r="T416" i="1"/>
  <c r="S416" i="1"/>
  <c r="Q416" i="1"/>
  <c r="P416" i="1"/>
  <c r="O416" i="1"/>
  <c r="T415" i="1"/>
  <c r="S415" i="1"/>
  <c r="Q415" i="1"/>
  <c r="P415" i="1"/>
  <c r="O415" i="1"/>
  <c r="T414" i="1"/>
  <c r="S414" i="1"/>
  <c r="Q414" i="1"/>
  <c r="P414" i="1"/>
  <c r="O414" i="1"/>
  <c r="T413" i="1"/>
  <c r="S413" i="1"/>
  <c r="Q413" i="1"/>
  <c r="P413" i="1"/>
  <c r="O413" i="1"/>
  <c r="T412" i="1"/>
  <c r="S412" i="1"/>
  <c r="Q412" i="1"/>
  <c r="P412" i="1"/>
  <c r="O412" i="1"/>
  <c r="T411" i="1"/>
  <c r="S411" i="1"/>
  <c r="Q411" i="1"/>
  <c r="P411" i="1"/>
  <c r="O411" i="1"/>
  <c r="T410" i="1"/>
  <c r="S410" i="1"/>
  <c r="Q410" i="1"/>
  <c r="P410" i="1"/>
  <c r="O410" i="1"/>
  <c r="T409" i="1"/>
  <c r="S409" i="1"/>
  <c r="Q409" i="1"/>
  <c r="P409" i="1"/>
  <c r="O409" i="1"/>
  <c r="T408" i="1"/>
  <c r="S408" i="1"/>
  <c r="Q408" i="1"/>
  <c r="P408" i="1"/>
  <c r="O408" i="1"/>
  <c r="T407" i="1"/>
  <c r="S407" i="1"/>
  <c r="Q407" i="1"/>
  <c r="P407" i="1"/>
  <c r="O407" i="1"/>
  <c r="T406" i="1"/>
  <c r="S406" i="1"/>
  <c r="Q406" i="1"/>
  <c r="P406" i="1"/>
  <c r="O406" i="1"/>
  <c r="T405" i="1"/>
  <c r="S405" i="1"/>
  <c r="Q405" i="1"/>
  <c r="P405" i="1"/>
  <c r="O405" i="1"/>
  <c r="T404" i="1"/>
  <c r="S404" i="1"/>
  <c r="Q404" i="1"/>
  <c r="P404" i="1"/>
  <c r="O404" i="1"/>
  <c r="T403" i="1"/>
  <c r="S403" i="1"/>
  <c r="Q403" i="1"/>
  <c r="P403" i="1"/>
  <c r="O403" i="1"/>
  <c r="T402" i="1"/>
  <c r="S402" i="1"/>
  <c r="Q402" i="1"/>
  <c r="P402" i="1"/>
  <c r="O402" i="1"/>
  <c r="T401" i="1"/>
  <c r="S401" i="1"/>
  <c r="Q401" i="1"/>
  <c r="P401" i="1"/>
  <c r="O401" i="1"/>
  <c r="T400" i="1"/>
  <c r="S400" i="1"/>
  <c r="Q400" i="1"/>
  <c r="P400" i="1"/>
  <c r="O400" i="1"/>
  <c r="T399" i="1"/>
  <c r="S399" i="1"/>
  <c r="Q399" i="1"/>
  <c r="P399" i="1"/>
  <c r="O399" i="1"/>
  <c r="T398" i="1"/>
  <c r="S398" i="1"/>
  <c r="Q398" i="1"/>
  <c r="P398" i="1"/>
  <c r="O398" i="1"/>
  <c r="T397" i="1"/>
  <c r="S397" i="1"/>
  <c r="Q397" i="1"/>
  <c r="P397" i="1"/>
  <c r="O397" i="1"/>
  <c r="T396" i="1"/>
  <c r="S396" i="1"/>
  <c r="Q396" i="1"/>
  <c r="P396" i="1"/>
  <c r="O396" i="1"/>
  <c r="T395" i="1"/>
  <c r="S395" i="1"/>
  <c r="Q395" i="1"/>
  <c r="P395" i="1"/>
  <c r="O395" i="1"/>
  <c r="T394" i="1"/>
  <c r="S394" i="1"/>
  <c r="Q394" i="1"/>
  <c r="P394" i="1"/>
  <c r="O394" i="1"/>
  <c r="T393" i="1"/>
  <c r="S393" i="1"/>
  <c r="Q393" i="1"/>
  <c r="P393" i="1"/>
  <c r="O393" i="1"/>
  <c r="T392" i="1"/>
  <c r="S392" i="1"/>
  <c r="Q392" i="1"/>
  <c r="P392" i="1"/>
  <c r="O392" i="1"/>
  <c r="T391" i="1"/>
  <c r="S391" i="1"/>
  <c r="Q391" i="1"/>
  <c r="P391" i="1"/>
  <c r="O391" i="1"/>
  <c r="T390" i="1"/>
  <c r="S390" i="1"/>
  <c r="Q390" i="1"/>
  <c r="P390" i="1"/>
  <c r="O390" i="1"/>
  <c r="T389" i="1"/>
  <c r="S389" i="1"/>
  <c r="Q389" i="1"/>
  <c r="P389" i="1"/>
  <c r="O389" i="1"/>
  <c r="T388" i="1"/>
  <c r="S388" i="1"/>
  <c r="Q388" i="1"/>
  <c r="P388" i="1"/>
  <c r="O388" i="1"/>
  <c r="T387" i="1"/>
  <c r="S387" i="1"/>
  <c r="Q387" i="1"/>
  <c r="P387" i="1"/>
  <c r="O387" i="1"/>
  <c r="T386" i="1"/>
  <c r="S386" i="1"/>
  <c r="Q386" i="1"/>
  <c r="P386" i="1"/>
  <c r="O386" i="1"/>
  <c r="T385" i="1"/>
  <c r="S385" i="1"/>
  <c r="Q385" i="1"/>
  <c r="P385" i="1"/>
  <c r="O385" i="1"/>
  <c r="T384" i="1"/>
  <c r="S384" i="1"/>
  <c r="Q384" i="1"/>
  <c r="P384" i="1"/>
  <c r="O384" i="1"/>
  <c r="T383" i="1"/>
  <c r="S383" i="1"/>
  <c r="Q383" i="1"/>
  <c r="P383" i="1"/>
  <c r="O383" i="1"/>
  <c r="T382" i="1"/>
  <c r="S382" i="1"/>
  <c r="Q382" i="1"/>
  <c r="P382" i="1"/>
  <c r="O382" i="1"/>
  <c r="T381" i="1"/>
  <c r="S381" i="1"/>
  <c r="Q381" i="1"/>
  <c r="P381" i="1"/>
  <c r="O381" i="1"/>
  <c r="T380" i="1"/>
  <c r="S380" i="1"/>
  <c r="Q380" i="1"/>
  <c r="P380" i="1"/>
  <c r="O380" i="1"/>
  <c r="T379" i="1"/>
  <c r="S379" i="1"/>
  <c r="Q379" i="1"/>
  <c r="P379" i="1"/>
  <c r="O379" i="1"/>
  <c r="T378" i="1"/>
  <c r="S378" i="1"/>
  <c r="Q378" i="1"/>
  <c r="P378" i="1"/>
  <c r="O378" i="1"/>
  <c r="T377" i="1"/>
  <c r="S377" i="1"/>
  <c r="Q377" i="1"/>
  <c r="P377" i="1"/>
  <c r="O377" i="1"/>
  <c r="T376" i="1"/>
  <c r="S376" i="1"/>
  <c r="Q376" i="1"/>
  <c r="P376" i="1"/>
  <c r="O376" i="1"/>
  <c r="T375" i="1"/>
  <c r="S375" i="1"/>
  <c r="Q375" i="1"/>
  <c r="P375" i="1"/>
  <c r="O375" i="1"/>
  <c r="T374" i="1"/>
  <c r="S374" i="1"/>
  <c r="Q374" i="1"/>
  <c r="P374" i="1"/>
  <c r="O374" i="1"/>
  <c r="T373" i="1"/>
  <c r="S373" i="1"/>
  <c r="Q373" i="1"/>
  <c r="P373" i="1"/>
  <c r="O373" i="1"/>
  <c r="T372" i="1"/>
  <c r="S372" i="1"/>
  <c r="Q372" i="1"/>
  <c r="P372" i="1"/>
  <c r="O372" i="1"/>
  <c r="T371" i="1"/>
  <c r="S371" i="1"/>
  <c r="Q371" i="1"/>
  <c r="P371" i="1"/>
  <c r="O371" i="1"/>
  <c r="T370" i="1"/>
  <c r="S370" i="1"/>
  <c r="Q370" i="1"/>
  <c r="P370" i="1"/>
  <c r="O370" i="1"/>
  <c r="T369" i="1"/>
  <c r="S369" i="1"/>
  <c r="Q369" i="1"/>
  <c r="P369" i="1"/>
  <c r="O369" i="1"/>
  <c r="T368" i="1"/>
  <c r="S368" i="1"/>
  <c r="Q368" i="1"/>
  <c r="P368" i="1"/>
  <c r="O368" i="1"/>
  <c r="T367" i="1"/>
  <c r="S367" i="1"/>
  <c r="Q367" i="1"/>
  <c r="P367" i="1"/>
  <c r="O367" i="1"/>
  <c r="T366" i="1"/>
  <c r="S366" i="1"/>
  <c r="Q366" i="1"/>
  <c r="P366" i="1"/>
  <c r="O366" i="1"/>
  <c r="T365" i="1"/>
  <c r="S365" i="1"/>
  <c r="Q365" i="1"/>
  <c r="P365" i="1"/>
  <c r="O365" i="1"/>
  <c r="T364" i="1"/>
  <c r="S364" i="1"/>
  <c r="Q364" i="1"/>
  <c r="P364" i="1"/>
  <c r="O364" i="1"/>
  <c r="T363" i="1"/>
  <c r="S363" i="1"/>
  <c r="Q363" i="1"/>
  <c r="P363" i="1"/>
  <c r="O363" i="1"/>
  <c r="T362" i="1"/>
  <c r="S362" i="1"/>
  <c r="Q362" i="1"/>
  <c r="P362" i="1"/>
  <c r="O362" i="1"/>
  <c r="T361" i="1"/>
  <c r="S361" i="1"/>
  <c r="Q361" i="1"/>
  <c r="P361" i="1"/>
  <c r="O361" i="1"/>
  <c r="T360" i="1"/>
  <c r="S360" i="1"/>
  <c r="Q360" i="1"/>
  <c r="P360" i="1"/>
  <c r="O360" i="1"/>
  <c r="T359" i="1"/>
  <c r="S359" i="1"/>
  <c r="Q359" i="1"/>
  <c r="P359" i="1"/>
  <c r="O359" i="1"/>
  <c r="T358" i="1"/>
  <c r="S358" i="1"/>
  <c r="Q358" i="1"/>
  <c r="P358" i="1"/>
  <c r="O358" i="1"/>
  <c r="T357" i="1"/>
  <c r="S357" i="1"/>
  <c r="Q357" i="1"/>
  <c r="P357" i="1"/>
  <c r="O357" i="1"/>
  <c r="T356" i="1"/>
  <c r="S356" i="1"/>
  <c r="Q356" i="1"/>
  <c r="P356" i="1"/>
  <c r="O356" i="1"/>
  <c r="T355" i="1"/>
  <c r="S355" i="1"/>
  <c r="Q355" i="1"/>
  <c r="P355" i="1"/>
  <c r="O355" i="1"/>
  <c r="T354" i="1"/>
  <c r="S354" i="1"/>
  <c r="Q354" i="1"/>
  <c r="P354" i="1"/>
  <c r="O354" i="1"/>
  <c r="T353" i="1"/>
  <c r="S353" i="1"/>
  <c r="Q353" i="1"/>
  <c r="P353" i="1"/>
  <c r="O353" i="1"/>
  <c r="T352" i="1"/>
  <c r="S352" i="1"/>
  <c r="Q352" i="1"/>
  <c r="P352" i="1"/>
  <c r="O352" i="1"/>
  <c r="T351" i="1"/>
  <c r="S351" i="1"/>
  <c r="Q351" i="1"/>
  <c r="P351" i="1"/>
  <c r="O351" i="1"/>
  <c r="T350" i="1"/>
  <c r="S350" i="1"/>
  <c r="Q350" i="1"/>
  <c r="P350" i="1"/>
  <c r="O350" i="1"/>
  <c r="T349" i="1"/>
  <c r="S349" i="1"/>
  <c r="Q349" i="1"/>
  <c r="P349" i="1"/>
  <c r="O349" i="1"/>
  <c r="T348" i="1"/>
  <c r="S348" i="1"/>
  <c r="Q348" i="1"/>
  <c r="P348" i="1"/>
  <c r="O348" i="1"/>
  <c r="T347" i="1"/>
  <c r="S347" i="1"/>
  <c r="Q347" i="1"/>
  <c r="P347" i="1"/>
  <c r="O347" i="1"/>
  <c r="T346" i="1"/>
  <c r="S346" i="1"/>
  <c r="Q346" i="1"/>
  <c r="P346" i="1"/>
  <c r="O346" i="1"/>
  <c r="T345" i="1"/>
  <c r="S345" i="1"/>
  <c r="Q345" i="1"/>
  <c r="P345" i="1"/>
  <c r="O345" i="1"/>
  <c r="T344" i="1"/>
  <c r="S344" i="1"/>
  <c r="Q344" i="1"/>
  <c r="P344" i="1"/>
  <c r="O344" i="1"/>
  <c r="T343" i="1"/>
  <c r="S343" i="1"/>
  <c r="Q343" i="1"/>
  <c r="P343" i="1"/>
  <c r="O343" i="1"/>
  <c r="T342" i="1"/>
  <c r="S342" i="1"/>
  <c r="Q342" i="1"/>
  <c r="P342" i="1"/>
  <c r="O342" i="1"/>
  <c r="T341" i="1"/>
  <c r="S341" i="1"/>
  <c r="Q341" i="1"/>
  <c r="P341" i="1"/>
  <c r="O341" i="1"/>
  <c r="T340" i="1"/>
  <c r="S340" i="1"/>
  <c r="Q340" i="1"/>
  <c r="P340" i="1"/>
  <c r="O340" i="1"/>
  <c r="T339" i="1"/>
  <c r="S339" i="1"/>
  <c r="Q339" i="1"/>
  <c r="P339" i="1"/>
  <c r="O339" i="1"/>
  <c r="T338" i="1"/>
  <c r="S338" i="1"/>
  <c r="Q338" i="1"/>
  <c r="P338" i="1"/>
  <c r="O338" i="1"/>
  <c r="T337" i="1"/>
  <c r="S337" i="1"/>
  <c r="Q337" i="1"/>
  <c r="P337" i="1"/>
  <c r="O337" i="1"/>
  <c r="T336" i="1"/>
  <c r="S336" i="1"/>
  <c r="Q336" i="1"/>
  <c r="P336" i="1"/>
  <c r="O336" i="1"/>
  <c r="T335" i="1"/>
  <c r="S335" i="1"/>
  <c r="Q335" i="1"/>
  <c r="P335" i="1"/>
  <c r="O335" i="1"/>
  <c r="T334" i="1"/>
  <c r="S334" i="1"/>
  <c r="Q334" i="1"/>
  <c r="P334" i="1"/>
  <c r="O334" i="1"/>
  <c r="T333" i="1"/>
  <c r="S333" i="1"/>
  <c r="Q333" i="1"/>
  <c r="P333" i="1"/>
  <c r="O333" i="1"/>
  <c r="T332" i="1"/>
  <c r="S332" i="1"/>
  <c r="Q332" i="1"/>
  <c r="P332" i="1"/>
  <c r="O332" i="1"/>
  <c r="T331" i="1"/>
  <c r="S331" i="1"/>
  <c r="Q331" i="1"/>
  <c r="P331" i="1"/>
  <c r="O331" i="1"/>
  <c r="T330" i="1"/>
  <c r="S330" i="1"/>
  <c r="Q330" i="1"/>
  <c r="P330" i="1"/>
  <c r="O330" i="1"/>
  <c r="T329" i="1"/>
  <c r="S329" i="1"/>
  <c r="Q329" i="1"/>
  <c r="P329" i="1"/>
  <c r="O329" i="1"/>
  <c r="T328" i="1"/>
  <c r="S328" i="1"/>
  <c r="Q328" i="1"/>
  <c r="P328" i="1"/>
  <c r="O328" i="1"/>
  <c r="T327" i="1"/>
  <c r="S327" i="1"/>
  <c r="Q327" i="1"/>
  <c r="P327" i="1"/>
  <c r="O327" i="1"/>
  <c r="T326" i="1"/>
  <c r="S326" i="1"/>
  <c r="Q326" i="1"/>
  <c r="P326" i="1"/>
  <c r="O326" i="1"/>
  <c r="T325" i="1"/>
  <c r="S325" i="1"/>
  <c r="Q325" i="1"/>
  <c r="P325" i="1"/>
  <c r="O325" i="1"/>
  <c r="T324" i="1"/>
  <c r="S324" i="1"/>
  <c r="Q324" i="1"/>
  <c r="P324" i="1"/>
  <c r="O324" i="1"/>
  <c r="T323" i="1"/>
  <c r="S323" i="1"/>
  <c r="Q323" i="1"/>
  <c r="P323" i="1"/>
  <c r="O323" i="1"/>
  <c r="T322" i="1"/>
  <c r="S322" i="1"/>
  <c r="Q322" i="1"/>
  <c r="P322" i="1"/>
  <c r="O322" i="1"/>
  <c r="T321" i="1"/>
  <c r="S321" i="1"/>
  <c r="Q321" i="1"/>
  <c r="P321" i="1"/>
  <c r="O321" i="1"/>
  <c r="T320" i="1"/>
  <c r="S320" i="1"/>
  <c r="Q320" i="1"/>
  <c r="P320" i="1"/>
  <c r="O320" i="1"/>
  <c r="T319" i="1"/>
  <c r="S319" i="1"/>
  <c r="Q319" i="1"/>
  <c r="P319" i="1"/>
  <c r="O319" i="1"/>
  <c r="T318" i="1"/>
  <c r="S318" i="1"/>
  <c r="Q318" i="1"/>
  <c r="P318" i="1"/>
  <c r="O318" i="1"/>
  <c r="T317" i="1"/>
  <c r="S317" i="1"/>
  <c r="Q317" i="1"/>
  <c r="P317" i="1"/>
  <c r="O317" i="1"/>
  <c r="T316" i="1"/>
  <c r="S316" i="1"/>
  <c r="Q316" i="1"/>
  <c r="P316" i="1"/>
  <c r="O316" i="1"/>
  <c r="T315" i="1"/>
  <c r="S315" i="1"/>
  <c r="Q315" i="1"/>
  <c r="P315" i="1"/>
  <c r="O315" i="1"/>
  <c r="T314" i="1"/>
  <c r="S314" i="1"/>
  <c r="Q314" i="1"/>
  <c r="P314" i="1"/>
  <c r="O314" i="1"/>
  <c r="T313" i="1"/>
  <c r="S313" i="1"/>
  <c r="Q313" i="1"/>
  <c r="P313" i="1"/>
  <c r="O313" i="1"/>
  <c r="T312" i="1"/>
  <c r="S312" i="1"/>
  <c r="Q312" i="1"/>
  <c r="P312" i="1"/>
  <c r="O312" i="1"/>
  <c r="T311" i="1"/>
  <c r="S311" i="1"/>
  <c r="Q311" i="1"/>
  <c r="P311" i="1"/>
  <c r="O311" i="1"/>
  <c r="T310" i="1"/>
  <c r="S310" i="1"/>
  <c r="Q310" i="1"/>
  <c r="P310" i="1"/>
  <c r="O310" i="1"/>
  <c r="T309" i="1"/>
  <c r="S309" i="1"/>
  <c r="Q309" i="1"/>
  <c r="P309" i="1"/>
  <c r="O309" i="1"/>
  <c r="T308" i="1"/>
  <c r="S308" i="1"/>
  <c r="Q308" i="1"/>
  <c r="P308" i="1"/>
  <c r="O308" i="1"/>
  <c r="T307" i="1"/>
  <c r="S307" i="1"/>
  <c r="Q307" i="1"/>
  <c r="P307" i="1"/>
  <c r="O307" i="1"/>
  <c r="T306" i="1"/>
  <c r="S306" i="1"/>
  <c r="Q306" i="1"/>
  <c r="P306" i="1"/>
  <c r="O306" i="1"/>
  <c r="T305" i="1"/>
  <c r="S305" i="1"/>
  <c r="Q305" i="1"/>
  <c r="P305" i="1"/>
  <c r="O305" i="1"/>
  <c r="T304" i="1"/>
  <c r="S304" i="1"/>
  <c r="Q304" i="1"/>
  <c r="P304" i="1"/>
  <c r="O304" i="1"/>
  <c r="T303" i="1"/>
  <c r="S303" i="1"/>
  <c r="Q303" i="1"/>
  <c r="P303" i="1"/>
  <c r="O303" i="1"/>
  <c r="T302" i="1"/>
  <c r="S302" i="1"/>
  <c r="Q302" i="1"/>
  <c r="P302" i="1"/>
  <c r="O302" i="1"/>
  <c r="T301" i="1"/>
  <c r="S301" i="1"/>
  <c r="Q301" i="1"/>
  <c r="P301" i="1"/>
  <c r="O301" i="1"/>
  <c r="T300" i="1"/>
  <c r="S300" i="1"/>
  <c r="Q300" i="1"/>
  <c r="P300" i="1"/>
  <c r="O300" i="1"/>
  <c r="T299" i="1"/>
  <c r="S299" i="1"/>
  <c r="Q299" i="1"/>
  <c r="P299" i="1"/>
  <c r="O299" i="1"/>
  <c r="T298" i="1"/>
  <c r="S298" i="1"/>
  <c r="Q298" i="1"/>
  <c r="P298" i="1"/>
  <c r="O298" i="1"/>
  <c r="T297" i="1"/>
  <c r="S297" i="1"/>
  <c r="Q297" i="1"/>
  <c r="P297" i="1"/>
  <c r="O297" i="1"/>
  <c r="T296" i="1"/>
  <c r="S296" i="1"/>
  <c r="Q296" i="1"/>
  <c r="P296" i="1"/>
  <c r="O296" i="1"/>
  <c r="T295" i="1"/>
  <c r="S295" i="1"/>
  <c r="Q295" i="1"/>
  <c r="P295" i="1"/>
  <c r="O295" i="1"/>
  <c r="T294" i="1"/>
  <c r="S294" i="1"/>
  <c r="Q294" i="1"/>
  <c r="P294" i="1"/>
  <c r="O294" i="1"/>
  <c r="T293" i="1"/>
  <c r="S293" i="1"/>
  <c r="Q293" i="1"/>
  <c r="P293" i="1"/>
  <c r="O293" i="1"/>
  <c r="T292" i="1"/>
  <c r="S292" i="1"/>
  <c r="Q292" i="1"/>
  <c r="P292" i="1"/>
  <c r="O292" i="1"/>
  <c r="T291" i="1"/>
  <c r="S291" i="1"/>
  <c r="Q291" i="1"/>
  <c r="P291" i="1"/>
  <c r="O291" i="1"/>
  <c r="T290" i="1"/>
  <c r="S290" i="1"/>
  <c r="Q290" i="1"/>
  <c r="P290" i="1"/>
  <c r="O290" i="1"/>
  <c r="T289" i="1"/>
  <c r="S289" i="1"/>
  <c r="Q289" i="1"/>
  <c r="P289" i="1"/>
  <c r="O289" i="1"/>
  <c r="T288" i="1"/>
  <c r="S288" i="1"/>
  <c r="Q288" i="1"/>
  <c r="P288" i="1"/>
  <c r="O288" i="1"/>
  <c r="T287" i="1"/>
  <c r="S287" i="1"/>
  <c r="Q287" i="1"/>
  <c r="P287" i="1"/>
  <c r="O287" i="1"/>
  <c r="T286" i="1"/>
  <c r="S286" i="1"/>
  <c r="Q286" i="1"/>
  <c r="P286" i="1"/>
  <c r="O286" i="1"/>
  <c r="T285" i="1"/>
  <c r="S285" i="1"/>
  <c r="Q285" i="1"/>
  <c r="P285" i="1"/>
  <c r="O285" i="1"/>
  <c r="T284" i="1"/>
  <c r="S284" i="1"/>
  <c r="Q284" i="1"/>
  <c r="P284" i="1"/>
  <c r="O284" i="1"/>
  <c r="T283" i="1"/>
  <c r="S283" i="1"/>
  <c r="Q283" i="1"/>
  <c r="P283" i="1"/>
  <c r="O283" i="1"/>
  <c r="T282" i="1"/>
  <c r="S282" i="1"/>
  <c r="Q282" i="1"/>
  <c r="P282" i="1"/>
  <c r="O282" i="1"/>
  <c r="T281" i="1"/>
  <c r="S281" i="1"/>
  <c r="Q281" i="1"/>
  <c r="P281" i="1"/>
  <c r="O281" i="1"/>
  <c r="T280" i="1"/>
  <c r="S280" i="1"/>
  <c r="Q280" i="1"/>
  <c r="P280" i="1"/>
  <c r="O280" i="1"/>
  <c r="T279" i="1"/>
  <c r="S279" i="1"/>
  <c r="Q279" i="1"/>
  <c r="P279" i="1"/>
  <c r="O279" i="1"/>
  <c r="T278" i="1"/>
  <c r="S278" i="1"/>
  <c r="Q278" i="1"/>
  <c r="P278" i="1"/>
  <c r="O278" i="1"/>
  <c r="T277" i="1"/>
  <c r="S277" i="1"/>
  <c r="Q277" i="1"/>
  <c r="P277" i="1"/>
  <c r="O277" i="1"/>
  <c r="T276" i="1"/>
  <c r="S276" i="1"/>
  <c r="Q276" i="1"/>
  <c r="P276" i="1"/>
  <c r="O276" i="1"/>
  <c r="T275" i="1"/>
  <c r="S275" i="1"/>
  <c r="Q275" i="1"/>
  <c r="P275" i="1"/>
  <c r="O275" i="1"/>
  <c r="T274" i="1"/>
  <c r="S274" i="1"/>
  <c r="Q274" i="1"/>
  <c r="P274" i="1"/>
  <c r="O274" i="1"/>
  <c r="T273" i="1"/>
  <c r="S273" i="1"/>
  <c r="Q273" i="1"/>
  <c r="P273" i="1"/>
  <c r="O273" i="1"/>
  <c r="T272" i="1"/>
  <c r="S272" i="1"/>
  <c r="Q272" i="1"/>
  <c r="P272" i="1"/>
  <c r="O272" i="1"/>
  <c r="T271" i="1"/>
  <c r="S271" i="1"/>
  <c r="Q271" i="1"/>
  <c r="P271" i="1"/>
  <c r="O271" i="1"/>
  <c r="T270" i="1"/>
  <c r="S270" i="1"/>
  <c r="Q270" i="1"/>
  <c r="P270" i="1"/>
  <c r="O270" i="1"/>
  <c r="T269" i="1"/>
  <c r="S269" i="1"/>
  <c r="Q269" i="1"/>
  <c r="P269" i="1"/>
  <c r="O269" i="1"/>
  <c r="T268" i="1"/>
  <c r="S268" i="1"/>
  <c r="Q268" i="1"/>
  <c r="P268" i="1"/>
  <c r="O268" i="1"/>
  <c r="T267" i="1"/>
  <c r="S267" i="1"/>
  <c r="Q267" i="1"/>
  <c r="P267" i="1"/>
  <c r="O267" i="1"/>
  <c r="T266" i="1"/>
  <c r="S266" i="1"/>
  <c r="Q266" i="1"/>
  <c r="P266" i="1"/>
  <c r="O266" i="1"/>
  <c r="T265" i="1"/>
  <c r="S265" i="1"/>
  <c r="Q265" i="1"/>
  <c r="P265" i="1"/>
  <c r="O265" i="1"/>
  <c r="T264" i="1"/>
  <c r="S264" i="1"/>
  <c r="Q264" i="1"/>
  <c r="P264" i="1"/>
  <c r="O264" i="1"/>
  <c r="T263" i="1"/>
  <c r="S263" i="1"/>
  <c r="Q263" i="1"/>
  <c r="P263" i="1"/>
  <c r="O263" i="1"/>
  <c r="T262" i="1"/>
  <c r="S262" i="1"/>
  <c r="Q262" i="1"/>
  <c r="P262" i="1"/>
  <c r="O262" i="1"/>
  <c r="T261" i="1"/>
  <c r="S261" i="1"/>
  <c r="Q261" i="1"/>
  <c r="P261" i="1"/>
  <c r="O261" i="1"/>
  <c r="T260" i="1"/>
  <c r="S260" i="1"/>
  <c r="Q260" i="1"/>
  <c r="P260" i="1"/>
  <c r="O260" i="1"/>
  <c r="T259" i="1"/>
  <c r="S259" i="1"/>
  <c r="Q259" i="1"/>
  <c r="P259" i="1"/>
  <c r="O259" i="1"/>
  <c r="T258" i="1"/>
  <c r="S258" i="1"/>
  <c r="Q258" i="1"/>
  <c r="P258" i="1"/>
  <c r="O258" i="1"/>
  <c r="T257" i="1"/>
  <c r="S257" i="1"/>
  <c r="Q257" i="1"/>
  <c r="P257" i="1"/>
  <c r="O257" i="1"/>
  <c r="T256" i="1"/>
  <c r="S256" i="1"/>
  <c r="Q256" i="1"/>
  <c r="P256" i="1"/>
  <c r="O256" i="1"/>
  <c r="T255" i="1"/>
  <c r="S255" i="1"/>
  <c r="Q255" i="1"/>
  <c r="P255" i="1"/>
  <c r="O255" i="1"/>
  <c r="T254" i="1"/>
  <c r="S254" i="1"/>
  <c r="Q254" i="1"/>
  <c r="P254" i="1"/>
  <c r="O254" i="1"/>
  <c r="T253" i="1"/>
  <c r="S253" i="1"/>
  <c r="Q253" i="1"/>
  <c r="P253" i="1"/>
  <c r="O253" i="1"/>
  <c r="T252" i="1"/>
  <c r="S252" i="1"/>
  <c r="Q252" i="1"/>
  <c r="P252" i="1"/>
  <c r="O252" i="1"/>
  <c r="T251" i="1"/>
  <c r="S251" i="1"/>
  <c r="Q251" i="1"/>
  <c r="P251" i="1"/>
  <c r="O251" i="1"/>
  <c r="T250" i="1"/>
  <c r="S250" i="1"/>
  <c r="Q250" i="1"/>
  <c r="P250" i="1"/>
  <c r="O250" i="1"/>
  <c r="T249" i="1"/>
  <c r="S249" i="1"/>
  <c r="Q249" i="1"/>
  <c r="P249" i="1"/>
  <c r="O249" i="1"/>
  <c r="T248" i="1"/>
  <c r="S248" i="1"/>
  <c r="Q248" i="1"/>
  <c r="P248" i="1"/>
  <c r="O248" i="1"/>
  <c r="T247" i="1"/>
  <c r="S247" i="1"/>
  <c r="Q247" i="1"/>
  <c r="P247" i="1"/>
  <c r="O247" i="1"/>
  <c r="T246" i="1"/>
  <c r="S246" i="1"/>
  <c r="Q246" i="1"/>
  <c r="P246" i="1"/>
  <c r="O246" i="1"/>
  <c r="T245" i="1"/>
  <c r="S245" i="1"/>
  <c r="Q245" i="1"/>
  <c r="P245" i="1"/>
  <c r="O245" i="1"/>
  <c r="T244" i="1"/>
  <c r="S244" i="1"/>
  <c r="Q244" i="1"/>
  <c r="P244" i="1"/>
  <c r="O244" i="1"/>
  <c r="T243" i="1"/>
  <c r="S243" i="1"/>
  <c r="Q243" i="1"/>
  <c r="P243" i="1"/>
  <c r="O243" i="1"/>
  <c r="T242" i="1"/>
  <c r="S242" i="1"/>
  <c r="Q242" i="1"/>
  <c r="P242" i="1"/>
  <c r="O242" i="1"/>
  <c r="T241" i="1"/>
  <c r="S241" i="1"/>
  <c r="Q241" i="1"/>
  <c r="P241" i="1"/>
  <c r="O241" i="1"/>
  <c r="T240" i="1"/>
  <c r="S240" i="1"/>
  <c r="Q240" i="1"/>
  <c r="P240" i="1"/>
  <c r="O240" i="1"/>
  <c r="T239" i="1"/>
  <c r="S239" i="1"/>
  <c r="Q239" i="1"/>
  <c r="P239" i="1"/>
  <c r="O239" i="1"/>
  <c r="T238" i="1"/>
  <c r="S238" i="1"/>
  <c r="Q238" i="1"/>
  <c r="P238" i="1"/>
  <c r="O238" i="1"/>
  <c r="T237" i="1"/>
  <c r="S237" i="1"/>
  <c r="Q237" i="1"/>
  <c r="P237" i="1"/>
  <c r="O237" i="1"/>
  <c r="T236" i="1"/>
  <c r="S236" i="1"/>
  <c r="Q236" i="1"/>
  <c r="P236" i="1"/>
  <c r="O236" i="1"/>
  <c r="T235" i="1"/>
  <c r="S235" i="1"/>
  <c r="Q235" i="1"/>
  <c r="P235" i="1"/>
  <c r="O235" i="1"/>
  <c r="T234" i="1"/>
  <c r="S234" i="1"/>
  <c r="Q234" i="1"/>
  <c r="P234" i="1"/>
  <c r="O234" i="1"/>
  <c r="T233" i="1"/>
  <c r="S233" i="1"/>
  <c r="Q233" i="1"/>
  <c r="P233" i="1"/>
  <c r="O233" i="1"/>
  <c r="T232" i="1"/>
  <c r="S232" i="1"/>
  <c r="Q232" i="1"/>
  <c r="P232" i="1"/>
  <c r="O232" i="1"/>
  <c r="T231" i="1"/>
  <c r="S231" i="1"/>
  <c r="Q231" i="1"/>
  <c r="P231" i="1"/>
  <c r="O231" i="1"/>
  <c r="T230" i="1"/>
  <c r="S230" i="1"/>
  <c r="Q230" i="1"/>
  <c r="P230" i="1"/>
  <c r="O230" i="1"/>
  <c r="T229" i="1"/>
  <c r="S229" i="1"/>
  <c r="Q229" i="1"/>
  <c r="P229" i="1"/>
  <c r="O229" i="1"/>
  <c r="T228" i="1"/>
  <c r="S228" i="1"/>
  <c r="Q228" i="1"/>
  <c r="P228" i="1"/>
  <c r="O228" i="1"/>
  <c r="T227" i="1"/>
  <c r="S227" i="1"/>
  <c r="Q227" i="1"/>
  <c r="P227" i="1"/>
  <c r="O227" i="1"/>
  <c r="T226" i="1"/>
  <c r="S226" i="1"/>
  <c r="Q226" i="1"/>
  <c r="P226" i="1"/>
  <c r="O226" i="1"/>
  <c r="T225" i="1"/>
  <c r="S225" i="1"/>
  <c r="Q225" i="1"/>
  <c r="P225" i="1"/>
  <c r="O225" i="1"/>
  <c r="T224" i="1"/>
  <c r="S224" i="1"/>
  <c r="Q224" i="1"/>
  <c r="P224" i="1"/>
  <c r="O224" i="1"/>
  <c r="T223" i="1"/>
  <c r="S223" i="1"/>
  <c r="Q223" i="1"/>
  <c r="P223" i="1"/>
  <c r="O223" i="1"/>
  <c r="T222" i="1"/>
  <c r="S222" i="1"/>
  <c r="Q222" i="1"/>
  <c r="P222" i="1"/>
  <c r="O222" i="1"/>
  <c r="T221" i="1"/>
  <c r="S221" i="1"/>
  <c r="Q221" i="1"/>
  <c r="P221" i="1"/>
  <c r="O221" i="1"/>
  <c r="T220" i="1"/>
  <c r="S220" i="1"/>
  <c r="Q220" i="1"/>
  <c r="P220" i="1"/>
  <c r="O220" i="1"/>
  <c r="T219" i="1"/>
  <c r="S219" i="1"/>
  <c r="Q219" i="1"/>
  <c r="P219" i="1"/>
  <c r="O219" i="1"/>
  <c r="T218" i="1"/>
  <c r="S218" i="1"/>
  <c r="Q218" i="1"/>
  <c r="P218" i="1"/>
  <c r="O218" i="1"/>
  <c r="T217" i="1"/>
  <c r="S217" i="1"/>
  <c r="Q217" i="1"/>
  <c r="P217" i="1"/>
  <c r="O217" i="1"/>
  <c r="T216" i="1"/>
  <c r="S216" i="1"/>
  <c r="Q216" i="1"/>
  <c r="P216" i="1"/>
  <c r="O216" i="1"/>
  <c r="T215" i="1"/>
  <c r="S215" i="1"/>
  <c r="Q215" i="1"/>
  <c r="P215" i="1"/>
  <c r="O215" i="1"/>
  <c r="T214" i="1"/>
  <c r="S214" i="1"/>
  <c r="Q214" i="1"/>
  <c r="P214" i="1"/>
  <c r="O214" i="1"/>
  <c r="T213" i="1"/>
  <c r="S213" i="1"/>
  <c r="Q213" i="1"/>
  <c r="P213" i="1"/>
  <c r="O213" i="1"/>
  <c r="T212" i="1"/>
  <c r="S212" i="1"/>
  <c r="Q212" i="1"/>
  <c r="P212" i="1"/>
  <c r="O212" i="1"/>
  <c r="T211" i="1"/>
  <c r="S211" i="1"/>
  <c r="Q211" i="1"/>
  <c r="P211" i="1"/>
  <c r="O211" i="1"/>
  <c r="T210" i="1"/>
  <c r="S210" i="1"/>
  <c r="Q210" i="1"/>
  <c r="P210" i="1"/>
  <c r="O210" i="1"/>
  <c r="T209" i="1"/>
  <c r="S209" i="1"/>
  <c r="Q209" i="1"/>
  <c r="P209" i="1"/>
  <c r="O209" i="1"/>
  <c r="T208" i="1"/>
  <c r="S208" i="1"/>
  <c r="Q208" i="1"/>
  <c r="P208" i="1"/>
  <c r="O208" i="1"/>
  <c r="T207" i="1"/>
  <c r="S207" i="1"/>
  <c r="Q207" i="1"/>
  <c r="P207" i="1"/>
  <c r="O207" i="1"/>
  <c r="T206" i="1"/>
  <c r="S206" i="1"/>
  <c r="Q206" i="1"/>
  <c r="P206" i="1"/>
  <c r="O206" i="1"/>
  <c r="T205" i="1"/>
  <c r="S205" i="1"/>
  <c r="Q205" i="1"/>
  <c r="P205" i="1"/>
  <c r="O205" i="1"/>
  <c r="T204" i="1"/>
  <c r="S204" i="1"/>
  <c r="Q204" i="1"/>
  <c r="P204" i="1"/>
  <c r="O204" i="1"/>
  <c r="T203" i="1"/>
  <c r="S203" i="1"/>
  <c r="Q203" i="1"/>
  <c r="P203" i="1"/>
  <c r="O203" i="1"/>
  <c r="T202" i="1"/>
  <c r="S202" i="1"/>
  <c r="Q202" i="1"/>
  <c r="P202" i="1"/>
  <c r="O202" i="1"/>
  <c r="T201" i="1"/>
  <c r="S201" i="1"/>
  <c r="Q201" i="1"/>
  <c r="P201" i="1"/>
  <c r="O201" i="1"/>
  <c r="T200" i="1"/>
  <c r="S200" i="1"/>
  <c r="Q200" i="1"/>
  <c r="P200" i="1"/>
  <c r="O200" i="1"/>
  <c r="T199" i="1"/>
  <c r="S199" i="1"/>
  <c r="Q199" i="1"/>
  <c r="P199" i="1"/>
  <c r="O199" i="1"/>
  <c r="T198" i="1"/>
  <c r="S198" i="1"/>
  <c r="Q198" i="1"/>
  <c r="P198" i="1"/>
  <c r="O198" i="1"/>
  <c r="T197" i="1"/>
  <c r="S197" i="1"/>
  <c r="Q197" i="1"/>
  <c r="P197" i="1"/>
  <c r="O197" i="1"/>
  <c r="T196" i="1"/>
  <c r="S196" i="1"/>
  <c r="Q196" i="1"/>
  <c r="P196" i="1"/>
  <c r="O196" i="1"/>
  <c r="T195" i="1"/>
  <c r="S195" i="1"/>
  <c r="Q195" i="1"/>
  <c r="P195" i="1"/>
  <c r="O195" i="1"/>
  <c r="T194" i="1"/>
  <c r="S194" i="1"/>
  <c r="Q194" i="1"/>
  <c r="P194" i="1"/>
  <c r="O194" i="1"/>
  <c r="T193" i="1"/>
  <c r="S193" i="1"/>
  <c r="Q193" i="1"/>
  <c r="P193" i="1"/>
  <c r="O193" i="1"/>
  <c r="T192" i="1"/>
  <c r="S192" i="1"/>
  <c r="Q192" i="1"/>
  <c r="P192" i="1"/>
  <c r="O192" i="1"/>
  <c r="T191" i="1"/>
  <c r="S191" i="1"/>
  <c r="Q191" i="1"/>
  <c r="P191" i="1"/>
  <c r="O191" i="1"/>
  <c r="T190" i="1"/>
  <c r="S190" i="1"/>
  <c r="Q190" i="1"/>
  <c r="P190" i="1"/>
  <c r="O190" i="1"/>
  <c r="T189" i="1"/>
  <c r="S189" i="1"/>
  <c r="Q189" i="1"/>
  <c r="P189" i="1"/>
  <c r="O189" i="1"/>
  <c r="T188" i="1"/>
  <c r="S188" i="1"/>
  <c r="Q188" i="1"/>
  <c r="P188" i="1"/>
  <c r="O188" i="1"/>
  <c r="T187" i="1"/>
  <c r="S187" i="1"/>
  <c r="Q187" i="1"/>
  <c r="P187" i="1"/>
  <c r="O187" i="1"/>
  <c r="T186" i="1"/>
  <c r="S186" i="1"/>
  <c r="Q186" i="1"/>
  <c r="P186" i="1"/>
  <c r="O186" i="1"/>
  <c r="T185" i="1"/>
  <c r="S185" i="1"/>
  <c r="Q185" i="1"/>
  <c r="P185" i="1"/>
  <c r="O185" i="1"/>
  <c r="T184" i="1"/>
  <c r="S184" i="1"/>
  <c r="Q184" i="1"/>
  <c r="P184" i="1"/>
  <c r="O184" i="1"/>
  <c r="T183" i="1"/>
  <c r="S183" i="1"/>
  <c r="Q183" i="1"/>
  <c r="P183" i="1"/>
  <c r="O183" i="1"/>
  <c r="T182" i="1"/>
  <c r="S182" i="1"/>
  <c r="Q182" i="1"/>
  <c r="P182" i="1"/>
  <c r="O182" i="1"/>
  <c r="T181" i="1"/>
  <c r="S181" i="1"/>
  <c r="Q181" i="1"/>
  <c r="P181" i="1"/>
  <c r="O181" i="1"/>
  <c r="T180" i="1"/>
  <c r="S180" i="1"/>
  <c r="Q180" i="1"/>
  <c r="P180" i="1"/>
  <c r="O180" i="1"/>
  <c r="T179" i="1"/>
  <c r="S179" i="1"/>
  <c r="Q179" i="1"/>
  <c r="P179" i="1"/>
  <c r="O179" i="1"/>
  <c r="T178" i="1"/>
  <c r="S178" i="1"/>
  <c r="Q178" i="1"/>
  <c r="P178" i="1"/>
  <c r="O178" i="1"/>
  <c r="T177" i="1"/>
  <c r="S177" i="1"/>
  <c r="Q177" i="1"/>
  <c r="P177" i="1"/>
  <c r="O177" i="1"/>
  <c r="T176" i="1"/>
  <c r="S176" i="1"/>
  <c r="Q176" i="1"/>
  <c r="P176" i="1"/>
  <c r="O176" i="1"/>
  <c r="T175" i="1"/>
  <c r="S175" i="1"/>
  <c r="Q175" i="1"/>
  <c r="P175" i="1"/>
  <c r="O175" i="1"/>
  <c r="T174" i="1"/>
  <c r="S174" i="1"/>
  <c r="Q174" i="1"/>
  <c r="P174" i="1"/>
  <c r="O174" i="1"/>
  <c r="T173" i="1"/>
  <c r="S173" i="1"/>
  <c r="Q173" i="1"/>
  <c r="P173" i="1"/>
  <c r="O173" i="1"/>
  <c r="T172" i="1"/>
  <c r="S172" i="1"/>
  <c r="Q172" i="1"/>
  <c r="P172" i="1"/>
  <c r="O172" i="1"/>
  <c r="T171" i="1"/>
  <c r="S171" i="1"/>
  <c r="Q171" i="1"/>
  <c r="P171" i="1"/>
  <c r="O171" i="1"/>
  <c r="T170" i="1"/>
  <c r="S170" i="1"/>
  <c r="Q170" i="1"/>
  <c r="P170" i="1"/>
  <c r="O170" i="1"/>
  <c r="T169" i="1"/>
  <c r="S169" i="1"/>
  <c r="Q169" i="1"/>
  <c r="P169" i="1"/>
  <c r="O169" i="1"/>
  <c r="T168" i="1"/>
  <c r="S168" i="1"/>
  <c r="Q168" i="1"/>
  <c r="P168" i="1"/>
  <c r="O168" i="1"/>
  <c r="T167" i="1"/>
  <c r="S167" i="1"/>
  <c r="Q167" i="1"/>
  <c r="P167" i="1"/>
  <c r="O167" i="1"/>
  <c r="T166" i="1"/>
  <c r="S166" i="1"/>
  <c r="Q166" i="1"/>
  <c r="P166" i="1"/>
  <c r="O166" i="1"/>
  <c r="T165" i="1"/>
  <c r="S165" i="1"/>
  <c r="Q165" i="1"/>
  <c r="P165" i="1"/>
  <c r="O165" i="1"/>
  <c r="T164" i="1"/>
  <c r="S164" i="1"/>
  <c r="Q164" i="1"/>
  <c r="P164" i="1"/>
  <c r="O164" i="1"/>
  <c r="T163" i="1"/>
  <c r="S163" i="1"/>
  <c r="Q163" i="1"/>
  <c r="P163" i="1"/>
  <c r="O163" i="1"/>
  <c r="T162" i="1"/>
  <c r="S162" i="1"/>
  <c r="Q162" i="1"/>
  <c r="P162" i="1"/>
  <c r="O162" i="1"/>
  <c r="T161" i="1"/>
  <c r="S161" i="1"/>
  <c r="Q161" i="1"/>
  <c r="P161" i="1"/>
  <c r="O161" i="1"/>
  <c r="T160" i="1"/>
  <c r="S160" i="1"/>
  <c r="Q160" i="1"/>
  <c r="P160" i="1"/>
  <c r="O160" i="1"/>
  <c r="T159" i="1"/>
  <c r="S159" i="1"/>
  <c r="Q159" i="1"/>
  <c r="P159" i="1"/>
  <c r="O159" i="1"/>
  <c r="T158" i="1"/>
  <c r="S158" i="1"/>
  <c r="Q158" i="1"/>
  <c r="P158" i="1"/>
  <c r="O158" i="1"/>
  <c r="T157" i="1"/>
  <c r="S157" i="1"/>
  <c r="Q157" i="1"/>
  <c r="P157" i="1"/>
  <c r="O157" i="1"/>
  <c r="T156" i="1"/>
  <c r="S156" i="1"/>
  <c r="Q156" i="1"/>
  <c r="P156" i="1"/>
  <c r="O156" i="1"/>
  <c r="T155" i="1"/>
  <c r="S155" i="1"/>
  <c r="Q155" i="1"/>
  <c r="P155" i="1"/>
  <c r="O155" i="1"/>
  <c r="T154" i="1"/>
  <c r="S154" i="1"/>
  <c r="Q154" i="1"/>
  <c r="P154" i="1"/>
  <c r="O154" i="1"/>
  <c r="T153" i="1"/>
  <c r="S153" i="1"/>
  <c r="Q153" i="1"/>
  <c r="P153" i="1"/>
  <c r="O153" i="1"/>
  <c r="T152" i="1"/>
  <c r="S152" i="1"/>
  <c r="Q152" i="1"/>
  <c r="P152" i="1"/>
  <c r="O152" i="1"/>
  <c r="T151" i="1"/>
  <c r="S151" i="1"/>
  <c r="Q151" i="1"/>
  <c r="P151" i="1"/>
  <c r="O151" i="1"/>
  <c r="T150" i="1"/>
  <c r="S150" i="1"/>
  <c r="Q150" i="1"/>
  <c r="P150" i="1"/>
  <c r="O150" i="1"/>
  <c r="T149" i="1"/>
  <c r="S149" i="1"/>
  <c r="Q149" i="1"/>
  <c r="P149" i="1"/>
  <c r="O149" i="1"/>
  <c r="T148" i="1"/>
  <c r="S148" i="1"/>
  <c r="Q148" i="1"/>
  <c r="P148" i="1"/>
  <c r="O148" i="1"/>
  <c r="T147" i="1"/>
  <c r="S147" i="1"/>
  <c r="Q147" i="1"/>
  <c r="P147" i="1"/>
  <c r="O147" i="1"/>
  <c r="T146" i="1"/>
  <c r="S146" i="1"/>
  <c r="Q146" i="1"/>
  <c r="P146" i="1"/>
  <c r="O146" i="1"/>
  <c r="T145" i="1"/>
  <c r="S145" i="1"/>
  <c r="Q145" i="1"/>
  <c r="P145" i="1"/>
  <c r="O145" i="1"/>
  <c r="T144" i="1"/>
  <c r="S144" i="1"/>
  <c r="Q144" i="1"/>
  <c r="P144" i="1"/>
  <c r="O144" i="1"/>
  <c r="T143" i="1"/>
  <c r="S143" i="1"/>
  <c r="Q143" i="1"/>
  <c r="P143" i="1"/>
  <c r="O143" i="1"/>
  <c r="T142" i="1"/>
  <c r="S142" i="1"/>
  <c r="Q142" i="1"/>
  <c r="P142" i="1"/>
  <c r="O142" i="1"/>
  <c r="T141" i="1"/>
  <c r="S141" i="1"/>
  <c r="Q141" i="1"/>
  <c r="P141" i="1"/>
  <c r="O141" i="1"/>
  <c r="T140" i="1"/>
  <c r="S140" i="1"/>
  <c r="Q140" i="1"/>
  <c r="P140" i="1"/>
  <c r="O140" i="1"/>
  <c r="T139" i="1"/>
  <c r="S139" i="1"/>
  <c r="Q139" i="1"/>
  <c r="P139" i="1"/>
  <c r="O139" i="1"/>
  <c r="T138" i="1"/>
  <c r="S138" i="1"/>
  <c r="Q138" i="1"/>
  <c r="P138" i="1"/>
  <c r="O138" i="1"/>
  <c r="T137" i="1"/>
  <c r="S137" i="1"/>
  <c r="Q137" i="1"/>
  <c r="P137" i="1"/>
  <c r="O137" i="1"/>
  <c r="T136" i="1"/>
  <c r="S136" i="1"/>
  <c r="Q136" i="1"/>
  <c r="P136" i="1"/>
  <c r="O136" i="1"/>
  <c r="T135" i="1"/>
  <c r="S135" i="1"/>
  <c r="Q135" i="1"/>
  <c r="P135" i="1"/>
  <c r="O135" i="1"/>
  <c r="T134" i="1"/>
  <c r="S134" i="1"/>
  <c r="Q134" i="1"/>
  <c r="P134" i="1"/>
  <c r="O134" i="1"/>
  <c r="T133" i="1"/>
  <c r="S133" i="1"/>
  <c r="Q133" i="1"/>
  <c r="P133" i="1"/>
  <c r="O133" i="1"/>
  <c r="T132" i="1"/>
  <c r="S132" i="1"/>
  <c r="Q132" i="1"/>
  <c r="P132" i="1"/>
  <c r="O132" i="1"/>
  <c r="T131" i="1"/>
  <c r="S131" i="1"/>
  <c r="Q131" i="1"/>
  <c r="P131" i="1"/>
  <c r="O131" i="1"/>
  <c r="T130" i="1"/>
  <c r="S130" i="1"/>
  <c r="Q130" i="1"/>
  <c r="P130" i="1"/>
  <c r="O130" i="1"/>
  <c r="T129" i="1"/>
  <c r="S129" i="1"/>
  <c r="Q129" i="1"/>
  <c r="P129" i="1"/>
  <c r="O129" i="1"/>
  <c r="T128" i="1"/>
  <c r="S128" i="1"/>
  <c r="Q128" i="1"/>
  <c r="P128" i="1"/>
  <c r="O128" i="1"/>
  <c r="T127" i="1"/>
  <c r="S127" i="1"/>
  <c r="Q127" i="1"/>
  <c r="P127" i="1"/>
  <c r="O127" i="1"/>
  <c r="T126" i="1"/>
  <c r="S126" i="1"/>
  <c r="Q126" i="1"/>
  <c r="P126" i="1"/>
  <c r="O126" i="1"/>
  <c r="T125" i="1"/>
  <c r="S125" i="1"/>
  <c r="Q125" i="1"/>
  <c r="P125" i="1"/>
  <c r="O125" i="1"/>
  <c r="T124" i="1"/>
  <c r="S124" i="1"/>
  <c r="Q124" i="1"/>
  <c r="P124" i="1"/>
  <c r="O124" i="1"/>
  <c r="T123" i="1"/>
  <c r="S123" i="1"/>
  <c r="Q123" i="1"/>
  <c r="P123" i="1"/>
  <c r="O123" i="1"/>
  <c r="T122" i="1"/>
  <c r="S122" i="1"/>
  <c r="Q122" i="1"/>
  <c r="P122" i="1"/>
  <c r="O122" i="1"/>
  <c r="T121" i="1"/>
  <c r="S121" i="1"/>
  <c r="Q121" i="1"/>
  <c r="P121" i="1"/>
  <c r="O121" i="1"/>
  <c r="T120" i="1"/>
  <c r="S120" i="1"/>
  <c r="Q120" i="1"/>
  <c r="P120" i="1"/>
  <c r="O120" i="1"/>
  <c r="T119" i="1"/>
  <c r="S119" i="1"/>
  <c r="Q119" i="1"/>
  <c r="P119" i="1"/>
  <c r="O119" i="1"/>
  <c r="T118" i="1"/>
  <c r="S118" i="1"/>
  <c r="Q118" i="1"/>
  <c r="P118" i="1"/>
  <c r="O118" i="1"/>
  <c r="T117" i="1"/>
  <c r="S117" i="1"/>
  <c r="Q117" i="1"/>
  <c r="P117" i="1"/>
  <c r="O117" i="1"/>
  <c r="T116" i="1"/>
  <c r="S116" i="1"/>
  <c r="Q116" i="1"/>
  <c r="P116" i="1"/>
  <c r="O116" i="1"/>
  <c r="T115" i="1"/>
  <c r="S115" i="1"/>
  <c r="Q115" i="1"/>
  <c r="P115" i="1"/>
  <c r="O115" i="1"/>
  <c r="T114" i="1"/>
  <c r="S114" i="1"/>
  <c r="Q114" i="1"/>
  <c r="P114" i="1"/>
  <c r="O114" i="1"/>
  <c r="T113" i="1"/>
  <c r="S113" i="1"/>
  <c r="Q113" i="1"/>
  <c r="P113" i="1"/>
  <c r="O113" i="1"/>
  <c r="T112" i="1"/>
  <c r="S112" i="1"/>
  <c r="Q112" i="1"/>
  <c r="P112" i="1"/>
  <c r="O112" i="1"/>
  <c r="T111" i="1"/>
  <c r="S111" i="1"/>
  <c r="Q111" i="1"/>
  <c r="P111" i="1"/>
  <c r="O111" i="1"/>
  <c r="T110" i="1"/>
  <c r="S110" i="1"/>
  <c r="Q110" i="1"/>
  <c r="P110" i="1"/>
  <c r="O110" i="1"/>
  <c r="T109" i="1"/>
  <c r="S109" i="1"/>
  <c r="Q109" i="1"/>
  <c r="P109" i="1"/>
  <c r="O109" i="1"/>
  <c r="T108" i="1"/>
  <c r="S108" i="1"/>
  <c r="Q108" i="1"/>
  <c r="P108" i="1"/>
  <c r="O108" i="1"/>
  <c r="T107" i="1"/>
  <c r="S107" i="1"/>
  <c r="Q107" i="1"/>
  <c r="P107" i="1"/>
  <c r="O107" i="1"/>
  <c r="T106" i="1"/>
  <c r="S106" i="1"/>
  <c r="Q106" i="1"/>
  <c r="P106" i="1"/>
  <c r="O106" i="1"/>
  <c r="T105" i="1"/>
  <c r="S105" i="1"/>
  <c r="Q105" i="1"/>
  <c r="P105" i="1"/>
  <c r="O105" i="1"/>
  <c r="T104" i="1"/>
  <c r="S104" i="1"/>
  <c r="Q104" i="1"/>
  <c r="P104" i="1"/>
  <c r="O104" i="1"/>
  <c r="T103" i="1"/>
  <c r="S103" i="1"/>
  <c r="Q103" i="1"/>
  <c r="P103" i="1"/>
  <c r="O103" i="1"/>
  <c r="T102" i="1"/>
  <c r="S102" i="1"/>
  <c r="Q102" i="1"/>
  <c r="P102" i="1"/>
  <c r="O102" i="1"/>
  <c r="T101" i="1"/>
  <c r="S101" i="1"/>
  <c r="Q101" i="1"/>
  <c r="P101" i="1"/>
  <c r="O101" i="1"/>
  <c r="T100" i="1"/>
  <c r="S100" i="1"/>
  <c r="Q100" i="1"/>
  <c r="P100" i="1"/>
  <c r="O100" i="1"/>
  <c r="T99" i="1"/>
  <c r="S99" i="1"/>
  <c r="Q99" i="1"/>
  <c r="P99" i="1"/>
  <c r="O99" i="1"/>
  <c r="T98" i="1"/>
  <c r="S98" i="1"/>
  <c r="Q98" i="1"/>
  <c r="P98" i="1"/>
  <c r="O98" i="1"/>
  <c r="T97" i="1"/>
  <c r="S97" i="1"/>
  <c r="Q97" i="1"/>
  <c r="P97" i="1"/>
  <c r="O97" i="1"/>
  <c r="T96" i="1"/>
  <c r="S96" i="1"/>
  <c r="Q96" i="1"/>
  <c r="P96" i="1"/>
  <c r="O96" i="1"/>
  <c r="T95" i="1"/>
  <c r="S95" i="1"/>
  <c r="Q95" i="1"/>
  <c r="P95" i="1"/>
  <c r="O95" i="1"/>
  <c r="T94" i="1"/>
  <c r="S94" i="1"/>
  <c r="Q94" i="1"/>
  <c r="P94" i="1"/>
  <c r="O94" i="1"/>
  <c r="T93" i="1"/>
  <c r="S93" i="1"/>
  <c r="Q93" i="1"/>
  <c r="P93" i="1"/>
  <c r="O93" i="1"/>
  <c r="T92" i="1"/>
  <c r="S92" i="1"/>
  <c r="Q92" i="1"/>
  <c r="P92" i="1"/>
  <c r="O92" i="1"/>
  <c r="T91" i="1"/>
  <c r="S91" i="1"/>
  <c r="Q91" i="1"/>
  <c r="P91" i="1"/>
  <c r="O91" i="1"/>
  <c r="T90" i="1"/>
  <c r="S90" i="1"/>
  <c r="Q90" i="1"/>
  <c r="P90" i="1"/>
  <c r="O90" i="1"/>
  <c r="T89" i="1"/>
  <c r="S89" i="1"/>
  <c r="Q89" i="1"/>
  <c r="P89" i="1"/>
  <c r="O89" i="1"/>
  <c r="T88" i="1"/>
  <c r="S88" i="1"/>
  <c r="Q88" i="1"/>
  <c r="P88" i="1"/>
  <c r="O88" i="1"/>
  <c r="T87" i="1"/>
  <c r="S87" i="1"/>
  <c r="Q87" i="1"/>
  <c r="P87" i="1"/>
  <c r="O87" i="1"/>
  <c r="T86" i="1"/>
  <c r="S86" i="1"/>
  <c r="Q86" i="1"/>
  <c r="P86" i="1"/>
  <c r="O86" i="1"/>
  <c r="T85" i="1"/>
  <c r="S85" i="1"/>
  <c r="Q85" i="1"/>
  <c r="P85" i="1"/>
  <c r="O85" i="1"/>
  <c r="T84" i="1"/>
  <c r="S84" i="1"/>
  <c r="Q84" i="1"/>
  <c r="P84" i="1"/>
  <c r="O84" i="1"/>
  <c r="T83" i="1"/>
  <c r="S83" i="1"/>
  <c r="Q83" i="1"/>
  <c r="P83" i="1"/>
  <c r="O83" i="1"/>
  <c r="T82" i="1"/>
  <c r="S82" i="1"/>
  <c r="Q82" i="1"/>
  <c r="P82" i="1"/>
  <c r="O82" i="1"/>
  <c r="T81" i="1"/>
  <c r="S81" i="1"/>
  <c r="Q81" i="1"/>
  <c r="P81" i="1"/>
  <c r="O81" i="1"/>
  <c r="T80" i="1"/>
  <c r="S80" i="1"/>
  <c r="Q80" i="1"/>
  <c r="P80" i="1"/>
  <c r="O80" i="1"/>
  <c r="T79" i="1"/>
  <c r="S79" i="1"/>
  <c r="Q79" i="1"/>
  <c r="P79" i="1"/>
  <c r="O79" i="1"/>
  <c r="T78" i="1"/>
  <c r="S78" i="1"/>
  <c r="Q78" i="1"/>
  <c r="P78" i="1"/>
  <c r="O78" i="1"/>
  <c r="T77" i="1"/>
  <c r="S77" i="1"/>
  <c r="Q77" i="1"/>
  <c r="P77" i="1"/>
  <c r="O77" i="1"/>
  <c r="T76" i="1"/>
  <c r="S76" i="1"/>
  <c r="Q76" i="1"/>
  <c r="P76" i="1"/>
  <c r="O76" i="1"/>
  <c r="T75" i="1"/>
  <c r="S75" i="1"/>
  <c r="Q75" i="1"/>
  <c r="P75" i="1"/>
  <c r="O75" i="1"/>
  <c r="T74" i="1"/>
  <c r="S74" i="1"/>
  <c r="Q74" i="1"/>
  <c r="P74" i="1"/>
  <c r="O74" i="1"/>
  <c r="T73" i="1"/>
  <c r="S73" i="1"/>
  <c r="Q73" i="1"/>
  <c r="P73" i="1"/>
  <c r="O73" i="1"/>
  <c r="T72" i="1"/>
  <c r="S72" i="1"/>
  <c r="Q72" i="1"/>
  <c r="P72" i="1"/>
  <c r="O72" i="1"/>
  <c r="T71" i="1"/>
  <c r="S71" i="1"/>
  <c r="Q71" i="1"/>
  <c r="P71" i="1"/>
  <c r="O71" i="1"/>
  <c r="T70" i="1"/>
  <c r="S70" i="1"/>
  <c r="Q70" i="1"/>
  <c r="P70" i="1"/>
  <c r="O70" i="1"/>
  <c r="T69" i="1"/>
  <c r="S69" i="1"/>
  <c r="Q69" i="1"/>
  <c r="P69" i="1"/>
  <c r="O69" i="1"/>
  <c r="T68" i="1"/>
  <c r="S68" i="1"/>
  <c r="Q68" i="1"/>
  <c r="P68" i="1"/>
  <c r="O68" i="1"/>
  <c r="T67" i="1"/>
  <c r="S67" i="1"/>
  <c r="Q67" i="1"/>
  <c r="P67" i="1"/>
  <c r="O67" i="1"/>
  <c r="T66" i="1"/>
  <c r="S66" i="1"/>
  <c r="Q66" i="1"/>
  <c r="P66" i="1"/>
  <c r="O66" i="1"/>
  <c r="T65" i="1"/>
  <c r="S65" i="1"/>
  <c r="Q65" i="1"/>
  <c r="P65" i="1"/>
  <c r="O65" i="1"/>
  <c r="T64" i="1"/>
  <c r="S64" i="1"/>
  <c r="Q64" i="1"/>
  <c r="P64" i="1"/>
  <c r="O64" i="1"/>
  <c r="T63" i="1"/>
  <c r="S63" i="1"/>
  <c r="Q63" i="1"/>
  <c r="P63" i="1"/>
  <c r="O63" i="1"/>
  <c r="T62" i="1"/>
  <c r="S62" i="1"/>
  <c r="Q62" i="1"/>
  <c r="P62" i="1"/>
  <c r="O62" i="1"/>
  <c r="T61" i="1"/>
  <c r="S61" i="1"/>
  <c r="Q61" i="1"/>
  <c r="P61" i="1"/>
  <c r="O61" i="1"/>
  <c r="T60" i="1"/>
  <c r="S60" i="1"/>
  <c r="Q60" i="1"/>
  <c r="P60" i="1"/>
  <c r="O60" i="1"/>
  <c r="T59" i="1"/>
  <c r="S59" i="1"/>
  <c r="Q59" i="1"/>
  <c r="P59" i="1"/>
  <c r="O59" i="1"/>
  <c r="T58" i="1"/>
  <c r="S58" i="1"/>
  <c r="Q58" i="1"/>
  <c r="P58" i="1"/>
  <c r="O58" i="1"/>
  <c r="T57" i="1"/>
  <c r="S57" i="1"/>
  <c r="Q57" i="1"/>
  <c r="P57" i="1"/>
  <c r="O57" i="1"/>
  <c r="T56" i="1"/>
  <c r="S56" i="1"/>
  <c r="Q56" i="1"/>
  <c r="P56" i="1"/>
  <c r="O56" i="1"/>
  <c r="T55" i="1"/>
  <c r="S55" i="1"/>
  <c r="Q55" i="1"/>
  <c r="P55" i="1"/>
  <c r="O55" i="1"/>
  <c r="T54" i="1"/>
  <c r="S54" i="1"/>
  <c r="Q54" i="1"/>
  <c r="P54" i="1"/>
  <c r="O54" i="1"/>
  <c r="T53" i="1"/>
  <c r="S53" i="1"/>
  <c r="Q53" i="1"/>
  <c r="P53" i="1"/>
  <c r="O53" i="1"/>
  <c r="T52" i="1"/>
  <c r="S52" i="1"/>
  <c r="Q52" i="1"/>
  <c r="P52" i="1"/>
  <c r="O52" i="1"/>
  <c r="T51" i="1"/>
  <c r="S51" i="1"/>
  <c r="Q51" i="1"/>
  <c r="P51" i="1"/>
  <c r="O51" i="1"/>
  <c r="T50" i="1"/>
  <c r="S50" i="1"/>
  <c r="Q50" i="1"/>
  <c r="P50" i="1"/>
  <c r="O50" i="1"/>
  <c r="T49" i="1"/>
  <c r="S49" i="1"/>
  <c r="Q49" i="1"/>
  <c r="P49" i="1"/>
  <c r="O49" i="1"/>
  <c r="T48" i="1"/>
  <c r="S48" i="1"/>
  <c r="Q48" i="1"/>
  <c r="P48" i="1"/>
  <c r="O48" i="1"/>
  <c r="T47" i="1"/>
  <c r="S47" i="1"/>
  <c r="Q47" i="1"/>
  <c r="P47" i="1"/>
  <c r="O47" i="1"/>
  <c r="T46" i="1"/>
  <c r="S46" i="1"/>
  <c r="Q46" i="1"/>
  <c r="P46" i="1"/>
  <c r="O46" i="1"/>
  <c r="T45" i="1"/>
  <c r="S45" i="1"/>
  <c r="Q45" i="1"/>
  <c r="P45" i="1"/>
  <c r="O45" i="1"/>
  <c r="T44" i="1"/>
  <c r="S44" i="1"/>
  <c r="Q44" i="1"/>
  <c r="P44" i="1"/>
  <c r="O44" i="1"/>
  <c r="T43" i="1"/>
  <c r="S43" i="1"/>
  <c r="Q43" i="1"/>
  <c r="P43" i="1"/>
  <c r="O43" i="1"/>
  <c r="T42" i="1"/>
  <c r="S42" i="1"/>
  <c r="Q42" i="1"/>
  <c r="P42" i="1"/>
  <c r="O42" i="1"/>
  <c r="T41" i="1"/>
  <c r="S41" i="1"/>
  <c r="Q41" i="1"/>
  <c r="P41" i="1"/>
  <c r="O41" i="1"/>
  <c r="T40" i="1"/>
  <c r="S40" i="1"/>
  <c r="Q40" i="1"/>
  <c r="P40" i="1"/>
  <c r="O40" i="1"/>
  <c r="T39" i="1"/>
  <c r="S39" i="1"/>
  <c r="Q39" i="1"/>
  <c r="P39" i="1"/>
  <c r="O39" i="1"/>
  <c r="T38" i="1"/>
  <c r="S38" i="1"/>
  <c r="Q38" i="1"/>
  <c r="P38" i="1"/>
  <c r="O38" i="1"/>
  <c r="T37" i="1"/>
  <c r="S37" i="1"/>
  <c r="Q37" i="1"/>
  <c r="P37" i="1"/>
  <c r="O37" i="1"/>
  <c r="T36" i="1"/>
  <c r="S36" i="1"/>
  <c r="Q36" i="1"/>
  <c r="P36" i="1"/>
  <c r="O36" i="1"/>
  <c r="T35" i="1"/>
  <c r="S35" i="1"/>
  <c r="Q35" i="1"/>
  <c r="P35" i="1"/>
  <c r="O35" i="1"/>
  <c r="T34" i="1"/>
  <c r="S34" i="1"/>
  <c r="Q34" i="1"/>
  <c r="P34" i="1"/>
  <c r="O34" i="1"/>
  <c r="T33" i="1"/>
  <c r="S33" i="1"/>
  <c r="Q33" i="1"/>
  <c r="P33" i="1"/>
  <c r="O33" i="1"/>
  <c r="T32" i="1"/>
  <c r="S32" i="1"/>
  <c r="Q32" i="1"/>
  <c r="P32" i="1"/>
  <c r="O32" i="1"/>
  <c r="T31" i="1"/>
  <c r="S31" i="1"/>
  <c r="Q31" i="1"/>
  <c r="P31" i="1"/>
  <c r="O31" i="1"/>
  <c r="T30" i="1"/>
  <c r="S30" i="1"/>
  <c r="Q30" i="1"/>
  <c r="P30" i="1"/>
  <c r="O30" i="1"/>
  <c r="T29" i="1"/>
  <c r="S29" i="1"/>
  <c r="Q29" i="1"/>
  <c r="P29" i="1"/>
  <c r="O29" i="1"/>
  <c r="T28" i="1"/>
  <c r="S28" i="1"/>
  <c r="Q28" i="1"/>
  <c r="P28" i="1"/>
  <c r="O28" i="1"/>
  <c r="T27" i="1"/>
  <c r="S27" i="1"/>
  <c r="Q27" i="1"/>
  <c r="P27" i="1"/>
  <c r="O27" i="1"/>
  <c r="T26" i="1"/>
  <c r="S26" i="1"/>
  <c r="Q26" i="1"/>
  <c r="P26" i="1"/>
  <c r="O26" i="1"/>
  <c r="T25" i="1"/>
  <c r="S25" i="1"/>
  <c r="Q25" i="1"/>
  <c r="P25" i="1"/>
  <c r="O25" i="1"/>
  <c r="T24" i="1"/>
  <c r="S24" i="1"/>
  <c r="Q24" i="1"/>
  <c r="P24" i="1"/>
  <c r="O24" i="1"/>
  <c r="T23" i="1"/>
  <c r="S23" i="1"/>
  <c r="Q23" i="1"/>
  <c r="P23" i="1"/>
  <c r="O23" i="1"/>
  <c r="T22" i="1"/>
  <c r="S22" i="1"/>
  <c r="Q22" i="1"/>
  <c r="P22" i="1"/>
  <c r="O22" i="1"/>
  <c r="T21" i="1"/>
  <c r="S21" i="1"/>
  <c r="Q21" i="1"/>
  <c r="P21" i="1"/>
  <c r="O21" i="1"/>
  <c r="T20" i="1"/>
  <c r="S20" i="1"/>
  <c r="Q20" i="1"/>
  <c r="P20" i="1"/>
  <c r="O20" i="1"/>
  <c r="T19" i="1"/>
  <c r="S19" i="1"/>
  <c r="Q19" i="1"/>
  <c r="P19" i="1"/>
  <c r="O19" i="1"/>
  <c r="T18" i="1"/>
  <c r="S18" i="1"/>
  <c r="Q18" i="1"/>
  <c r="P18" i="1"/>
  <c r="O18" i="1"/>
  <c r="T17" i="1"/>
  <c r="S17" i="1"/>
  <c r="Q17" i="1"/>
  <c r="P17" i="1"/>
  <c r="O17" i="1"/>
  <c r="T16" i="1"/>
  <c r="S16" i="1"/>
  <c r="Q16" i="1"/>
  <c r="P16" i="1"/>
  <c r="O16" i="1"/>
  <c r="T15" i="1"/>
  <c r="S15" i="1"/>
  <c r="Q15" i="1"/>
  <c r="P15" i="1"/>
  <c r="O15" i="1"/>
  <c r="T14" i="1"/>
  <c r="S14" i="1"/>
  <c r="Q14" i="1"/>
  <c r="P14" i="1"/>
  <c r="O14" i="1"/>
  <c r="T13" i="1"/>
  <c r="S13" i="1"/>
  <c r="Q13" i="1"/>
  <c r="P13" i="1"/>
  <c r="O13" i="1"/>
  <c r="T12" i="1"/>
  <c r="S12" i="1"/>
  <c r="Q12" i="1"/>
  <c r="P12" i="1"/>
  <c r="O12" i="1"/>
  <c r="T11" i="1"/>
  <c r="S11" i="1"/>
  <c r="Q11" i="1"/>
  <c r="P11" i="1"/>
  <c r="O11" i="1"/>
  <c r="T10" i="1"/>
  <c r="S10" i="1"/>
  <c r="Q10" i="1"/>
  <c r="P10" i="1"/>
  <c r="O10" i="1"/>
  <c r="T9" i="1"/>
  <c r="S9" i="1"/>
  <c r="Q9" i="1"/>
  <c r="P9" i="1"/>
  <c r="O9" i="1"/>
  <c r="T8" i="1"/>
  <c r="S8" i="1"/>
  <c r="Q8" i="1"/>
  <c r="P8" i="1"/>
  <c r="O8" i="1"/>
  <c r="T7" i="1"/>
  <c r="S7" i="1"/>
  <c r="Q7" i="1"/>
  <c r="P7" i="1"/>
  <c r="O7" i="1"/>
  <c r="T6" i="1"/>
  <c r="S6" i="1"/>
  <c r="Q6" i="1"/>
  <c r="P6" i="1"/>
  <c r="O6" i="1"/>
  <c r="T5" i="1"/>
  <c r="S5" i="1"/>
  <c r="Q5" i="1"/>
  <c r="P5" i="1"/>
  <c r="O5" i="1"/>
  <c r="T4" i="1"/>
  <c r="S4" i="1"/>
  <c r="Q4" i="1"/>
  <c r="P4" i="1"/>
  <c r="O4" i="1"/>
  <c r="T3" i="1"/>
  <c r="S3" i="1"/>
  <c r="Q3" i="1"/>
  <c r="P3" i="1"/>
  <c r="O3" i="1"/>
  <c r="T2" i="1"/>
  <c r="S2" i="1"/>
  <c r="Q2" i="1"/>
  <c r="P2" i="1"/>
  <c r="B6" i="6" l="1"/>
  <c r="G5" i="8" s="1"/>
</calcChain>
</file>

<file path=xl/sharedStrings.xml><?xml version="1.0" encoding="utf-8"?>
<sst xmlns="http://schemas.openxmlformats.org/spreadsheetml/2006/main" count="18757" uniqueCount="4372">
  <si>
    <t>OrderID</t>
  </si>
  <si>
    <t>Date</t>
  </si>
  <si>
    <t>CustomerID</t>
  </si>
  <si>
    <t>Product</t>
  </si>
  <si>
    <t>Quantity</t>
  </si>
  <si>
    <t>UnitPrice</t>
  </si>
  <si>
    <t>ShippingAddress</t>
  </si>
  <si>
    <t>PaymentMethod</t>
  </si>
  <si>
    <t>OrderStatus</t>
  </si>
  <si>
    <t>TrackingNumber</t>
  </si>
  <si>
    <t>ItemsInCart</t>
  </si>
  <si>
    <t>CouponCode</t>
  </si>
  <si>
    <t>ReferralSource</t>
  </si>
  <si>
    <t>TotalPrice</t>
  </si>
  <si>
    <t>Order Month</t>
  </si>
  <si>
    <t>Order Year</t>
  </si>
  <si>
    <t>Revenue Check</t>
  </si>
  <si>
    <t>Order Flag</t>
  </si>
  <si>
    <t>Cancelled Flag</t>
  </si>
  <si>
    <t>Returned Flag</t>
  </si>
  <si>
    <t>ORD200000</t>
  </si>
  <si>
    <t>C72649</t>
  </si>
  <si>
    <t>Monitor</t>
  </si>
  <si>
    <t>928 Main St</t>
  </si>
  <si>
    <t>Debit Card</t>
  </si>
  <si>
    <t>Shipped</t>
  </si>
  <si>
    <t>TRK37947903</t>
  </si>
  <si>
    <t>SAVE10</t>
  </si>
  <si>
    <t>Instagram</t>
  </si>
  <si>
    <t>ORD200001</t>
  </si>
  <si>
    <t>C75739</t>
  </si>
  <si>
    <t>Phone</t>
  </si>
  <si>
    <t>823 Main St</t>
  </si>
  <si>
    <t>Online</t>
  </si>
  <si>
    <t>TRK91186779</t>
  </si>
  <si>
    <t>Referral</t>
  </si>
  <si>
    <t>ORD200002</t>
  </si>
  <si>
    <t>C81728</t>
  </si>
  <si>
    <t>Tablet</t>
  </si>
  <si>
    <t>512 Main St</t>
  </si>
  <si>
    <t>Credit Card</t>
  </si>
  <si>
    <t>Cancelled</t>
  </si>
  <si>
    <t>TRK42903982</t>
  </si>
  <si>
    <t>FREESHIP</t>
  </si>
  <si>
    <t>Email</t>
  </si>
  <si>
    <t>ORD200003</t>
  </si>
  <si>
    <t>C33540</t>
  </si>
  <si>
    <t>Chair</t>
  </si>
  <si>
    <t>275 Main St</t>
  </si>
  <si>
    <t>Returned</t>
  </si>
  <si>
    <t>TRK62788070</t>
  </si>
  <si>
    <t>Facebook</t>
  </si>
  <si>
    <t>ORD200004</t>
  </si>
  <si>
    <t>C81840</t>
  </si>
  <si>
    <t>Printer</t>
  </si>
  <si>
    <t>668 Main St</t>
  </si>
  <si>
    <t>Delivered</t>
  </si>
  <si>
    <t>TRK29241424</t>
  </si>
  <si>
    <t>ORD200005</t>
  </si>
  <si>
    <t>C37249</t>
  </si>
  <si>
    <t>934 Main St</t>
  </si>
  <si>
    <t>TRK72976927</t>
  </si>
  <si>
    <t>ORD200006</t>
  </si>
  <si>
    <t>C83492</t>
  </si>
  <si>
    <t>Laptop</t>
  </si>
  <si>
    <t>986 Main St</t>
  </si>
  <si>
    <t>Gift Card</t>
  </si>
  <si>
    <t>TRK96417362</t>
  </si>
  <si>
    <t>ORD200007</t>
  </si>
  <si>
    <t>C41460</t>
  </si>
  <si>
    <t>706 Main St</t>
  </si>
  <si>
    <t>Cash</t>
  </si>
  <si>
    <t>TRK78809193</t>
  </si>
  <si>
    <t>ORD200008</t>
  </si>
  <si>
    <t>C26817</t>
  </si>
  <si>
    <t>904 Main St</t>
  </si>
  <si>
    <t>TRK61042692</t>
  </si>
  <si>
    <t>ORD200009</t>
  </si>
  <si>
    <t>C31946</t>
  </si>
  <si>
    <t>Desk</t>
  </si>
  <si>
    <t>102 Main St</t>
  </si>
  <si>
    <t>TRK33478363</t>
  </si>
  <si>
    <t>Google</t>
  </si>
  <si>
    <t>ORD200010</t>
  </si>
  <si>
    <t>C43443</t>
  </si>
  <si>
    <t>333 Main St</t>
  </si>
  <si>
    <t>TRK98859248</t>
  </si>
  <si>
    <t>WINTER15</t>
  </si>
  <si>
    <t>ORD200011</t>
  </si>
  <si>
    <t>C93861</t>
  </si>
  <si>
    <t>831 Main St</t>
  </si>
  <si>
    <t>TRK48234646</t>
  </si>
  <si>
    <t>ORD200012</t>
  </si>
  <si>
    <t>C38785</t>
  </si>
  <si>
    <t>179 Main St</t>
  </si>
  <si>
    <t>Pending</t>
  </si>
  <si>
    <t>TRK20419991</t>
  </si>
  <si>
    <t>ORD200013</t>
  </si>
  <si>
    <t>C88348</t>
  </si>
  <si>
    <t>903 Main St</t>
  </si>
  <si>
    <t>TRK81913874</t>
  </si>
  <si>
    <t>ORD200014</t>
  </si>
  <si>
    <t>C98474</t>
  </si>
  <si>
    <t>980 Main St</t>
  </si>
  <si>
    <t>TRK79186539</t>
  </si>
  <si>
    <t>ORD200015</t>
  </si>
  <si>
    <t>C39416</t>
  </si>
  <si>
    <t>942 Main St</t>
  </si>
  <si>
    <t>TRK54930938</t>
  </si>
  <si>
    <t>ORD200016</t>
  </si>
  <si>
    <t>C28976</t>
  </si>
  <si>
    <t>914 Main St</t>
  </si>
  <si>
    <t>TRK13194259</t>
  </si>
  <si>
    <t>ORD200017</t>
  </si>
  <si>
    <t>C60672</t>
  </si>
  <si>
    <t>382 Main St</t>
  </si>
  <si>
    <t>TRK11972116</t>
  </si>
  <si>
    <t>ORD200018</t>
  </si>
  <si>
    <t>C84329</t>
  </si>
  <si>
    <t>891 Main St</t>
  </si>
  <si>
    <t>TRK65191045</t>
  </si>
  <si>
    <t>ORD200019</t>
  </si>
  <si>
    <t>C14552</t>
  </si>
  <si>
    <t>273 Main St</t>
  </si>
  <si>
    <t>TRK59101365</t>
  </si>
  <si>
    <t>ORD200020</t>
  </si>
  <si>
    <t>C54829</t>
  </si>
  <si>
    <t>587 Main St</t>
  </si>
  <si>
    <t>TRK16718651</t>
  </si>
  <si>
    <t>ORD200021</t>
  </si>
  <si>
    <t>C99023</t>
  </si>
  <si>
    <t>569 Main St</t>
  </si>
  <si>
    <t>TRK52646983</t>
  </si>
  <si>
    <t>ORD200022</t>
  </si>
  <si>
    <t>C34416</t>
  </si>
  <si>
    <t>633 Main St</t>
  </si>
  <si>
    <t>TRK75937350</t>
  </si>
  <si>
    <t>ORD200023</t>
  </si>
  <si>
    <t>C42372</t>
  </si>
  <si>
    <t>755 Main St</t>
  </si>
  <si>
    <t>TRK36168083</t>
  </si>
  <si>
    <t>ORD200024</t>
  </si>
  <si>
    <t>C17470</t>
  </si>
  <si>
    <t>956 Main St</t>
  </si>
  <si>
    <t>TRK28775057</t>
  </si>
  <si>
    <t>ORD200025</t>
  </si>
  <si>
    <t>C42577</t>
  </si>
  <si>
    <t>709 Main St</t>
  </si>
  <si>
    <t>TRK69423327</t>
  </si>
  <si>
    <t>ORD200026</t>
  </si>
  <si>
    <t>C21944</t>
  </si>
  <si>
    <t>296 Main St</t>
  </si>
  <si>
    <t>TRK80276812</t>
  </si>
  <si>
    <t>ORD200027</t>
  </si>
  <si>
    <t>C97593</t>
  </si>
  <si>
    <t>881 Main St</t>
  </si>
  <si>
    <t>TRK89117573</t>
  </si>
  <si>
    <t>ORD200028</t>
  </si>
  <si>
    <t>C59823</t>
  </si>
  <si>
    <t>568 Main St</t>
  </si>
  <si>
    <t>TRK65895539</t>
  </si>
  <si>
    <t>ORD200029</t>
  </si>
  <si>
    <t>C33260</t>
  </si>
  <si>
    <t>930 Main St</t>
  </si>
  <si>
    <t>TRK59744090</t>
  </si>
  <si>
    <t>ORD200030</t>
  </si>
  <si>
    <t>C44267</t>
  </si>
  <si>
    <t>895 Main St</t>
  </si>
  <si>
    <t>TRK54751444</t>
  </si>
  <si>
    <t>ORD200031</t>
  </si>
  <si>
    <t>C26445</t>
  </si>
  <si>
    <t>996 Main St</t>
  </si>
  <si>
    <t>TRK31229981</t>
  </si>
  <si>
    <t>ORD200032</t>
  </si>
  <si>
    <t>C12388</t>
  </si>
  <si>
    <t>830 Main St</t>
  </si>
  <si>
    <t>TRK99261395</t>
  </si>
  <si>
    <t>ORD200033</t>
  </si>
  <si>
    <t>C52184</t>
  </si>
  <si>
    <t>912 Main St</t>
  </si>
  <si>
    <t>TRK73312471</t>
  </si>
  <si>
    <t>ORD200034</t>
  </si>
  <si>
    <t>C67195</t>
  </si>
  <si>
    <t>926 Main St</t>
  </si>
  <si>
    <t>TRK55467915</t>
  </si>
  <si>
    <t>ORD200035</t>
  </si>
  <si>
    <t>C50304</t>
  </si>
  <si>
    <t>128 Main St</t>
  </si>
  <si>
    <t>TRK46850888</t>
  </si>
  <si>
    <t>ORD200036</t>
  </si>
  <si>
    <t>C59337</t>
  </si>
  <si>
    <t>465 Main St</t>
  </si>
  <si>
    <t>TRK50961250</t>
  </si>
  <si>
    <t>ORD200037</t>
  </si>
  <si>
    <t>C10054</t>
  </si>
  <si>
    <t>409 Main St</t>
  </si>
  <si>
    <t>TRK94005261</t>
  </si>
  <si>
    <t>ORD200038</t>
  </si>
  <si>
    <t>C15924</t>
  </si>
  <si>
    <t>549 Main St</t>
  </si>
  <si>
    <t>TRK14835975</t>
  </si>
  <si>
    <t>ORD200039</t>
  </si>
  <si>
    <t>C96664</t>
  </si>
  <si>
    <t>666 Main St</t>
  </si>
  <si>
    <t>TRK85508960</t>
  </si>
  <si>
    <t>ORD200040</t>
  </si>
  <si>
    <t>C84766</t>
  </si>
  <si>
    <t>267 Main St</t>
  </si>
  <si>
    <t>TRK78967923</t>
  </si>
  <si>
    <t>ORD200041</t>
  </si>
  <si>
    <t>C20212</t>
  </si>
  <si>
    <t>657 Main St</t>
  </si>
  <si>
    <t>TRK69733327</t>
  </si>
  <si>
    <t>ORD200042</t>
  </si>
  <si>
    <t>C28712</t>
  </si>
  <si>
    <t>TRK40772558</t>
  </si>
  <si>
    <t>ORD200043</t>
  </si>
  <si>
    <t>C60572</t>
  </si>
  <si>
    <t>871 Main St</t>
  </si>
  <si>
    <t>TRK20351666</t>
  </si>
  <si>
    <t>ORD200044</t>
  </si>
  <si>
    <t>C73225</t>
  </si>
  <si>
    <t>TRK73848522</t>
  </si>
  <si>
    <t>ORD200045</t>
  </si>
  <si>
    <t>C17388</t>
  </si>
  <si>
    <t>157 Main St</t>
  </si>
  <si>
    <t>TRK47077395</t>
  </si>
  <si>
    <t>ORD200046</t>
  </si>
  <si>
    <t>C43212</t>
  </si>
  <si>
    <t>223 Main St</t>
  </si>
  <si>
    <t>TRK25100762</t>
  </si>
  <si>
    <t>ORD200047</t>
  </si>
  <si>
    <t>C38134</t>
  </si>
  <si>
    <t>323 Main St</t>
  </si>
  <si>
    <t>TRK42450754</t>
  </si>
  <si>
    <t>ORD200048</t>
  </si>
  <si>
    <t>C12408</t>
  </si>
  <si>
    <t>464 Main St</t>
  </si>
  <si>
    <t>TRK38938858</t>
  </si>
  <si>
    <t>ORD200049</t>
  </si>
  <si>
    <t>C11985</t>
  </si>
  <si>
    <t>TRK53272402</t>
  </si>
  <si>
    <t>ORD200050</t>
  </si>
  <si>
    <t>C96494</t>
  </si>
  <si>
    <t>446 Main St</t>
  </si>
  <si>
    <t>TRK14675049</t>
  </si>
  <si>
    <t>ORD200051</t>
  </si>
  <si>
    <t>C36778</t>
  </si>
  <si>
    <t>434 Main St</t>
  </si>
  <si>
    <t>TRK67610289</t>
  </si>
  <si>
    <t>ORD200052</t>
  </si>
  <si>
    <t>C30513</t>
  </si>
  <si>
    <t>232 Main St</t>
  </si>
  <si>
    <t>TRK64320429</t>
  </si>
  <si>
    <t>ORD200053</t>
  </si>
  <si>
    <t>C67551</t>
  </si>
  <si>
    <t>TRK94992552</t>
  </si>
  <si>
    <t>ORD200054</t>
  </si>
  <si>
    <t>C48120</t>
  </si>
  <si>
    <t>623 Main St</t>
  </si>
  <si>
    <t>TRK11014449</t>
  </si>
  <si>
    <t>ORD200055</t>
  </si>
  <si>
    <t>C95984</t>
  </si>
  <si>
    <t>565 Main St</t>
  </si>
  <si>
    <t>TRK67434829</t>
  </si>
  <si>
    <t>ORD200056</t>
  </si>
  <si>
    <t>C54298</t>
  </si>
  <si>
    <t>566 Main St</t>
  </si>
  <si>
    <t>TRK62902341</t>
  </si>
  <si>
    <t>ORD200057</t>
  </si>
  <si>
    <t>C88036</t>
  </si>
  <si>
    <t>842 Main St</t>
  </si>
  <si>
    <t>TRK52470128</t>
  </si>
  <si>
    <t>ORD200058</t>
  </si>
  <si>
    <t>C60190</t>
  </si>
  <si>
    <t>202 Main St</t>
  </si>
  <si>
    <t>TRK70857868</t>
  </si>
  <si>
    <t>ORD200059</t>
  </si>
  <si>
    <t>C97603</t>
  </si>
  <si>
    <t>811 Main St</t>
  </si>
  <si>
    <t>TRK47055028</t>
  </si>
  <si>
    <t>ORD200060</t>
  </si>
  <si>
    <t>C39256</t>
  </si>
  <si>
    <t>634 Main St</t>
  </si>
  <si>
    <t>TRK23412025</t>
  </si>
  <si>
    <t>ORD200061</t>
  </si>
  <si>
    <t>C61618</t>
  </si>
  <si>
    <t>104 Main St</t>
  </si>
  <si>
    <t>TRK43458485</t>
  </si>
  <si>
    <t>ORD200062</t>
  </si>
  <si>
    <t>C36497</t>
  </si>
  <si>
    <t>691 Main St</t>
  </si>
  <si>
    <t>TRK12102911</t>
  </si>
  <si>
    <t>ORD200063</t>
  </si>
  <si>
    <t>C96695</t>
  </si>
  <si>
    <t>813 Main St</t>
  </si>
  <si>
    <t>TRK64283851</t>
  </si>
  <si>
    <t>ORD200064</t>
  </si>
  <si>
    <t>C49720</t>
  </si>
  <si>
    <t>752 Main St</t>
  </si>
  <si>
    <t>TRK55785217</t>
  </si>
  <si>
    <t>ORD200065</t>
  </si>
  <si>
    <t>C97735</t>
  </si>
  <si>
    <t>385 Main St</t>
  </si>
  <si>
    <t>TRK13743703</t>
  </si>
  <si>
    <t>ORD200066</t>
  </si>
  <si>
    <t>C18104</t>
  </si>
  <si>
    <t>715 Main St</t>
  </si>
  <si>
    <t>TRK15488568</t>
  </si>
  <si>
    <t>ORD200067</t>
  </si>
  <si>
    <t>C25587</t>
  </si>
  <si>
    <t>440 Main St</t>
  </si>
  <si>
    <t>TRK55105323</t>
  </si>
  <si>
    <t>ORD200068</t>
  </si>
  <si>
    <t>C41598</t>
  </si>
  <si>
    <t>TRK81665940</t>
  </si>
  <si>
    <t>ORD200069</t>
  </si>
  <si>
    <t>C43338</t>
  </si>
  <si>
    <t>552 Main St</t>
  </si>
  <si>
    <t>TRK35241775</t>
  </si>
  <si>
    <t>ORD200070</t>
  </si>
  <si>
    <t>C25123</t>
  </si>
  <si>
    <t>384 Main St</t>
  </si>
  <si>
    <t>TRK27812282</t>
  </si>
  <si>
    <t>ORD200071</t>
  </si>
  <si>
    <t>C37454</t>
  </si>
  <si>
    <t>923 Main St</t>
  </si>
  <si>
    <t>TRK28252730</t>
  </si>
  <si>
    <t>ORD200072</t>
  </si>
  <si>
    <t>C19451</t>
  </si>
  <si>
    <t>TRK87787793</t>
  </si>
  <si>
    <t>ORD200073</t>
  </si>
  <si>
    <t>C17269</t>
  </si>
  <si>
    <t>129 Main St</t>
  </si>
  <si>
    <t>TRK79608389</t>
  </si>
  <si>
    <t>ORD200074</t>
  </si>
  <si>
    <t>C25382</t>
  </si>
  <si>
    <t>622 Main St</t>
  </si>
  <si>
    <t>TRK64691287</t>
  </si>
  <si>
    <t>ORD200075</t>
  </si>
  <si>
    <t>C80651</t>
  </si>
  <si>
    <t>917 Main St</t>
  </si>
  <si>
    <t>TRK14846720</t>
  </si>
  <si>
    <t>ORD200076</t>
  </si>
  <si>
    <t>C58638</t>
  </si>
  <si>
    <t>239 Main St</t>
  </si>
  <si>
    <t>TRK38224871</t>
  </si>
  <si>
    <t>ORD200077</t>
  </si>
  <si>
    <t>C50121</t>
  </si>
  <si>
    <t>348 Main St</t>
  </si>
  <si>
    <t>TRK79810059</t>
  </si>
  <si>
    <t>ORD200078</t>
  </si>
  <si>
    <t>C32029</t>
  </si>
  <si>
    <t>146 Main St</t>
  </si>
  <si>
    <t>TRK68535532</t>
  </si>
  <si>
    <t>ORD200079</t>
  </si>
  <si>
    <t>C76700</t>
  </si>
  <si>
    <t>103 Main St</t>
  </si>
  <si>
    <t>TRK13036341</t>
  </si>
  <si>
    <t>ORD200080</t>
  </si>
  <si>
    <t>C29041</t>
  </si>
  <si>
    <t>591 Main St</t>
  </si>
  <si>
    <t>TRK28840655</t>
  </si>
  <si>
    <t>ORD200081</t>
  </si>
  <si>
    <t>C29314</t>
  </si>
  <si>
    <t>496 Main St</t>
  </si>
  <si>
    <t>TRK59876213</t>
  </si>
  <si>
    <t>ORD200082</t>
  </si>
  <si>
    <t>C65799</t>
  </si>
  <si>
    <t>971 Main St</t>
  </si>
  <si>
    <t>TRK66906607</t>
  </si>
  <si>
    <t>ORD200083</t>
  </si>
  <si>
    <t>C15681</t>
  </si>
  <si>
    <t>989 Main St</t>
  </si>
  <si>
    <t>TRK75112172</t>
  </si>
  <si>
    <t>ORD200084</t>
  </si>
  <si>
    <t>C64160</t>
  </si>
  <si>
    <t>967 Main St</t>
  </si>
  <si>
    <t>TRK34121529</t>
  </si>
  <si>
    <t>ORD200085</t>
  </si>
  <si>
    <t>C14553</t>
  </si>
  <si>
    <t>768 Main St</t>
  </si>
  <si>
    <t>TRK93538334</t>
  </si>
  <si>
    <t>ORD200086</t>
  </si>
  <si>
    <t>C88205</t>
  </si>
  <si>
    <t>447 Main St</t>
  </si>
  <si>
    <t>TRK93504166</t>
  </si>
  <si>
    <t>ORD200087</t>
  </si>
  <si>
    <t>C91245</t>
  </si>
  <si>
    <t>915 Main St</t>
  </si>
  <si>
    <t>TRK46976391</t>
  </si>
  <si>
    <t>ORD200088</t>
  </si>
  <si>
    <t>C75439</t>
  </si>
  <si>
    <t>318 Main St</t>
  </si>
  <si>
    <t>TRK19831653</t>
  </si>
  <si>
    <t>ORD200089</t>
  </si>
  <si>
    <t>C17181</t>
  </si>
  <si>
    <t>291 Main St</t>
  </si>
  <si>
    <t>TRK78912978</t>
  </si>
  <si>
    <t>ORD200090</t>
  </si>
  <si>
    <t>C36540</t>
  </si>
  <si>
    <t>611 Main St</t>
  </si>
  <si>
    <t>TRK35828122</t>
  </si>
  <si>
    <t>ORD200091</t>
  </si>
  <si>
    <t>C98216</t>
  </si>
  <si>
    <t>196 Main St</t>
  </si>
  <si>
    <t>TRK40986666</t>
  </si>
  <si>
    <t>ORD200092</t>
  </si>
  <si>
    <t>C29568</t>
  </si>
  <si>
    <t>203 Main St</t>
  </si>
  <si>
    <t>TRK46531075</t>
  </si>
  <si>
    <t>ORD200093</t>
  </si>
  <si>
    <t>C97262</t>
  </si>
  <si>
    <t>837 Main St</t>
  </si>
  <si>
    <t>TRK65990229</t>
  </si>
  <si>
    <t>ORD200094</t>
  </si>
  <si>
    <t>C79821</t>
  </si>
  <si>
    <t>781 Main St</t>
  </si>
  <si>
    <t>TRK12780193</t>
  </si>
  <si>
    <t>ORD200095</t>
  </si>
  <si>
    <t>C76761</t>
  </si>
  <si>
    <t>839 Main St</t>
  </si>
  <si>
    <t>TRK60179774</t>
  </si>
  <si>
    <t>ORD200096</t>
  </si>
  <si>
    <t>C93007</t>
  </si>
  <si>
    <t>TRK85696091</t>
  </si>
  <si>
    <t>ORD200097</t>
  </si>
  <si>
    <t>C15624</t>
  </si>
  <si>
    <t>922 Main St</t>
  </si>
  <si>
    <t>TRK40621141</t>
  </si>
  <si>
    <t>ORD200098</t>
  </si>
  <si>
    <t>C70921</t>
  </si>
  <si>
    <t>533 Main St</t>
  </si>
  <si>
    <t>TRK54983109</t>
  </si>
  <si>
    <t>ORD200099</t>
  </si>
  <si>
    <t>C30477</t>
  </si>
  <si>
    <t>717 Main St</t>
  </si>
  <si>
    <t>TRK51829648</t>
  </si>
  <si>
    <t>ORD200100</t>
  </si>
  <si>
    <t>C74866</t>
  </si>
  <si>
    <t>743 Main St</t>
  </si>
  <si>
    <t>TRK53783265</t>
  </si>
  <si>
    <t>ORD200101</t>
  </si>
  <si>
    <t>C15283</t>
  </si>
  <si>
    <t>152 Main St</t>
  </si>
  <si>
    <t>TRK19286291</t>
  </si>
  <si>
    <t>ORD200102</t>
  </si>
  <si>
    <t>C18037</t>
  </si>
  <si>
    <t>944 Main St</t>
  </si>
  <si>
    <t>TRK47362236</t>
  </si>
  <si>
    <t>ORD200103</t>
  </si>
  <si>
    <t>C62656</t>
  </si>
  <si>
    <t>514 Main St</t>
  </si>
  <si>
    <t>TRK86296459</t>
  </si>
  <si>
    <t>ORD200104</t>
  </si>
  <si>
    <t>C65744</t>
  </si>
  <si>
    <t>647 Main St</t>
  </si>
  <si>
    <t>TRK39906058</t>
  </si>
  <si>
    <t>ORD200105</t>
  </si>
  <si>
    <t>C72290</t>
  </si>
  <si>
    <t>810 Main St</t>
  </si>
  <si>
    <t>TRK68792129</t>
  </si>
  <si>
    <t>ORD200106</t>
  </si>
  <si>
    <t>C73514</t>
  </si>
  <si>
    <t>126 Main St</t>
  </si>
  <si>
    <t>TRK96777924</t>
  </si>
  <si>
    <t>ORD200107</t>
  </si>
  <si>
    <t>C16775</t>
  </si>
  <si>
    <t>848 Main St</t>
  </si>
  <si>
    <t>TRK34392124</t>
  </si>
  <si>
    <t>ORD200108</t>
  </si>
  <si>
    <t>C33099</t>
  </si>
  <si>
    <t>522 Main St</t>
  </si>
  <si>
    <t>TRK28522330</t>
  </si>
  <si>
    <t>ORD200109</t>
  </si>
  <si>
    <t>C51157</t>
  </si>
  <si>
    <t>131 Main St</t>
  </si>
  <si>
    <t>TRK18674578</t>
  </si>
  <si>
    <t>ORD200110</t>
  </si>
  <si>
    <t>C74562</t>
  </si>
  <si>
    <t>388 Main St</t>
  </si>
  <si>
    <t>TRK32062079</t>
  </si>
  <si>
    <t>ORD200111</t>
  </si>
  <si>
    <t>C95271</t>
  </si>
  <si>
    <t>620 Main St</t>
  </si>
  <si>
    <t>TRK74904969</t>
  </si>
  <si>
    <t>ORD200112</t>
  </si>
  <si>
    <t>C81366</t>
  </si>
  <si>
    <t>423 Main St</t>
  </si>
  <si>
    <t>TRK17062206</t>
  </si>
  <si>
    <t>ORD200113</t>
  </si>
  <si>
    <t>C65905</t>
  </si>
  <si>
    <t>605 Main St</t>
  </si>
  <si>
    <t>TRK73954365</t>
  </si>
  <si>
    <t>ORD200114</t>
  </si>
  <si>
    <t>C77272</t>
  </si>
  <si>
    <t>115 Main St</t>
  </si>
  <si>
    <t>TRK29708128</t>
  </si>
  <si>
    <t>ORD200115</t>
  </si>
  <si>
    <t>C32580</t>
  </si>
  <si>
    <t>122 Main St</t>
  </si>
  <si>
    <t>TRK23670394</t>
  </si>
  <si>
    <t>ORD200116</t>
  </si>
  <si>
    <t>C47761</t>
  </si>
  <si>
    <t>109 Main St</t>
  </si>
  <si>
    <t>TRK66669207</t>
  </si>
  <si>
    <t>ORD200117</t>
  </si>
  <si>
    <t>C49187</t>
  </si>
  <si>
    <t>593 Main St</t>
  </si>
  <si>
    <t>TRK81888598</t>
  </si>
  <si>
    <t>ORD200118</t>
  </si>
  <si>
    <t>C27898</t>
  </si>
  <si>
    <t>807 Main St</t>
  </si>
  <si>
    <t>TRK61957665</t>
  </si>
  <si>
    <t>ORD200119</t>
  </si>
  <si>
    <t>C14683</t>
  </si>
  <si>
    <t>187 Main St</t>
  </si>
  <si>
    <t>TRK47373682</t>
  </si>
  <si>
    <t>ORD200120</t>
  </si>
  <si>
    <t>C58108</t>
  </si>
  <si>
    <t>TRK66218053</t>
  </si>
  <si>
    <t>ORD200121</t>
  </si>
  <si>
    <t>C89822</t>
  </si>
  <si>
    <t>673 Main St</t>
  </si>
  <si>
    <t>TRK24138598</t>
  </si>
  <si>
    <t>ORD200122</t>
  </si>
  <si>
    <t>C96787</t>
  </si>
  <si>
    <t>588 Main St</t>
  </si>
  <si>
    <t>TRK30422853</t>
  </si>
  <si>
    <t>ORD200123</t>
  </si>
  <si>
    <t>C86064</t>
  </si>
  <si>
    <t>727 Main St</t>
  </si>
  <si>
    <t>TRK62182901</t>
  </si>
  <si>
    <t>ORD200124</t>
  </si>
  <si>
    <t>C97148</t>
  </si>
  <si>
    <t>563 Main St</t>
  </si>
  <si>
    <t>TRK85321126</t>
  </si>
  <si>
    <t>ORD200125</t>
  </si>
  <si>
    <t>C91099</t>
  </si>
  <si>
    <t>758 Main St</t>
  </si>
  <si>
    <t>TRK81846174</t>
  </si>
  <si>
    <t>ORD200126</t>
  </si>
  <si>
    <t>C55606</t>
  </si>
  <si>
    <t>353 Main St</t>
  </si>
  <si>
    <t>TRK68250319</t>
  </si>
  <si>
    <t>ORD200127</t>
  </si>
  <si>
    <t>C71486</t>
  </si>
  <si>
    <t>365 Main St</t>
  </si>
  <si>
    <t>TRK73929833</t>
  </si>
  <si>
    <t>ORD200128</t>
  </si>
  <si>
    <t>C86408</t>
  </si>
  <si>
    <t>244 Main St</t>
  </si>
  <si>
    <t>TRK41432648</t>
  </si>
  <si>
    <t>ORD200129</t>
  </si>
  <si>
    <t>C52751</t>
  </si>
  <si>
    <t>427 Main St</t>
  </si>
  <si>
    <t>TRK72481234</t>
  </si>
  <si>
    <t>ORD200130</t>
  </si>
  <si>
    <t>C29059</t>
  </si>
  <si>
    <t>513 Main St</t>
  </si>
  <si>
    <t>TRK88360704</t>
  </si>
  <si>
    <t>ORD200131</t>
  </si>
  <si>
    <t>C72862</t>
  </si>
  <si>
    <t>606 Main St</t>
  </si>
  <si>
    <t>TRK51648833</t>
  </si>
  <si>
    <t>ORD200132</t>
  </si>
  <si>
    <t>C96257</t>
  </si>
  <si>
    <t>583 Main St</t>
  </si>
  <si>
    <t>TRK13137948</t>
  </si>
  <si>
    <t>ORD200133</t>
  </si>
  <si>
    <t>C87432</t>
  </si>
  <si>
    <t>636 Main St</t>
  </si>
  <si>
    <t>TRK68969625</t>
  </si>
  <si>
    <t>ORD200134</t>
  </si>
  <si>
    <t>C16253</t>
  </si>
  <si>
    <t>TRK17354894</t>
  </si>
  <si>
    <t>ORD200135</t>
  </si>
  <si>
    <t>C79909</t>
  </si>
  <si>
    <t>642 Main St</t>
  </si>
  <si>
    <t>TRK86742257</t>
  </si>
  <si>
    <t>ORD200136</t>
  </si>
  <si>
    <t>C73370</t>
  </si>
  <si>
    <t>595 Main St</t>
  </si>
  <si>
    <t>TRK67820278</t>
  </si>
  <si>
    <t>ORD200137</t>
  </si>
  <si>
    <t>C50682</t>
  </si>
  <si>
    <t>598 Main St</t>
  </si>
  <si>
    <t>TRK12242337</t>
  </si>
  <si>
    <t>ORD200138</t>
  </si>
  <si>
    <t>C21905</t>
  </si>
  <si>
    <t>478 Main St</t>
  </si>
  <si>
    <t>TRK31863841</t>
  </si>
  <si>
    <t>ORD200139</t>
  </si>
  <si>
    <t>C61440</t>
  </si>
  <si>
    <t>714 Main St</t>
  </si>
  <si>
    <t>TRK33114521</t>
  </si>
  <si>
    <t>ORD200140</t>
  </si>
  <si>
    <t>C33110</t>
  </si>
  <si>
    <t>TRK38624225</t>
  </si>
  <si>
    <t>ORD200141</t>
  </si>
  <si>
    <t>C80004</t>
  </si>
  <si>
    <t>151 Main St</t>
  </si>
  <si>
    <t>TRK66230753</t>
  </si>
  <si>
    <t>ORD200142</t>
  </si>
  <si>
    <t>C86374</t>
  </si>
  <si>
    <t>573 Main St</t>
  </si>
  <si>
    <t>TRK79451491</t>
  </si>
  <si>
    <t>ORD200143</t>
  </si>
  <si>
    <t>C66521</t>
  </si>
  <si>
    <t>933 Main St</t>
  </si>
  <si>
    <t>TRK34654244</t>
  </si>
  <si>
    <t>ORD200144</t>
  </si>
  <si>
    <t>C63365</t>
  </si>
  <si>
    <t>TRK80100887</t>
  </si>
  <si>
    <t>ORD200145</t>
  </si>
  <si>
    <t>C85929</t>
  </si>
  <si>
    <t>798 Main St</t>
  </si>
  <si>
    <t>TRK29318610</t>
  </si>
  <si>
    <t>ORD200146</t>
  </si>
  <si>
    <t>C84645</t>
  </si>
  <si>
    <t>404 Main St</t>
  </si>
  <si>
    <t>TRK68893369</t>
  </si>
  <si>
    <t>ORD200147</t>
  </si>
  <si>
    <t>C46316</t>
  </si>
  <si>
    <t>893 Main St</t>
  </si>
  <si>
    <t>TRK16196000</t>
  </si>
  <si>
    <t>ORD200148</t>
  </si>
  <si>
    <t>C35100</t>
  </si>
  <si>
    <t>139 Main St</t>
  </si>
  <si>
    <t>TRK56853491</t>
  </si>
  <si>
    <t>ORD200149</t>
  </si>
  <si>
    <t>C39671</t>
  </si>
  <si>
    <t>174 Main St</t>
  </si>
  <si>
    <t>TRK47153818</t>
  </si>
  <si>
    <t>ORD200150</t>
  </si>
  <si>
    <t>C25503</t>
  </si>
  <si>
    <t>981 Main St</t>
  </si>
  <si>
    <t>TRK29878837</t>
  </si>
  <si>
    <t>ORD200151</t>
  </si>
  <si>
    <t>C32960</t>
  </si>
  <si>
    <t>947 Main St</t>
  </si>
  <si>
    <t>TRK91226500</t>
  </si>
  <si>
    <t>ORD200152</t>
  </si>
  <si>
    <t>C77736</t>
  </si>
  <si>
    <t>659 Main St</t>
  </si>
  <si>
    <t>TRK90329250</t>
  </si>
  <si>
    <t>ORD200153</t>
  </si>
  <si>
    <t>C71570</t>
  </si>
  <si>
    <t>437 Main St</t>
  </si>
  <si>
    <t>TRK95992269</t>
  </si>
  <si>
    <t>ORD200154</t>
  </si>
  <si>
    <t>C73587</t>
  </si>
  <si>
    <t>TRK13955543</t>
  </si>
  <si>
    <t>ORD200155</t>
  </si>
  <si>
    <t>C62740</t>
  </si>
  <si>
    <t>TRK20706408</t>
  </si>
  <si>
    <t>ORD200156</t>
  </si>
  <si>
    <t>C58808</t>
  </si>
  <si>
    <t>651 Main St</t>
  </si>
  <si>
    <t>TRK24451893</t>
  </si>
  <si>
    <t>ORD200157</t>
  </si>
  <si>
    <t>C50422</t>
  </si>
  <si>
    <t>TRK71227815</t>
  </si>
  <si>
    <t>ORD200158</t>
  </si>
  <si>
    <t>C23334</t>
  </si>
  <si>
    <t>737 Main St</t>
  </si>
  <si>
    <t>TRK46335144</t>
  </si>
  <si>
    <t>ORD200159</t>
  </si>
  <si>
    <t>C48965</t>
  </si>
  <si>
    <t>819 Main St</t>
  </si>
  <si>
    <t>TRK50921780</t>
  </si>
  <si>
    <t>ORD200160</t>
  </si>
  <si>
    <t>C38669</t>
  </si>
  <si>
    <t>240 Main St</t>
  </si>
  <si>
    <t>TRK81738254</t>
  </si>
  <si>
    <t>ORD200161</t>
  </si>
  <si>
    <t>C35091</t>
  </si>
  <si>
    <t>TRK53784452</t>
  </si>
  <si>
    <t>ORD200162</t>
  </si>
  <si>
    <t>C82313</t>
  </si>
  <si>
    <t>TRK79854624</t>
  </si>
  <si>
    <t>ORD200163</t>
  </si>
  <si>
    <t>C99589</t>
  </si>
  <si>
    <t>277 Main St</t>
  </si>
  <si>
    <t>TRK16695001</t>
  </si>
  <si>
    <t>ORD200164</t>
  </si>
  <si>
    <t>C70566</t>
  </si>
  <si>
    <t>667 Main St</t>
  </si>
  <si>
    <t>TRK49673411</t>
  </si>
  <si>
    <t>ORD200165</t>
  </si>
  <si>
    <t>C60355</t>
  </si>
  <si>
    <t>226 Main St</t>
  </si>
  <si>
    <t>TRK30155194</t>
  </si>
  <si>
    <t>ORD200166</t>
  </si>
  <si>
    <t>C28889</t>
  </si>
  <si>
    <t>TRK23791726</t>
  </si>
  <si>
    <t>ORD200167</t>
  </si>
  <si>
    <t>C88304</t>
  </si>
  <si>
    <t>219 Main St</t>
  </si>
  <si>
    <t>TRK44268941</t>
  </si>
  <si>
    <t>ORD200168</t>
  </si>
  <si>
    <t>C49517</t>
  </si>
  <si>
    <t>878 Main St</t>
  </si>
  <si>
    <t>TRK78551375</t>
  </si>
  <si>
    <t>ORD200169</t>
  </si>
  <si>
    <t>C35785</t>
  </si>
  <si>
    <t>732 Main St</t>
  </si>
  <si>
    <t>TRK78923089</t>
  </si>
  <si>
    <t>ORD200170</t>
  </si>
  <si>
    <t>C80223</t>
  </si>
  <si>
    <t>535 Main St</t>
  </si>
  <si>
    <t>TRK68632951</t>
  </si>
  <si>
    <t>ORD200171</t>
  </si>
  <si>
    <t>C20448</t>
  </si>
  <si>
    <t>336 Main St</t>
  </si>
  <si>
    <t>TRK67379895</t>
  </si>
  <si>
    <t>ORD200172</t>
  </si>
  <si>
    <t>C34134</t>
  </si>
  <si>
    <t>TRK43074303</t>
  </si>
  <si>
    <t>ORD200173</t>
  </si>
  <si>
    <t>C95901</t>
  </si>
  <si>
    <t>806 Main St</t>
  </si>
  <si>
    <t>TRK56989066</t>
  </si>
  <si>
    <t>ORD200174</t>
  </si>
  <si>
    <t>C51145</t>
  </si>
  <si>
    <t>790 Main St</t>
  </si>
  <si>
    <t>TRK59154274</t>
  </si>
  <si>
    <t>ORD200175</t>
  </si>
  <si>
    <t>C78170</t>
  </si>
  <si>
    <t>332 Main St</t>
  </si>
  <si>
    <t>TRK71410605</t>
  </si>
  <si>
    <t>ORD200176</t>
  </si>
  <si>
    <t>C80151</t>
  </si>
  <si>
    <t>553 Main St</t>
  </si>
  <si>
    <t>TRK88251529</t>
  </si>
  <si>
    <t>ORD200177</t>
  </si>
  <si>
    <t>C55632</t>
  </si>
  <si>
    <t>354 Main St</t>
  </si>
  <si>
    <t>TRK13003066</t>
  </si>
  <si>
    <t>ORD200178</t>
  </si>
  <si>
    <t>C53070</t>
  </si>
  <si>
    <t>283 Main St</t>
  </si>
  <si>
    <t>TRK49791755</t>
  </si>
  <si>
    <t>ORD200179</t>
  </si>
  <si>
    <t>C27401</t>
  </si>
  <si>
    <t>500 Main St</t>
  </si>
  <si>
    <t>TRK14332053</t>
  </si>
  <si>
    <t>ORD200180</t>
  </si>
  <si>
    <t>C87216</t>
  </si>
  <si>
    <t>970 Main St</t>
  </si>
  <si>
    <t>TRK18713727</t>
  </si>
  <si>
    <t>ORD200181</t>
  </si>
  <si>
    <t>C38966</t>
  </si>
  <si>
    <t>247 Main St</t>
  </si>
  <si>
    <t>TRK17205146</t>
  </si>
  <si>
    <t>ORD200182</t>
  </si>
  <si>
    <t>C16612</t>
  </si>
  <si>
    <t>596 Main St</t>
  </si>
  <si>
    <t>TRK96188223</t>
  </si>
  <si>
    <t>ORD200183</t>
  </si>
  <si>
    <t>C39246</t>
  </si>
  <si>
    <t>258 Main St</t>
  </si>
  <si>
    <t>TRK16658182</t>
  </si>
  <si>
    <t>ORD200184</t>
  </si>
  <si>
    <t>C65180</t>
  </si>
  <si>
    <t>231 Main St</t>
  </si>
  <si>
    <t>TRK39255469</t>
  </si>
  <si>
    <t>ORD200185</t>
  </si>
  <si>
    <t>C46877</t>
  </si>
  <si>
    <t>572 Main St</t>
  </si>
  <si>
    <t>TRK96935978</t>
  </si>
  <si>
    <t>ORD200186</t>
  </si>
  <si>
    <t>C30334</t>
  </si>
  <si>
    <t>322 Main St</t>
  </si>
  <si>
    <t>TRK66388885</t>
  </si>
  <si>
    <t>ORD200187</t>
  </si>
  <si>
    <t>C21227</t>
  </si>
  <si>
    <t>689 Main St</t>
  </si>
  <si>
    <t>TRK79129657</t>
  </si>
  <si>
    <t>ORD200188</t>
  </si>
  <si>
    <t>C97715</t>
  </si>
  <si>
    <t>927 Main St</t>
  </si>
  <si>
    <t>TRK19515949</t>
  </si>
  <si>
    <t>ORD200189</t>
  </si>
  <si>
    <t>C48939</t>
  </si>
  <si>
    <t>597 Main St</t>
  </si>
  <si>
    <t>TRK62786764</t>
  </si>
  <si>
    <t>ORD200190</t>
  </si>
  <si>
    <t>C35483</t>
  </si>
  <si>
    <t>725 Main St</t>
  </si>
  <si>
    <t>TRK79638203</t>
  </si>
  <si>
    <t>ORD200191</t>
  </si>
  <si>
    <t>C51494</t>
  </si>
  <si>
    <t>505 Main St</t>
  </si>
  <si>
    <t>TRK58520306</t>
  </si>
  <si>
    <t>ORD200192</t>
  </si>
  <si>
    <t>C58410</t>
  </si>
  <si>
    <t>TRK19749672</t>
  </si>
  <si>
    <t>ORD200193</t>
  </si>
  <si>
    <t>C11644</t>
  </si>
  <si>
    <t>429 Main St</t>
  </si>
  <si>
    <t>TRK81320339</t>
  </si>
  <si>
    <t>ORD200194</t>
  </si>
  <si>
    <t>C53501</t>
  </si>
  <si>
    <t>899 Main St</t>
  </si>
  <si>
    <t>TRK90144892</t>
  </si>
  <si>
    <t>ORD200195</t>
  </si>
  <si>
    <t>C63619</t>
  </si>
  <si>
    <t>801 Main St</t>
  </si>
  <si>
    <t>TRK65385674</t>
  </si>
  <si>
    <t>ORD200196</t>
  </si>
  <si>
    <t>C40882</t>
  </si>
  <si>
    <t>719 Main St</t>
  </si>
  <si>
    <t>TRK64165503</t>
  </si>
  <si>
    <t>ORD200197</t>
  </si>
  <si>
    <t>C80135</t>
  </si>
  <si>
    <t>723 Main St</t>
  </si>
  <si>
    <t>TRK95222269</t>
  </si>
  <si>
    <t>ORD200198</t>
  </si>
  <si>
    <t>C37594</t>
  </si>
  <si>
    <t>TRK94405162</t>
  </si>
  <si>
    <t>ORD200199</t>
  </si>
  <si>
    <t>C87524</t>
  </si>
  <si>
    <t>358 Main St</t>
  </si>
  <si>
    <t>TRK21114341</t>
  </si>
  <si>
    <t>ORD200200</t>
  </si>
  <si>
    <t>C97681</t>
  </si>
  <si>
    <t>TRK37531040</t>
  </si>
  <si>
    <t>ORD200201</t>
  </si>
  <si>
    <t>C10126</t>
  </si>
  <si>
    <t>TRK75607531</t>
  </si>
  <si>
    <t>ORD200202</t>
  </si>
  <si>
    <t>C36938</t>
  </si>
  <si>
    <t>TRK52522904</t>
  </si>
  <si>
    <t>ORD200203</t>
  </si>
  <si>
    <t>C99173</t>
  </si>
  <si>
    <t>172 Main St</t>
  </si>
  <si>
    <t>TRK89849342</t>
  </si>
  <si>
    <t>ORD200204</t>
  </si>
  <si>
    <t>C99775</t>
  </si>
  <si>
    <t>TRK21638425</t>
  </si>
  <si>
    <t>ORD200205</t>
  </si>
  <si>
    <t>C19266</t>
  </si>
  <si>
    <t>609 Main St</t>
  </si>
  <si>
    <t>TRK58357269</t>
  </si>
  <si>
    <t>ORD200206</t>
  </si>
  <si>
    <t>C31072</t>
  </si>
  <si>
    <t>729 Main St</t>
  </si>
  <si>
    <t>TRK77172975</t>
  </si>
  <si>
    <t>ORD200207</t>
  </si>
  <si>
    <t>C54595</t>
  </si>
  <si>
    <t>999 Main St</t>
  </si>
  <si>
    <t>TRK44416659</t>
  </si>
  <si>
    <t>ORD200208</t>
  </si>
  <si>
    <t>C87777</t>
  </si>
  <si>
    <t>TRK29003608</t>
  </si>
  <si>
    <t>ORD200209</t>
  </si>
  <si>
    <t>C35854</t>
  </si>
  <si>
    <t>TRK30615168</t>
  </si>
  <si>
    <t>ORD200210</t>
  </si>
  <si>
    <t>C93821</t>
  </si>
  <si>
    <t>TRK10658539</t>
  </si>
  <si>
    <t>ORD200211</t>
  </si>
  <si>
    <t>C54390</t>
  </si>
  <si>
    <t>185 Main St</t>
  </si>
  <si>
    <t>TRK83853742</t>
  </si>
  <si>
    <t>ORD200212</t>
  </si>
  <si>
    <t>C53215</t>
  </si>
  <si>
    <t>367 Main St</t>
  </si>
  <si>
    <t>TRK34751835</t>
  </si>
  <si>
    <t>ORD200213</t>
  </si>
  <si>
    <t>C71122</t>
  </si>
  <si>
    <t>317 Main St</t>
  </si>
  <si>
    <t>TRK54757882</t>
  </si>
  <si>
    <t>ORD200214</t>
  </si>
  <si>
    <t>C29483</t>
  </si>
  <si>
    <t>TRK89423603</t>
  </si>
  <si>
    <t>ORD200215</t>
  </si>
  <si>
    <t>C26767</t>
  </si>
  <si>
    <t>432 Main St</t>
  </si>
  <si>
    <t>TRK24585307</t>
  </si>
  <si>
    <t>ORD200216</t>
  </si>
  <si>
    <t>C70492</t>
  </si>
  <si>
    <t>TRK84625405</t>
  </si>
  <si>
    <t>ORD200217</t>
  </si>
  <si>
    <t>C61549</t>
  </si>
  <si>
    <t>908 Main St</t>
  </si>
  <si>
    <t>TRK65596914</t>
  </si>
  <si>
    <t>ORD200218</t>
  </si>
  <si>
    <t>C11665</t>
  </si>
  <si>
    <t>882 Main St</t>
  </si>
  <si>
    <t>TRK10993930</t>
  </si>
  <si>
    <t>ORD200219</t>
  </si>
  <si>
    <t>C48946</t>
  </si>
  <si>
    <t>457 Main St</t>
  </si>
  <si>
    <t>TRK99387220</t>
  </si>
  <si>
    <t>ORD200220</t>
  </si>
  <si>
    <t>C79506</t>
  </si>
  <si>
    <t>497 Main St</t>
  </si>
  <si>
    <t>TRK95188748</t>
  </si>
  <si>
    <t>ORD200221</t>
  </si>
  <si>
    <t>C93473</t>
  </si>
  <si>
    <t>TRK50003989</t>
  </si>
  <si>
    <t>ORD200222</t>
  </si>
  <si>
    <t>C43124</t>
  </si>
  <si>
    <t>931 Main St</t>
  </si>
  <si>
    <t>TRK17293348</t>
  </si>
  <si>
    <t>ORD200223</t>
  </si>
  <si>
    <t>C22783</t>
  </si>
  <si>
    <t>TRK55009149</t>
  </si>
  <si>
    <t>ORD200224</t>
  </si>
  <si>
    <t>C18567</t>
  </si>
  <si>
    <t>507 Main St</t>
  </si>
  <si>
    <t>TRK17554673</t>
  </si>
  <si>
    <t>ORD200225</t>
  </si>
  <si>
    <t>C99879</t>
  </si>
  <si>
    <t>692 Main St</t>
  </si>
  <si>
    <t>TRK50246700</t>
  </si>
  <si>
    <t>ORD200226</t>
  </si>
  <si>
    <t>C31501</t>
  </si>
  <si>
    <t>242 Main St</t>
  </si>
  <si>
    <t>TRK93063929</t>
  </si>
  <si>
    <t>ORD200227</t>
  </si>
  <si>
    <t>C93220</t>
  </si>
  <si>
    <t>TRK89023251</t>
  </si>
  <si>
    <t>ORD200228</t>
  </si>
  <si>
    <t>C57867</t>
  </si>
  <si>
    <t>579 Main St</t>
  </si>
  <si>
    <t>TRK92055007</t>
  </si>
  <si>
    <t>ORD200229</t>
  </si>
  <si>
    <t>C62622</t>
  </si>
  <si>
    <t>762 Main St</t>
  </si>
  <si>
    <t>TRK70997648</t>
  </si>
  <si>
    <t>ORD200230</t>
  </si>
  <si>
    <t>C94595</t>
  </si>
  <si>
    <t>948 Main St</t>
  </si>
  <si>
    <t>TRK24497305</t>
  </si>
  <si>
    <t>ORD200231</t>
  </si>
  <si>
    <t>C30955</t>
  </si>
  <si>
    <t>327 Main St</t>
  </si>
  <si>
    <t>TRK46898848</t>
  </si>
  <si>
    <t>ORD200232</t>
  </si>
  <si>
    <t>C20731</t>
  </si>
  <si>
    <t>610 Main St</t>
  </si>
  <si>
    <t>TRK75568437</t>
  </si>
  <si>
    <t>ORD200233</t>
  </si>
  <si>
    <t>C30168</t>
  </si>
  <si>
    <t>TRK73699939</t>
  </si>
  <si>
    <t>ORD200234</t>
  </si>
  <si>
    <t>C79842</t>
  </si>
  <si>
    <t>337 Main St</t>
  </si>
  <si>
    <t>TRK26957950</t>
  </si>
  <si>
    <t>ORD200235</t>
  </si>
  <si>
    <t>C32854</t>
  </si>
  <si>
    <t>815 Main St</t>
  </si>
  <si>
    <t>TRK30009218</t>
  </si>
  <si>
    <t>ORD200236</t>
  </si>
  <si>
    <t>C14847</t>
  </si>
  <si>
    <t>562 Main St</t>
  </si>
  <si>
    <t>TRK39663243</t>
  </si>
  <si>
    <t>ORD200237</t>
  </si>
  <si>
    <t>C88645</t>
  </si>
  <si>
    <t>783 Main St</t>
  </si>
  <si>
    <t>TRK74097570</t>
  </si>
  <si>
    <t>ORD200238</t>
  </si>
  <si>
    <t>C66149</t>
  </si>
  <si>
    <t>770 Main St</t>
  </si>
  <si>
    <t>TRK76307307</t>
  </si>
  <si>
    <t>ORD200239</t>
  </si>
  <si>
    <t>C20256</t>
  </si>
  <si>
    <t>456 Main St</t>
  </si>
  <si>
    <t>TRK71127943</t>
  </si>
  <si>
    <t>ORD200240</t>
  </si>
  <si>
    <t>C14983</t>
  </si>
  <si>
    <t>255 Main St</t>
  </si>
  <si>
    <t>TRK93444157</t>
  </si>
  <si>
    <t>ORD200241</t>
  </si>
  <si>
    <t>C20817</t>
  </si>
  <si>
    <t>407 Main St</t>
  </si>
  <si>
    <t>TRK44164590</t>
  </si>
  <si>
    <t>ORD200242</t>
  </si>
  <si>
    <t>C94921</t>
  </si>
  <si>
    <t>134 Main St</t>
  </si>
  <si>
    <t>TRK97794327</t>
  </si>
  <si>
    <t>ORD200243</t>
  </si>
  <si>
    <t>C54725</t>
  </si>
  <si>
    <t>506 Main St</t>
  </si>
  <si>
    <t>TRK30601940</t>
  </si>
  <si>
    <t>ORD200244</t>
  </si>
  <si>
    <t>C98096</t>
  </si>
  <si>
    <t>838 Main St</t>
  </si>
  <si>
    <t>TRK51518631</t>
  </si>
  <si>
    <t>ORD200245</t>
  </si>
  <si>
    <t>C12667</t>
  </si>
  <si>
    <t>306 Main St</t>
  </si>
  <si>
    <t>TRK25390491</t>
  </si>
  <si>
    <t>ORD200246</t>
  </si>
  <si>
    <t>C55354</t>
  </si>
  <si>
    <t>164 Main St</t>
  </si>
  <si>
    <t>TRK15439493</t>
  </si>
  <si>
    <t>ORD200247</t>
  </si>
  <si>
    <t>C14600</t>
  </si>
  <si>
    <t>785 Main St</t>
  </si>
  <si>
    <t>TRK84984764</t>
  </si>
  <si>
    <t>ORD200248</t>
  </si>
  <si>
    <t>C97187</t>
  </si>
  <si>
    <t>471 Main St</t>
  </si>
  <si>
    <t>TRK62283713</t>
  </si>
  <si>
    <t>ORD200249</t>
  </si>
  <si>
    <t>C39106</t>
  </si>
  <si>
    <t>245 Main St</t>
  </si>
  <si>
    <t>TRK35464433</t>
  </si>
  <si>
    <t>ORD200250</t>
  </si>
  <si>
    <t>C93379</t>
  </si>
  <si>
    <t>TRK67954150</t>
  </si>
  <si>
    <t>ORD200251</t>
  </si>
  <si>
    <t>C93175</t>
  </si>
  <si>
    <t>814 Main St</t>
  </si>
  <si>
    <t>TRK32995144</t>
  </si>
  <si>
    <t>ORD200252</t>
  </si>
  <si>
    <t>C19648</t>
  </si>
  <si>
    <t>821 Main St</t>
  </si>
  <si>
    <t>TRK51297879</t>
  </si>
  <si>
    <t>ORD200253</t>
  </si>
  <si>
    <t>C14891</t>
  </si>
  <si>
    <t>TRK79471534</t>
  </si>
  <si>
    <t>ORD200254</t>
  </si>
  <si>
    <t>C10866</t>
  </si>
  <si>
    <t>TRK34809583</t>
  </si>
  <si>
    <t>ORD200255</t>
  </si>
  <si>
    <t>C47283</t>
  </si>
  <si>
    <t>TRK56235117</t>
  </si>
  <si>
    <t>ORD200256</t>
  </si>
  <si>
    <t>C94323</t>
  </si>
  <si>
    <t>463 Main St</t>
  </si>
  <si>
    <t>TRK22663277</t>
  </si>
  <si>
    <t>ORD200257</t>
  </si>
  <si>
    <t>C89732</t>
  </si>
  <si>
    <t>712 Main St</t>
  </si>
  <si>
    <t>TRK41059233</t>
  </si>
  <si>
    <t>ORD200258</t>
  </si>
  <si>
    <t>C87764</t>
  </si>
  <si>
    <t>294 Main St</t>
  </si>
  <si>
    <t>TRK94082469</t>
  </si>
  <si>
    <t>ORD200259</t>
  </si>
  <si>
    <t>C20977</t>
  </si>
  <si>
    <t>TRK54991561</t>
  </si>
  <si>
    <t>ORD200260</t>
  </si>
  <si>
    <t>C12245</t>
  </si>
  <si>
    <t>153 Main St</t>
  </si>
  <si>
    <t>TRK22000463</t>
  </si>
  <si>
    <t>ORD200261</t>
  </si>
  <si>
    <t>C68976</t>
  </si>
  <si>
    <t>460 Main St</t>
  </si>
  <si>
    <t>TRK25491356</t>
  </si>
  <si>
    <t>ORD200262</t>
  </si>
  <si>
    <t>C69476</t>
  </si>
  <si>
    <t>TRK65869386</t>
  </si>
  <si>
    <t>ORD200263</t>
  </si>
  <si>
    <t>C71040</t>
  </si>
  <si>
    <t>250 Main St</t>
  </si>
  <si>
    <t>TRK41397604</t>
  </si>
  <si>
    <t>ORD200264</t>
  </si>
  <si>
    <t>C71035</t>
  </si>
  <si>
    <t>977 Main St</t>
  </si>
  <si>
    <t>TRK19599578</t>
  </si>
  <si>
    <t>ORD200265</t>
  </si>
  <si>
    <t>C20752</t>
  </si>
  <si>
    <t>150 Main St</t>
  </si>
  <si>
    <t>TRK22298450</t>
  </si>
  <si>
    <t>ORD200266</t>
  </si>
  <si>
    <t>C38840</t>
  </si>
  <si>
    <t>589 Main St</t>
  </si>
  <si>
    <t>TRK48484633</t>
  </si>
  <si>
    <t>ORD200267</t>
  </si>
  <si>
    <t>C84480</t>
  </si>
  <si>
    <t>803 Main St</t>
  </si>
  <si>
    <t>TRK62361867</t>
  </si>
  <si>
    <t>ORD200268</t>
  </si>
  <si>
    <t>C37032</t>
  </si>
  <si>
    <t>655 Main St</t>
  </si>
  <si>
    <t>TRK48639226</t>
  </si>
  <si>
    <t>ORD200269</t>
  </si>
  <si>
    <t>C48942</t>
  </si>
  <si>
    <t>TRK29355120</t>
  </si>
  <si>
    <t>ORD200270</t>
  </si>
  <si>
    <t>C13540</t>
  </si>
  <si>
    <t>127 Main St</t>
  </si>
  <si>
    <t>TRK81087373</t>
  </si>
  <si>
    <t>ORD200271</t>
  </si>
  <si>
    <t>C59572</t>
  </si>
  <si>
    <t>791 Main St</t>
  </si>
  <si>
    <t>TRK16792991</t>
  </si>
  <si>
    <t>ORD200272</t>
  </si>
  <si>
    <t>C29758</t>
  </si>
  <si>
    <t>119 Main St</t>
  </si>
  <si>
    <t>TRK12990043</t>
  </si>
  <si>
    <t>ORD200273</t>
  </si>
  <si>
    <t>C11849</t>
  </si>
  <si>
    <t>974 Main St</t>
  </si>
  <si>
    <t>TRK91195261</t>
  </si>
  <si>
    <t>ORD200274</t>
  </si>
  <si>
    <t>C50967</t>
  </si>
  <si>
    <t>884 Main St</t>
  </si>
  <si>
    <t>TRK65300814</t>
  </si>
  <si>
    <t>ORD200275</t>
  </si>
  <si>
    <t>C80735</t>
  </si>
  <si>
    <t>360 Main St</t>
  </si>
  <si>
    <t>TRK99880231</t>
  </si>
  <si>
    <t>ORD200276</t>
  </si>
  <si>
    <t>C99050</t>
  </si>
  <si>
    <t>654 Main St</t>
  </si>
  <si>
    <t>TRK56927089</t>
  </si>
  <si>
    <t>ORD200277</t>
  </si>
  <si>
    <t>C11210</t>
  </si>
  <si>
    <t>910 Main St</t>
  </si>
  <si>
    <t>TRK44929965</t>
  </si>
  <si>
    <t>ORD200278</t>
  </si>
  <si>
    <t>C46015</t>
  </si>
  <si>
    <t>299 Main St</t>
  </si>
  <si>
    <t>TRK46598430</t>
  </si>
  <si>
    <t>ORD200279</t>
  </si>
  <si>
    <t>C69167</t>
  </si>
  <si>
    <t>263 Main St</t>
  </si>
  <si>
    <t>TRK12425655</t>
  </si>
  <si>
    <t>ORD200280</t>
  </si>
  <si>
    <t>C55388</t>
  </si>
  <si>
    <t>740 Main St</t>
  </si>
  <si>
    <t>TRK75741001</t>
  </si>
  <si>
    <t>ORD200281</t>
  </si>
  <si>
    <t>C87181</t>
  </si>
  <si>
    <t>195 Main St</t>
  </si>
  <si>
    <t>TRK60093390</t>
  </si>
  <si>
    <t>ORD200282</t>
  </si>
  <si>
    <t>C30411</t>
  </si>
  <si>
    <t>375 Main St</t>
  </si>
  <si>
    <t>TRK71810536</t>
  </si>
  <si>
    <t>ORD200283</t>
  </si>
  <si>
    <t>C39638</t>
  </si>
  <si>
    <t>990 Main St</t>
  </si>
  <si>
    <t>TRK69745608</t>
  </si>
  <si>
    <t>ORD200284</t>
  </si>
  <si>
    <t>C27203</t>
  </si>
  <si>
    <t>516 Main St</t>
  </si>
  <si>
    <t>TRK22023906</t>
  </si>
  <si>
    <t>ORD200285</t>
  </si>
  <si>
    <t>C67583</t>
  </si>
  <si>
    <t>TRK93281700</t>
  </si>
  <si>
    <t>ORD200286</t>
  </si>
  <si>
    <t>C70554</t>
  </si>
  <si>
    <t>TRK61086952</t>
  </si>
  <si>
    <t>ORD200287</t>
  </si>
  <si>
    <t>C70437</t>
  </si>
  <si>
    <t>630 Main St</t>
  </si>
  <si>
    <t>TRK26628830</t>
  </si>
  <si>
    <t>ORD200288</t>
  </si>
  <si>
    <t>C97643</t>
  </si>
  <si>
    <t>537 Main St</t>
  </si>
  <si>
    <t>TRK60831391</t>
  </si>
  <si>
    <t>ORD200289</t>
  </si>
  <si>
    <t>C17136</t>
  </si>
  <si>
    <t>TRK55362541</t>
  </si>
  <si>
    <t>ORD200290</t>
  </si>
  <si>
    <t>C24901</t>
  </si>
  <si>
    <t>TRK14029489</t>
  </si>
  <si>
    <t>ORD200291</t>
  </si>
  <si>
    <t>C61521</t>
  </si>
  <si>
    <t>670 Main St</t>
  </si>
  <si>
    <t>TRK93676567</t>
  </si>
  <si>
    <t>ORD200292</t>
  </si>
  <si>
    <t>C39639</t>
  </si>
  <si>
    <t>TRK31042152</t>
  </si>
  <si>
    <t>ORD200293</t>
  </si>
  <si>
    <t>C33220</t>
  </si>
  <si>
    <t>564 Main St</t>
  </si>
  <si>
    <t>TRK40450219</t>
  </si>
  <si>
    <t>ORD200294</t>
  </si>
  <si>
    <t>C65414</t>
  </si>
  <si>
    <t>208 Main St</t>
  </si>
  <si>
    <t>TRK67562517</t>
  </si>
  <si>
    <t>ORD200295</t>
  </si>
  <si>
    <t>C49009</t>
  </si>
  <si>
    <t>278 Main St</t>
  </si>
  <si>
    <t>TRK46285799</t>
  </si>
  <si>
    <t>ORD200296</t>
  </si>
  <si>
    <t>C48453</t>
  </si>
  <si>
    <t>TRK52110494</t>
  </si>
  <si>
    <t>ORD200297</t>
  </si>
  <si>
    <t>C68078</t>
  </si>
  <si>
    <t>252 Main St</t>
  </si>
  <si>
    <t>TRK64862812</t>
  </si>
  <si>
    <t>ORD200298</t>
  </si>
  <si>
    <t>C19402</t>
  </si>
  <si>
    <t>TRK97825212</t>
  </si>
  <si>
    <t>ORD200299</t>
  </si>
  <si>
    <t>C30711</t>
  </si>
  <si>
    <t>856 Main St</t>
  </si>
  <si>
    <t>TRK42696593</t>
  </si>
  <si>
    <t>ORD200300</t>
  </si>
  <si>
    <t>C39000</t>
  </si>
  <si>
    <t>894 Main St</t>
  </si>
  <si>
    <t>TRK33753945</t>
  </si>
  <si>
    <t>ORD200301</t>
  </si>
  <si>
    <t>C31105</t>
  </si>
  <si>
    <t>726 Main St</t>
  </si>
  <si>
    <t>TRK40149095</t>
  </si>
  <si>
    <t>ORD200302</t>
  </si>
  <si>
    <t>C29432</t>
  </si>
  <si>
    <t>121 Main St</t>
  </si>
  <si>
    <t>TRK44142517</t>
  </si>
  <si>
    <t>ORD200303</t>
  </si>
  <si>
    <t>C48531</t>
  </si>
  <si>
    <t>368 Main St</t>
  </si>
  <si>
    <t>TRK95462192</t>
  </si>
  <si>
    <t>ORD200304</t>
  </si>
  <si>
    <t>C86762</t>
  </si>
  <si>
    <t>326 Main St</t>
  </si>
  <si>
    <t>TRK75686292</t>
  </si>
  <si>
    <t>ORD200305</t>
  </si>
  <si>
    <t>C63822</t>
  </si>
  <si>
    <t>235 Main St</t>
  </si>
  <si>
    <t>TRK59353216</t>
  </si>
  <si>
    <t>ORD200306</t>
  </si>
  <si>
    <t>C70495</t>
  </si>
  <si>
    <t>238 Main St</t>
  </si>
  <si>
    <t>TRK65511225</t>
  </si>
  <si>
    <t>ORD200307</t>
  </si>
  <si>
    <t>C92407</t>
  </si>
  <si>
    <t>135 Main St</t>
  </si>
  <si>
    <t>TRK11755610</t>
  </si>
  <si>
    <t>ORD200308</t>
  </si>
  <si>
    <t>C75888</t>
  </si>
  <si>
    <t>TRK98467398</t>
  </si>
  <si>
    <t>ORD200309</t>
  </si>
  <si>
    <t>C63153</t>
  </si>
  <si>
    <t>625 Main St</t>
  </si>
  <si>
    <t>TRK38033305</t>
  </si>
  <si>
    <t>ORD200310</t>
  </si>
  <si>
    <t>C85863</t>
  </si>
  <si>
    <t>968 Main St</t>
  </si>
  <si>
    <t>TRK16094218</t>
  </si>
  <si>
    <t>ORD200311</t>
  </si>
  <si>
    <t>C71698</t>
  </si>
  <si>
    <t>274 Main St</t>
  </si>
  <si>
    <t>TRK34786818</t>
  </si>
  <si>
    <t>ORD200312</t>
  </si>
  <si>
    <t>C35397</t>
  </si>
  <si>
    <t>TRK64742535</t>
  </si>
  <si>
    <t>ORD200313</t>
  </si>
  <si>
    <t>C67687</t>
  </si>
  <si>
    <t>978 Main St</t>
  </si>
  <si>
    <t>TRK22838735</t>
  </si>
  <si>
    <t>ORD200314</t>
  </si>
  <si>
    <t>C29931</t>
  </si>
  <si>
    <t>540 Main St</t>
  </si>
  <si>
    <t>TRK48712417</t>
  </si>
  <si>
    <t>ORD200315</t>
  </si>
  <si>
    <t>C59139</t>
  </si>
  <si>
    <t>301 Main St</t>
  </si>
  <si>
    <t>TRK45507090</t>
  </si>
  <si>
    <t>ORD200316</t>
  </si>
  <si>
    <t>C66078</t>
  </si>
  <si>
    <t>101 Main St</t>
  </si>
  <si>
    <t>TRK86474559</t>
  </si>
  <si>
    <t>ORD200317</t>
  </si>
  <si>
    <t>C88370</t>
  </si>
  <si>
    <t>339 Main St</t>
  </si>
  <si>
    <t>TRK22575151</t>
  </si>
  <si>
    <t>ORD200318</t>
  </si>
  <si>
    <t>C93375</t>
  </si>
  <si>
    <t>TRK95706967</t>
  </si>
  <si>
    <t>ORD200319</t>
  </si>
  <si>
    <t>C53049</t>
  </si>
  <si>
    <t>413 Main St</t>
  </si>
  <si>
    <t>TRK48974907</t>
  </si>
  <si>
    <t>ORD200320</t>
  </si>
  <si>
    <t>C55590</t>
  </si>
  <si>
    <t>772 Main St</t>
  </si>
  <si>
    <t>TRK48792951</t>
  </si>
  <si>
    <t>ORD200321</t>
  </si>
  <si>
    <t>C47086</t>
  </si>
  <si>
    <t>TRK44194358</t>
  </si>
  <si>
    <t>ORD200322</t>
  </si>
  <si>
    <t>C48646</t>
  </si>
  <si>
    <t>TRK18233748</t>
  </si>
  <si>
    <t>ORD200323</t>
  </si>
  <si>
    <t>C29416</t>
  </si>
  <si>
    <t>414 Main St</t>
  </si>
  <si>
    <t>TRK63820842</t>
  </si>
  <si>
    <t>ORD200324</t>
  </si>
  <si>
    <t>C13525</t>
  </si>
  <si>
    <t>847 Main St</t>
  </si>
  <si>
    <t>TRK70193221</t>
  </si>
  <si>
    <t>ORD200325</t>
  </si>
  <si>
    <t>C53545</t>
  </si>
  <si>
    <t>665 Main St</t>
  </si>
  <si>
    <t>TRK61123177</t>
  </si>
  <si>
    <t>ORD200326</t>
  </si>
  <si>
    <t>C65986</t>
  </si>
  <si>
    <t>TRK98353867</t>
  </si>
  <si>
    <t>ORD200327</t>
  </si>
  <si>
    <t>C17302</t>
  </si>
  <si>
    <t>TRK43940016</t>
  </si>
  <si>
    <t>ORD200328</t>
  </si>
  <si>
    <t>C18404</t>
  </si>
  <si>
    <t>546 Main St</t>
  </si>
  <si>
    <t>TRK89401624</t>
  </si>
  <si>
    <t>ORD200329</t>
  </si>
  <si>
    <t>C88371</t>
  </si>
  <si>
    <t>TRK63224811</t>
  </si>
  <si>
    <t>ORD200330</t>
  </si>
  <si>
    <t>C38068</t>
  </si>
  <si>
    <t>532 Main St</t>
  </si>
  <si>
    <t>TRK54059198</t>
  </si>
  <si>
    <t>ORD200331</t>
  </si>
  <si>
    <t>C78724</t>
  </si>
  <si>
    <t>TRK25703134</t>
  </si>
  <si>
    <t>ORD200332</t>
  </si>
  <si>
    <t>C26163</t>
  </si>
  <si>
    <t>607 Main St</t>
  </si>
  <si>
    <t>TRK67499316</t>
  </si>
  <si>
    <t>ORD200333</t>
  </si>
  <si>
    <t>C87124</t>
  </si>
  <si>
    <t>818 Main St</t>
  </si>
  <si>
    <t>TRK52086740</t>
  </si>
  <si>
    <t>ORD200334</t>
  </si>
  <si>
    <t>C90348</t>
  </si>
  <si>
    <t>728 Main St</t>
  </si>
  <si>
    <t>TRK20635777</t>
  </si>
  <si>
    <t>ORD200335</t>
  </si>
  <si>
    <t>C58721</t>
  </si>
  <si>
    <t>TRK34801199</t>
  </si>
  <si>
    <t>ORD200336</t>
  </si>
  <si>
    <t>C88174</t>
  </si>
  <si>
    <t>441 Main St</t>
  </si>
  <si>
    <t>TRK10143345</t>
  </si>
  <si>
    <t>ORD200337</t>
  </si>
  <si>
    <t>C77763</t>
  </si>
  <si>
    <t>599 Main St</t>
  </si>
  <si>
    <t>TRK66980447</t>
  </si>
  <si>
    <t>ORD200338</t>
  </si>
  <si>
    <t>C53627</t>
  </si>
  <si>
    <t>704 Main St</t>
  </si>
  <si>
    <t>TRK64112352</t>
  </si>
  <si>
    <t>ORD200339</t>
  </si>
  <si>
    <t>C84563</t>
  </si>
  <si>
    <t>398 Main St</t>
  </si>
  <si>
    <t>TRK62422797</t>
  </si>
  <si>
    <t>ORD200340</t>
  </si>
  <si>
    <t>C76207</t>
  </si>
  <si>
    <t>826 Main St</t>
  </si>
  <si>
    <t>TRK25569378</t>
  </si>
  <si>
    <t>ORD200341</t>
  </si>
  <si>
    <t>C94671</t>
  </si>
  <si>
    <t>293 Main St</t>
  </si>
  <si>
    <t>TRK61357272</t>
  </si>
  <si>
    <t>ORD200342</t>
  </si>
  <si>
    <t>C69994</t>
  </si>
  <si>
    <t>619 Main St</t>
  </si>
  <si>
    <t>TRK95935805</t>
  </si>
  <si>
    <t>ORD200343</t>
  </si>
  <si>
    <t>C64638</t>
  </si>
  <si>
    <t>919 Main St</t>
  </si>
  <si>
    <t>TRK64087938</t>
  </si>
  <si>
    <t>ORD200344</t>
  </si>
  <si>
    <t>C95623</t>
  </si>
  <si>
    <t>248 Main St</t>
  </si>
  <si>
    <t>TRK67558189</t>
  </si>
  <si>
    <t>ORD200345</t>
  </si>
  <si>
    <t>C24751</t>
  </si>
  <si>
    <t>259 Main St</t>
  </si>
  <si>
    <t>TRK37285406</t>
  </si>
  <si>
    <t>ORD200346</t>
  </si>
  <si>
    <t>C31764</t>
  </si>
  <si>
    <t>876 Main St</t>
  </si>
  <si>
    <t>TRK44680433</t>
  </si>
  <si>
    <t>ORD200347</t>
  </si>
  <si>
    <t>C83556</t>
  </si>
  <si>
    <t>380 Main St</t>
  </si>
  <si>
    <t>TRK21109187</t>
  </si>
  <si>
    <t>ORD200348</t>
  </si>
  <si>
    <t>C24369</t>
  </si>
  <si>
    <t>885 Main St</t>
  </si>
  <si>
    <t>TRK72633998</t>
  </si>
  <si>
    <t>ORD200349</t>
  </si>
  <si>
    <t>C39648</t>
  </si>
  <si>
    <t>824 Main St</t>
  </si>
  <si>
    <t>TRK56016905</t>
  </si>
  <si>
    <t>ORD200350</t>
  </si>
  <si>
    <t>C13296</t>
  </si>
  <si>
    <t>495 Main St</t>
  </si>
  <si>
    <t>TRK60127216</t>
  </si>
  <si>
    <t>ORD200351</t>
  </si>
  <si>
    <t>C94248</t>
  </si>
  <si>
    <t>494 Main St</t>
  </si>
  <si>
    <t>TRK89406816</t>
  </si>
  <si>
    <t>ORD200352</t>
  </si>
  <si>
    <t>C26637</t>
  </si>
  <si>
    <t>995 Main St</t>
  </si>
  <si>
    <t>TRK59546992</t>
  </si>
  <si>
    <t>ORD200353</t>
  </si>
  <si>
    <t>C16012</t>
  </si>
  <si>
    <t>171 Main St</t>
  </si>
  <si>
    <t>TRK15195225</t>
  </si>
  <si>
    <t>ORD200354</t>
  </si>
  <si>
    <t>C31772</t>
  </si>
  <si>
    <t>992 Main St</t>
  </si>
  <si>
    <t>TRK11970357</t>
  </si>
  <si>
    <t>ORD200355</t>
  </si>
  <si>
    <t>C18353</t>
  </si>
  <si>
    <t>677 Main St</t>
  </si>
  <si>
    <t>TRK78766533</t>
  </si>
  <si>
    <t>ORD200356</t>
  </si>
  <si>
    <t>C26966</t>
  </si>
  <si>
    <t>907 Main St</t>
  </si>
  <si>
    <t>TRK83889574</t>
  </si>
  <si>
    <t>ORD200357</t>
  </si>
  <si>
    <t>C74982</t>
  </si>
  <si>
    <t>TRK98700702</t>
  </si>
  <si>
    <t>ORD200358</t>
  </si>
  <si>
    <t>C70633</t>
  </si>
  <si>
    <t>747 Main St</t>
  </si>
  <si>
    <t>TRK82540521</t>
  </si>
  <si>
    <t>ORD200359</t>
  </si>
  <si>
    <t>C95643</t>
  </si>
  <si>
    <t>303 Main St</t>
  </si>
  <si>
    <t>TRK23286689</t>
  </si>
  <si>
    <t>ORD200360</t>
  </si>
  <si>
    <t>C53810</t>
  </si>
  <si>
    <t>779 Main St</t>
  </si>
  <si>
    <t>TRK34630612</t>
  </si>
  <si>
    <t>ORD200361</t>
  </si>
  <si>
    <t>C53464</t>
  </si>
  <si>
    <t>197 Main St</t>
  </si>
  <si>
    <t>TRK32743531</t>
  </si>
  <si>
    <t>ORD200362</t>
  </si>
  <si>
    <t>C53697</t>
  </si>
  <si>
    <t>312 Main St</t>
  </si>
  <si>
    <t>TRK60476656</t>
  </si>
  <si>
    <t>ORD200363</t>
  </si>
  <si>
    <t>C31668</t>
  </si>
  <si>
    <t>TRK42584392</t>
  </si>
  <si>
    <t>ORD200364</t>
  </si>
  <si>
    <t>C85282</t>
  </si>
  <si>
    <t>TRK86767206</t>
  </si>
  <si>
    <t>ORD200365</t>
  </si>
  <si>
    <t>C56796</t>
  </si>
  <si>
    <t>TRK74263180</t>
  </si>
  <si>
    <t>ORD200366</t>
  </si>
  <si>
    <t>C95213</t>
  </si>
  <si>
    <t>603 Main St</t>
  </si>
  <si>
    <t>TRK40630538</t>
  </si>
  <si>
    <t>ORD200367</t>
  </si>
  <si>
    <t>C13108</t>
  </si>
  <si>
    <t>TRK82284400</t>
  </si>
  <si>
    <t>ORD200368</t>
  </si>
  <si>
    <t>C85322</t>
  </si>
  <si>
    <t>403 Main St</t>
  </si>
  <si>
    <t>TRK89728869</t>
  </si>
  <si>
    <t>ORD200369</t>
  </si>
  <si>
    <t>C43545</t>
  </si>
  <si>
    <t>216 Main St</t>
  </si>
  <si>
    <t>TRK73937402</t>
  </si>
  <si>
    <t>ORD200370</t>
  </si>
  <si>
    <t>C80649</t>
  </si>
  <si>
    <t>870 Main St</t>
  </si>
  <si>
    <t>TRK41143313</t>
  </si>
  <si>
    <t>ORD200371</t>
  </si>
  <si>
    <t>C59752</t>
  </si>
  <si>
    <t>TRK82229639</t>
  </si>
  <si>
    <t>ORD200372</t>
  </si>
  <si>
    <t>C53645</t>
  </si>
  <si>
    <t>166 Main St</t>
  </si>
  <si>
    <t>TRK12123939</t>
  </si>
  <si>
    <t>ORD200373</t>
  </si>
  <si>
    <t>C60178</t>
  </si>
  <si>
    <t>969 Main St</t>
  </si>
  <si>
    <t>TRK84505143</t>
  </si>
  <si>
    <t>ORD200374</t>
  </si>
  <si>
    <t>C20286</t>
  </si>
  <si>
    <t>TRK67648338</t>
  </si>
  <si>
    <t>ORD200375</t>
  </si>
  <si>
    <t>C87547</t>
  </si>
  <si>
    <t>400 Main St</t>
  </si>
  <si>
    <t>TRK71027262</t>
  </si>
  <si>
    <t>ORD200376</t>
  </si>
  <si>
    <t>C64549</t>
  </si>
  <si>
    <t>341 Main St</t>
  </si>
  <si>
    <t>TRK20788231</t>
  </si>
  <si>
    <t>ORD200377</t>
  </si>
  <si>
    <t>C24884</t>
  </si>
  <si>
    <t>TRK44538419</t>
  </si>
  <si>
    <t>ORD200378</t>
  </si>
  <si>
    <t>C62666</t>
  </si>
  <si>
    <t>148 Main St</t>
  </si>
  <si>
    <t>TRK91029390</t>
  </si>
  <si>
    <t>ORD200379</t>
  </si>
  <si>
    <t>C47284</t>
  </si>
  <si>
    <t>TRK85756094</t>
  </si>
  <si>
    <t>ORD200380</t>
  </si>
  <si>
    <t>C35355</t>
  </si>
  <si>
    <t>TRK52935059</t>
  </si>
  <si>
    <t>ORD200381</t>
  </si>
  <si>
    <t>C29467</t>
  </si>
  <si>
    <t>TRK98103385</t>
  </si>
  <si>
    <t>ORD200382</t>
  </si>
  <si>
    <t>C26718</t>
  </si>
  <si>
    <t>272 Main St</t>
  </si>
  <si>
    <t>TRK91702525</t>
  </si>
  <si>
    <t>ORD200383</t>
  </si>
  <si>
    <t>C18944</t>
  </si>
  <si>
    <t>TRK45275439</t>
  </si>
  <si>
    <t>ORD200384</t>
  </si>
  <si>
    <t>C35628</t>
  </si>
  <si>
    <t>147 Main St</t>
  </si>
  <si>
    <t>TRK45688220</t>
  </si>
  <si>
    <t>ORD200385</t>
  </si>
  <si>
    <t>C56851</t>
  </si>
  <si>
    <t>TRK65290904</t>
  </si>
  <si>
    <t>ORD200386</t>
  </si>
  <si>
    <t>C12421</t>
  </si>
  <si>
    <t>373 Main St</t>
  </si>
  <si>
    <t>TRK32588504</t>
  </si>
  <si>
    <t>ORD200387</t>
  </si>
  <si>
    <t>C25316</t>
  </si>
  <si>
    <t>TRK55423551</t>
  </si>
  <si>
    <t>ORD200388</t>
  </si>
  <si>
    <t>C22657</t>
  </si>
  <si>
    <t>TRK49157047</t>
  </si>
  <si>
    <t>ORD200389</t>
  </si>
  <si>
    <t>C29703</t>
  </si>
  <si>
    <t>558 Main St</t>
  </si>
  <si>
    <t>TRK40543461</t>
  </si>
  <si>
    <t>ORD200390</t>
  </si>
  <si>
    <t>C55996</t>
  </si>
  <si>
    <t>TRK30547638</t>
  </si>
  <si>
    <t>ORD200391</t>
  </si>
  <si>
    <t>C60037</t>
  </si>
  <si>
    <t>TRK82009557</t>
  </si>
  <si>
    <t>ORD200392</t>
  </si>
  <si>
    <t>C95100</t>
  </si>
  <si>
    <t>TRK47366265</t>
  </si>
  <si>
    <t>ORD200393</t>
  </si>
  <si>
    <t>C39906</t>
  </si>
  <si>
    <t>921 Main St</t>
  </si>
  <si>
    <t>TRK24632134</t>
  </si>
  <si>
    <t>ORD200394</t>
  </si>
  <si>
    <t>C70148</t>
  </si>
  <si>
    <t>359 Main St</t>
  </si>
  <si>
    <t>TRK34848650</t>
  </si>
  <si>
    <t>ORD200395</t>
  </si>
  <si>
    <t>C30010</t>
  </si>
  <si>
    <t>TRK35386084</t>
  </si>
  <si>
    <t>ORD200396</t>
  </si>
  <si>
    <t>C99217</t>
  </si>
  <si>
    <t>778 Main St</t>
  </si>
  <si>
    <t>TRK82004594</t>
  </si>
  <si>
    <t>ORD200397</t>
  </si>
  <si>
    <t>C30184</t>
  </si>
  <si>
    <t>987 Main St</t>
  </si>
  <si>
    <t>TRK86674704</t>
  </si>
  <si>
    <t>ORD200398</t>
  </si>
  <si>
    <t>C50275</t>
  </si>
  <si>
    <t>TRK98925264</t>
  </si>
  <si>
    <t>ORD200399</t>
  </si>
  <si>
    <t>C64641</t>
  </si>
  <si>
    <t>319 Main St</t>
  </si>
  <si>
    <t>TRK32012588</t>
  </si>
  <si>
    <t>ORD200400</t>
  </si>
  <si>
    <t>C56266</t>
  </si>
  <si>
    <t>304 Main St</t>
  </si>
  <si>
    <t>TRK60088901</t>
  </si>
  <si>
    <t>ORD200401</t>
  </si>
  <si>
    <t>C98635</t>
  </si>
  <si>
    <t>TRK14225465</t>
  </si>
  <si>
    <t>ORD200402</t>
  </si>
  <si>
    <t>C83026</t>
  </si>
  <si>
    <t>858 Main St</t>
  </si>
  <si>
    <t>TRK79746259</t>
  </si>
  <si>
    <t>ORD200403</t>
  </si>
  <si>
    <t>C28893</t>
  </si>
  <si>
    <t>TRK98333066</t>
  </si>
  <si>
    <t>ORD200404</t>
  </si>
  <si>
    <t>C45482</t>
  </si>
  <si>
    <t>TRK54571699</t>
  </si>
  <si>
    <t>ORD200405</t>
  </si>
  <si>
    <t>C97774</t>
  </si>
  <si>
    <t>TRK64664424</t>
  </si>
  <si>
    <t>ORD200406</t>
  </si>
  <si>
    <t>C11657</t>
  </si>
  <si>
    <t>TRK50284486</t>
  </si>
  <si>
    <t>ORD200407</t>
  </si>
  <si>
    <t>C85993</t>
  </si>
  <si>
    <t>TRK72547640</t>
  </si>
  <si>
    <t>ORD200408</t>
  </si>
  <si>
    <t>C11906</t>
  </si>
  <si>
    <t>536 Main St</t>
  </si>
  <si>
    <t>TRK31140158</t>
  </si>
  <si>
    <t>ORD200409</t>
  </si>
  <si>
    <t>C45187</t>
  </si>
  <si>
    <t>767 Main St</t>
  </si>
  <si>
    <t>TRK12320793</t>
  </si>
  <si>
    <t>ORD200410</t>
  </si>
  <si>
    <t>C37375</t>
  </si>
  <si>
    <t>184 Main St</t>
  </si>
  <si>
    <t>TRK52470162</t>
  </si>
  <si>
    <t>ORD200411</t>
  </si>
  <si>
    <t>C66567</t>
  </si>
  <si>
    <t>TRK21174822</t>
  </si>
  <si>
    <t>ORD200412</t>
  </si>
  <si>
    <t>C42451</t>
  </si>
  <si>
    <t>246 Main St</t>
  </si>
  <si>
    <t>TRK31313343</t>
  </si>
  <si>
    <t>ORD200413</t>
  </si>
  <si>
    <t>C13923</t>
  </si>
  <si>
    <t>123 Main St</t>
  </si>
  <si>
    <t>TRK87598790</t>
  </si>
  <si>
    <t>ORD200414</t>
  </si>
  <si>
    <t>C11829</t>
  </si>
  <si>
    <t>797 Main St</t>
  </si>
  <si>
    <t>TRK84229257</t>
  </si>
  <si>
    <t>ORD200415</t>
  </si>
  <si>
    <t>C62169</t>
  </si>
  <si>
    <t>TRK64558985</t>
  </si>
  <si>
    <t>ORD200416</t>
  </si>
  <si>
    <t>C20881</t>
  </si>
  <si>
    <t>652 Main St</t>
  </si>
  <si>
    <t>TRK26263902</t>
  </si>
  <si>
    <t>ORD200417</t>
  </si>
  <si>
    <t>C44492</t>
  </si>
  <si>
    <t>954 Main St</t>
  </si>
  <si>
    <t>TRK51429869</t>
  </si>
  <si>
    <t>ORD200418</t>
  </si>
  <si>
    <t>C74169</t>
  </si>
  <si>
    <t>862 Main St</t>
  </si>
  <si>
    <t>TRK66144809</t>
  </si>
  <si>
    <t>ORD200419</t>
  </si>
  <si>
    <t>C70999</t>
  </si>
  <si>
    <t>TRK75644156</t>
  </si>
  <si>
    <t>ORD200420</t>
  </si>
  <si>
    <t>C11921</t>
  </si>
  <si>
    <t>439 Main St</t>
  </si>
  <si>
    <t>TRK91362635</t>
  </si>
  <si>
    <t>ORD200421</t>
  </si>
  <si>
    <t>C50683</t>
  </si>
  <si>
    <t>769 Main St</t>
  </si>
  <si>
    <t>TRK53032122</t>
  </si>
  <si>
    <t>ORD200422</t>
  </si>
  <si>
    <t>C76140</t>
  </si>
  <si>
    <t>TRK25861469</t>
  </si>
  <si>
    <t>ORD200423</t>
  </si>
  <si>
    <t>C94311</t>
  </si>
  <si>
    <t>TRK97308771</t>
  </si>
  <si>
    <t>ORD200424</t>
  </si>
  <si>
    <t>C49491</t>
  </si>
  <si>
    <t>TRK64012257</t>
  </si>
  <si>
    <t>ORD200425</t>
  </si>
  <si>
    <t>C40648</t>
  </si>
  <si>
    <t>488 Main St</t>
  </si>
  <si>
    <t>TRK25325993</t>
  </si>
  <si>
    <t>ORD200426</t>
  </si>
  <si>
    <t>C40967</t>
  </si>
  <si>
    <t>315 Main St</t>
  </si>
  <si>
    <t>TRK24839296</t>
  </si>
  <si>
    <t>ORD200427</t>
  </si>
  <si>
    <t>C25406</t>
  </si>
  <si>
    <t>379 Main St</t>
  </si>
  <si>
    <t>TRK70952564</t>
  </si>
  <si>
    <t>ORD200428</t>
  </si>
  <si>
    <t>C77085</t>
  </si>
  <si>
    <t>TRK57227640</t>
  </si>
  <si>
    <t>ORD200429</t>
  </si>
  <si>
    <t>C38126</t>
  </si>
  <si>
    <t>TRK90838498</t>
  </si>
  <si>
    <t>ORD200430</t>
  </si>
  <si>
    <t>C87448</t>
  </si>
  <si>
    <t>433 Main St</t>
  </si>
  <si>
    <t>TRK44134016</t>
  </si>
  <si>
    <t>ORD200431</t>
  </si>
  <si>
    <t>C62312</t>
  </si>
  <si>
    <t>TRK59623037</t>
  </si>
  <si>
    <t>ORD200432</t>
  </si>
  <si>
    <t>C58443</t>
  </si>
  <si>
    <t>662 Main St</t>
  </si>
  <si>
    <t>TRK77163738</t>
  </si>
  <si>
    <t>ORD200433</t>
  </si>
  <si>
    <t>C36613</t>
  </si>
  <si>
    <t>TRK13282106</t>
  </si>
  <si>
    <t>ORD200434</t>
  </si>
  <si>
    <t>C73893</t>
  </si>
  <si>
    <t>TRK85939879</t>
  </si>
  <si>
    <t>ORD200435</t>
  </si>
  <si>
    <t>C48601</t>
  </si>
  <si>
    <t>TRK97868309</t>
  </si>
  <si>
    <t>ORD200436</t>
  </si>
  <si>
    <t>C14568</t>
  </si>
  <si>
    <t>TRK73545796</t>
  </si>
  <si>
    <t>ORD200437</t>
  </si>
  <si>
    <t>C63378</t>
  </si>
  <si>
    <t>955 Main St</t>
  </si>
  <si>
    <t>TRK20863705</t>
  </si>
  <si>
    <t>ORD200438</t>
  </si>
  <si>
    <t>C77800</t>
  </si>
  <si>
    <t>436 Main St</t>
  </si>
  <si>
    <t>TRK27439574</t>
  </si>
  <si>
    <t>ORD200439</t>
  </si>
  <si>
    <t>C91155</t>
  </si>
  <si>
    <t>321 Main St</t>
  </si>
  <si>
    <t>TRK36260319</t>
  </si>
  <si>
    <t>ORD200440</t>
  </si>
  <si>
    <t>C60215</t>
  </si>
  <si>
    <t>TRK31727767</t>
  </si>
  <si>
    <t>ORD200441</t>
  </si>
  <si>
    <t>C52915</t>
  </si>
  <si>
    <t>475 Main St</t>
  </si>
  <si>
    <t>TRK79466982</t>
  </si>
  <si>
    <t>ORD200442</t>
  </si>
  <si>
    <t>C72588</t>
  </si>
  <si>
    <t>661 Main St</t>
  </si>
  <si>
    <t>TRK43410829</t>
  </si>
  <si>
    <t>ORD200443</t>
  </si>
  <si>
    <t>C61668</t>
  </si>
  <si>
    <t>TRK58970302</t>
  </si>
  <si>
    <t>ORD200444</t>
  </si>
  <si>
    <t>C79508</t>
  </si>
  <si>
    <t>585 Main St</t>
  </si>
  <si>
    <t>TRK61882353</t>
  </si>
  <si>
    <t>ORD200445</t>
  </si>
  <si>
    <t>C94569</t>
  </si>
  <si>
    <t>227 Main St</t>
  </si>
  <si>
    <t>TRK31351770</t>
  </si>
  <si>
    <t>ORD200446</t>
  </si>
  <si>
    <t>C89592</t>
  </si>
  <si>
    <t>262 Main St</t>
  </si>
  <si>
    <t>TRK49442402</t>
  </si>
  <si>
    <t>ORD200447</t>
  </si>
  <si>
    <t>C48207</t>
  </si>
  <si>
    <t>356 Main St</t>
  </si>
  <si>
    <t>TRK45355655</t>
  </si>
  <si>
    <t>ORD200448</t>
  </si>
  <si>
    <t>C16776</t>
  </si>
  <si>
    <t>854 Main St</t>
  </si>
  <si>
    <t>TRK12860600</t>
  </si>
  <si>
    <t>ORD200449</t>
  </si>
  <si>
    <t>C91518</t>
  </si>
  <si>
    <t>286 Main St</t>
  </si>
  <si>
    <t>TRK48688724</t>
  </si>
  <si>
    <t>ORD200450</t>
  </si>
  <si>
    <t>C36408</t>
  </si>
  <si>
    <t>160 Main St</t>
  </si>
  <si>
    <t>TRK94023253</t>
  </si>
  <si>
    <t>ORD200451</t>
  </si>
  <si>
    <t>C14837</t>
  </si>
  <si>
    <t>TRK17501136</t>
  </si>
  <si>
    <t>ORD200452</t>
  </si>
  <si>
    <t>C36467</t>
  </si>
  <si>
    <t>581 Main St</t>
  </si>
  <si>
    <t>TRK20863987</t>
  </si>
  <si>
    <t>ORD200453</t>
  </si>
  <si>
    <t>C15017</t>
  </si>
  <si>
    <t>492 Main St</t>
  </si>
  <si>
    <t>TRK51241924</t>
  </si>
  <si>
    <t>ORD200454</t>
  </si>
  <si>
    <t>C54759</t>
  </si>
  <si>
    <t>686 Main St</t>
  </si>
  <si>
    <t>TRK75583042</t>
  </si>
  <si>
    <t>ORD200455</t>
  </si>
  <si>
    <t>C58341</t>
  </si>
  <si>
    <t>874 Main St</t>
  </si>
  <si>
    <t>TRK32856728</t>
  </si>
  <si>
    <t>ORD200456</t>
  </si>
  <si>
    <t>C94479</t>
  </si>
  <si>
    <t>TRK69089975</t>
  </si>
  <si>
    <t>ORD200457</t>
  </si>
  <si>
    <t>C50236</t>
  </si>
  <si>
    <t>545 Main St</t>
  </si>
  <si>
    <t>TRK67692578</t>
  </si>
  <si>
    <t>ORD200458</t>
  </si>
  <si>
    <t>C31412</t>
  </si>
  <si>
    <t>TRK61946127</t>
  </si>
  <si>
    <t>ORD200459</t>
  </si>
  <si>
    <t>C90142</t>
  </si>
  <si>
    <t>TRK39717191</t>
  </si>
  <si>
    <t>ORD200460</t>
  </si>
  <si>
    <t>C83548</t>
  </si>
  <si>
    <t>474 Main St</t>
  </si>
  <si>
    <t>TRK93822942</t>
  </si>
  <si>
    <t>ORD200461</t>
  </si>
  <si>
    <t>C29697</t>
  </si>
  <si>
    <t>TRK47776482</t>
  </si>
  <si>
    <t>ORD200462</t>
  </si>
  <si>
    <t>C22991</t>
  </si>
  <si>
    <t>731 Main St</t>
  </si>
  <si>
    <t>TRK32796086</t>
  </si>
  <si>
    <t>ORD200463</t>
  </si>
  <si>
    <t>C25276</t>
  </si>
  <si>
    <t>214 Main St</t>
  </si>
  <si>
    <t>TRK14011732</t>
  </si>
  <si>
    <t>ORD200464</t>
  </si>
  <si>
    <t>C39176</t>
  </si>
  <si>
    <t>739 Main St</t>
  </si>
  <si>
    <t>TRK71418686</t>
  </si>
  <si>
    <t>ORD200465</t>
  </si>
  <si>
    <t>C58773</t>
  </si>
  <si>
    <t>391 Main St</t>
  </si>
  <si>
    <t>TRK65438300</t>
  </si>
  <si>
    <t>ORD200466</t>
  </si>
  <si>
    <t>C37412</t>
  </si>
  <si>
    <t>TRK97829604</t>
  </si>
  <si>
    <t>ORD200467</t>
  </si>
  <si>
    <t>C36492</t>
  </si>
  <si>
    <t>TRK44350440</t>
  </si>
  <si>
    <t>ORD200468</t>
  </si>
  <si>
    <t>C90110</t>
  </si>
  <si>
    <t>998 Main St</t>
  </si>
  <si>
    <t>TRK60203957</t>
  </si>
  <si>
    <t>ORD200469</t>
  </si>
  <si>
    <t>C13877</t>
  </si>
  <si>
    <t>TRK17254691</t>
  </si>
  <si>
    <t>ORD200470</t>
  </si>
  <si>
    <t>C25149</t>
  </si>
  <si>
    <t>672 Main St</t>
  </si>
  <si>
    <t>TRK33538608</t>
  </si>
  <si>
    <t>ORD200471</t>
  </si>
  <si>
    <t>C52717</t>
  </si>
  <si>
    <t>395 Main St</t>
  </si>
  <si>
    <t>TRK27625571</t>
  </si>
  <si>
    <t>ORD200472</t>
  </si>
  <si>
    <t>C60029</t>
  </si>
  <si>
    <t>796 Main St</t>
  </si>
  <si>
    <t>TRK86461316</t>
  </si>
  <si>
    <t>ORD200473</t>
  </si>
  <si>
    <t>C28552</t>
  </si>
  <si>
    <t>449 Main St</t>
  </si>
  <si>
    <t>TRK71597160</t>
  </si>
  <si>
    <t>ORD200474</t>
  </si>
  <si>
    <t>C72293</t>
  </si>
  <si>
    <t>TRK84378003</t>
  </si>
  <si>
    <t>ORD200475</t>
  </si>
  <si>
    <t>C29844</t>
  </si>
  <si>
    <t>363 Main St</t>
  </si>
  <si>
    <t>TRK91642337</t>
  </si>
  <si>
    <t>ORD200476</t>
  </si>
  <si>
    <t>C77872</t>
  </si>
  <si>
    <t>867 Main St</t>
  </si>
  <si>
    <t>TRK19292184</t>
  </si>
  <si>
    <t>ORD200477</t>
  </si>
  <si>
    <t>C56564</t>
  </si>
  <si>
    <t>481 Main St</t>
  </si>
  <si>
    <t>TRK13166044</t>
  </si>
  <si>
    <t>ORD200478</t>
  </si>
  <si>
    <t>C16758</t>
  </si>
  <si>
    <t>TRK88544431</t>
  </si>
  <si>
    <t>ORD200479</t>
  </si>
  <si>
    <t>C87011</t>
  </si>
  <si>
    <t>943 Main St</t>
  </si>
  <si>
    <t>TRK21429162</t>
  </si>
  <si>
    <t>ORD200480</t>
  </si>
  <si>
    <t>C21147</t>
  </si>
  <si>
    <t>TRK93171043</t>
  </si>
  <si>
    <t>ORD200481</t>
  </si>
  <si>
    <t>C94568</t>
  </si>
  <si>
    <t>TRK58653915</t>
  </si>
  <si>
    <t>ORD200482</t>
  </si>
  <si>
    <t>C35852</t>
  </si>
  <si>
    <t>TRK22302049</t>
  </si>
  <si>
    <t>ORD200483</t>
  </si>
  <si>
    <t>C66462</t>
  </si>
  <si>
    <t>982 Main St</t>
  </si>
  <si>
    <t>TRK52743700</t>
  </si>
  <si>
    <t>ORD200484</t>
  </si>
  <si>
    <t>C29092</t>
  </si>
  <si>
    <t>TRK90455340</t>
  </si>
  <si>
    <t>ORD200485</t>
  </si>
  <si>
    <t>C46651</t>
  </si>
  <si>
    <t>764 Main St</t>
  </si>
  <si>
    <t>TRK67679195</t>
  </si>
  <si>
    <t>ORD200486</t>
  </si>
  <si>
    <t>C88981</t>
  </si>
  <si>
    <t>TRK75267873</t>
  </si>
  <si>
    <t>ORD200487</t>
  </si>
  <si>
    <t>C40136</t>
  </si>
  <si>
    <t>211 Main St</t>
  </si>
  <si>
    <t>TRK92924852</t>
  </si>
  <si>
    <t>ORD200488</t>
  </si>
  <si>
    <t>C81573</t>
  </si>
  <si>
    <t>556 Main St</t>
  </si>
  <si>
    <t>TRK96522994</t>
  </si>
  <si>
    <t>ORD200489</t>
  </si>
  <si>
    <t>C11940</t>
  </si>
  <si>
    <t>TRK85466461</t>
  </si>
  <si>
    <t>ORD200490</t>
  </si>
  <si>
    <t>C50097</t>
  </si>
  <si>
    <t>539 Main St</t>
  </si>
  <si>
    <t>TRK62785150</t>
  </si>
  <si>
    <t>ORD200491</t>
  </si>
  <si>
    <t>C98168</t>
  </si>
  <si>
    <t>TRK56423359</t>
  </si>
  <si>
    <t>ORD200492</t>
  </si>
  <si>
    <t>C39074</t>
  </si>
  <si>
    <t>TRK13027036</t>
  </si>
  <si>
    <t>ORD200493</t>
  </si>
  <si>
    <t>C84908</t>
  </si>
  <si>
    <t>372 Main St</t>
  </si>
  <si>
    <t>TRK64135970</t>
  </si>
  <si>
    <t>ORD200494</t>
  </si>
  <si>
    <t>C64516</t>
  </si>
  <si>
    <t>459 Main St</t>
  </si>
  <si>
    <t>TRK63920573</t>
  </si>
  <si>
    <t>ORD200495</t>
  </si>
  <si>
    <t>C63827</t>
  </si>
  <si>
    <t>TRK35730581</t>
  </si>
  <si>
    <t>ORD200496</t>
  </si>
  <si>
    <t>C93618</t>
  </si>
  <si>
    <t>249 Main St</t>
  </si>
  <si>
    <t>TRK66129326</t>
  </si>
  <si>
    <t>ORD200497</t>
  </si>
  <si>
    <t>C93948</t>
  </si>
  <si>
    <t>454 Main St</t>
  </si>
  <si>
    <t>TRK77358113</t>
  </si>
  <si>
    <t>ORD200498</t>
  </si>
  <si>
    <t>C73961</t>
  </si>
  <si>
    <t>TRK32607173</t>
  </si>
  <si>
    <t>ORD200499</t>
  </si>
  <si>
    <t>C18138</t>
  </si>
  <si>
    <t>520 Main St</t>
  </si>
  <si>
    <t>TRK20289483</t>
  </si>
  <si>
    <t>ORD200500</t>
  </si>
  <si>
    <t>C79475</t>
  </si>
  <si>
    <t>169 Main St</t>
  </si>
  <si>
    <t>TRK42168516</t>
  </si>
  <si>
    <t>ORD200501</t>
  </si>
  <si>
    <t>C88546</t>
  </si>
  <si>
    <t>TRK19867754</t>
  </si>
  <si>
    <t>ORD200502</t>
  </si>
  <si>
    <t>C69332</t>
  </si>
  <si>
    <t>745 Main St</t>
  </si>
  <si>
    <t>TRK65718848</t>
  </si>
  <si>
    <t>ORD200503</t>
  </si>
  <si>
    <t>C64554</t>
  </si>
  <si>
    <t>498 Main St</t>
  </si>
  <si>
    <t>TRK95384568</t>
  </si>
  <si>
    <t>ORD200504</t>
  </si>
  <si>
    <t>C11676</t>
  </si>
  <si>
    <t>805 Main St</t>
  </si>
  <si>
    <t>TRK35726395</t>
  </si>
  <si>
    <t>ORD200505</t>
  </si>
  <si>
    <t>C36014</t>
  </si>
  <si>
    <t>TRK97246526</t>
  </si>
  <si>
    <t>ORD200506</t>
  </si>
  <si>
    <t>C23279</t>
  </si>
  <si>
    <t>696 Main St</t>
  </si>
  <si>
    <t>TRK58039693</t>
  </si>
  <si>
    <t>ORD200507</t>
  </si>
  <si>
    <t>C86481</t>
  </si>
  <si>
    <t>TRK87513944</t>
  </si>
  <si>
    <t>ORD200508</t>
  </si>
  <si>
    <t>C39550</t>
  </si>
  <si>
    <t>976 Main St</t>
  </si>
  <si>
    <t>TRK24120267</t>
  </si>
  <si>
    <t>ORD200509</t>
  </si>
  <si>
    <t>C68937</t>
  </si>
  <si>
    <t>560 Main St</t>
  </si>
  <si>
    <t>TRK31908657</t>
  </si>
  <si>
    <t>ORD200510</t>
  </si>
  <si>
    <t>C72533</t>
  </si>
  <si>
    <t>389 Main St</t>
  </si>
  <si>
    <t>TRK51288986</t>
  </si>
  <si>
    <t>ORD200511</t>
  </si>
  <si>
    <t>C11415</t>
  </si>
  <si>
    <t>TRK65061457</t>
  </si>
  <si>
    <t>ORD200512</t>
  </si>
  <si>
    <t>C14114</t>
  </si>
  <si>
    <t>TRK63290700</t>
  </si>
  <si>
    <t>ORD200513</t>
  </si>
  <si>
    <t>C64128</t>
  </si>
  <si>
    <t>TRK37053575</t>
  </si>
  <si>
    <t>ORD200514</t>
  </si>
  <si>
    <t>C15629</t>
  </si>
  <si>
    <t>TRK64926044</t>
  </si>
  <si>
    <t>ORD200515</t>
  </si>
  <si>
    <t>C67561</t>
  </si>
  <si>
    <t>TRK75900717</t>
  </si>
  <si>
    <t>ORD200516</t>
  </si>
  <si>
    <t>C47022</t>
  </si>
  <si>
    <t>TRK28855040</t>
  </si>
  <si>
    <t>ORD200517</t>
  </si>
  <si>
    <t>C55205</t>
  </si>
  <si>
    <t>TRK88141634</t>
  </si>
  <si>
    <t>ORD200518</t>
  </si>
  <si>
    <t>C30686</t>
  </si>
  <si>
    <t>TRK59807273</t>
  </si>
  <si>
    <t>ORD200519</t>
  </si>
  <si>
    <t>C71797</t>
  </si>
  <si>
    <t>941 Main St</t>
  </si>
  <si>
    <t>TRK66010667</t>
  </si>
  <si>
    <t>ORD200520</t>
  </si>
  <si>
    <t>C66332</t>
  </si>
  <si>
    <t>959 Main St</t>
  </si>
  <si>
    <t>TRK27063398</t>
  </si>
  <si>
    <t>ORD200521</t>
  </si>
  <si>
    <t>C82318</t>
  </si>
  <si>
    <t>991 Main St</t>
  </si>
  <si>
    <t>TRK37534165</t>
  </si>
  <si>
    <t>ORD200522</t>
  </si>
  <si>
    <t>C66254</t>
  </si>
  <si>
    <t>TRK82843861</t>
  </si>
  <si>
    <t>ORD200523</t>
  </si>
  <si>
    <t>C65083</t>
  </si>
  <si>
    <t>TRK60937148</t>
  </si>
  <si>
    <t>ORD200524</t>
  </si>
  <si>
    <t>C44778</t>
  </si>
  <si>
    <t>TRK92617366</t>
  </si>
  <si>
    <t>ORD200525</t>
  </si>
  <si>
    <t>C54499</t>
  </si>
  <si>
    <t>TRK18061555</t>
  </si>
  <si>
    <t>ORD200526</t>
  </si>
  <si>
    <t>C91201</t>
  </si>
  <si>
    <t>TRK63526023</t>
  </si>
  <si>
    <t>ORD200527</t>
  </si>
  <si>
    <t>C27202</t>
  </si>
  <si>
    <t>TRK75406128</t>
  </si>
  <si>
    <t>ORD200528</t>
  </si>
  <si>
    <t>C32011</t>
  </si>
  <si>
    <t>TRK70997744</t>
  </si>
  <si>
    <t>ORD200529</t>
  </si>
  <si>
    <t>C21181</t>
  </si>
  <si>
    <t>938 Main St</t>
  </si>
  <si>
    <t>TRK50363421</t>
  </si>
  <si>
    <t>ORD200530</t>
  </si>
  <si>
    <t>C98450</t>
  </si>
  <si>
    <t>613 Main St</t>
  </si>
  <si>
    <t>TRK14809530</t>
  </si>
  <si>
    <t>ORD200531</t>
  </si>
  <si>
    <t>C64502</t>
  </si>
  <si>
    <t>722 Main St</t>
  </si>
  <si>
    <t>TRK14914388</t>
  </si>
  <si>
    <t>ORD200532</t>
  </si>
  <si>
    <t>C47365</t>
  </si>
  <si>
    <t>369 Main St</t>
  </si>
  <si>
    <t>TRK42207882</t>
  </si>
  <si>
    <t>ORD200533</t>
  </si>
  <si>
    <t>C66349</t>
  </si>
  <si>
    <t>TRK63550793</t>
  </si>
  <si>
    <t>ORD200534</t>
  </si>
  <si>
    <t>C73289</t>
  </si>
  <si>
    <t>906 Main St</t>
  </si>
  <si>
    <t>TRK70872738</t>
  </si>
  <si>
    <t>ORD200535</t>
  </si>
  <si>
    <t>C48649</t>
  </si>
  <si>
    <t>TRK45821445</t>
  </si>
  <si>
    <t>ORD200536</t>
  </si>
  <si>
    <t>C18724</t>
  </si>
  <si>
    <t>124 Main St</t>
  </si>
  <si>
    <t>TRK52508861</t>
  </si>
  <si>
    <t>ORD200537</t>
  </si>
  <si>
    <t>C68553</t>
  </si>
  <si>
    <t>TRK58218971</t>
  </si>
  <si>
    <t>ORD200538</t>
  </si>
  <si>
    <t>C61280</t>
  </si>
  <si>
    <t>100 Main St</t>
  </si>
  <si>
    <t>TRK95487711</t>
  </si>
  <si>
    <t>ORD200539</t>
  </si>
  <si>
    <t>C53277</t>
  </si>
  <si>
    <t>473 Main St</t>
  </si>
  <si>
    <t>TRK17653832</t>
  </si>
  <si>
    <t>ORD200540</t>
  </si>
  <si>
    <t>C87281</t>
  </si>
  <si>
    <t>852 Main St</t>
  </si>
  <si>
    <t>TRK81765057</t>
  </si>
  <si>
    <t>ORD200541</t>
  </si>
  <si>
    <t>C69009</t>
  </si>
  <si>
    <t>879 Main St</t>
  </si>
  <si>
    <t>TRK61295842</t>
  </si>
  <si>
    <t>ORD200542</t>
  </si>
  <si>
    <t>C49726</t>
  </si>
  <si>
    <t>TRK20739460</t>
  </si>
  <si>
    <t>ORD200543</t>
  </si>
  <si>
    <t>C37531</t>
  </si>
  <si>
    <t>TRK93877673</t>
  </si>
  <si>
    <t>ORD200544</t>
  </si>
  <si>
    <t>C48713</t>
  </si>
  <si>
    <t>TRK96334419</t>
  </si>
  <si>
    <t>ORD200545</t>
  </si>
  <si>
    <t>C74138</t>
  </si>
  <si>
    <t>964 Main St</t>
  </si>
  <si>
    <t>TRK74091695</t>
  </si>
  <si>
    <t>ORD200546</t>
  </si>
  <si>
    <t>C82399</t>
  </si>
  <si>
    <t>TRK77177284</t>
  </si>
  <si>
    <t>ORD200547</t>
  </si>
  <si>
    <t>C40427</t>
  </si>
  <si>
    <t>411 Main St</t>
  </si>
  <si>
    <t>TRK25392280</t>
  </si>
  <si>
    <t>ORD200548</t>
  </si>
  <si>
    <t>C17103</t>
  </si>
  <si>
    <t>TRK64398650</t>
  </si>
  <si>
    <t>ORD200549</t>
  </si>
  <si>
    <t>C34266</t>
  </si>
  <si>
    <t>550 Main St</t>
  </si>
  <si>
    <t>TRK56378197</t>
  </si>
  <si>
    <t>ORD200550</t>
  </si>
  <si>
    <t>C97485</t>
  </si>
  <si>
    <t>TRK81794737</t>
  </si>
  <si>
    <t>ORD200551</t>
  </si>
  <si>
    <t>C23947</t>
  </si>
  <si>
    <t>TRK74812710</t>
  </si>
  <si>
    <t>ORD200552</t>
  </si>
  <si>
    <t>C21665</t>
  </si>
  <si>
    <t>TRK29890761</t>
  </si>
  <si>
    <t>ORD200553</t>
  </si>
  <si>
    <t>C82550</t>
  </si>
  <si>
    <t>828 Main St</t>
  </si>
  <si>
    <t>TRK74103758</t>
  </si>
  <si>
    <t>ORD200554</t>
  </si>
  <si>
    <t>C61943</t>
  </si>
  <si>
    <t>TRK66126496</t>
  </si>
  <si>
    <t>ORD200555</t>
  </si>
  <si>
    <t>C88933</t>
  </si>
  <si>
    <t>TRK89306964</t>
  </si>
  <si>
    <t>ORD200556</t>
  </si>
  <si>
    <t>C30923</t>
  </si>
  <si>
    <t>932 Main St</t>
  </si>
  <si>
    <t>TRK82609328</t>
  </si>
  <si>
    <t>ORD200557</t>
  </si>
  <si>
    <t>C56969</t>
  </si>
  <si>
    <t>130 Main St</t>
  </si>
  <si>
    <t>TRK40719215</t>
  </si>
  <si>
    <t>ORD200558</t>
  </si>
  <si>
    <t>C76766</t>
  </si>
  <si>
    <t>485 Main St</t>
  </si>
  <si>
    <t>TRK32052962</t>
  </si>
  <si>
    <t>ORD200559</t>
  </si>
  <si>
    <t>C22981</t>
  </si>
  <si>
    <t>TRK10115285</t>
  </si>
  <si>
    <t>ORD200560</t>
  </si>
  <si>
    <t>C33634</t>
  </si>
  <si>
    <t>524 Main St</t>
  </si>
  <si>
    <t>TRK93168008</t>
  </si>
  <si>
    <t>ORD200561</t>
  </si>
  <si>
    <t>C96822</t>
  </si>
  <si>
    <t>198 Main St</t>
  </si>
  <si>
    <t>TRK89180077</t>
  </si>
  <si>
    <t>ORD200562</t>
  </si>
  <si>
    <t>C76675</t>
  </si>
  <si>
    <t>TRK28043915</t>
  </si>
  <si>
    <t>ORD200563</t>
  </si>
  <si>
    <t>C12039</t>
  </si>
  <si>
    <t>844 Main St</t>
  </si>
  <si>
    <t>TRK68645763</t>
  </si>
  <si>
    <t>ORD200564</t>
  </si>
  <si>
    <t>C93309</t>
  </si>
  <si>
    <t>734 Main St</t>
  </si>
  <si>
    <t>TRK99446987</t>
  </si>
  <si>
    <t>ORD200565</t>
  </si>
  <si>
    <t>C62042</t>
  </si>
  <si>
    <t>TRK42605492</t>
  </si>
  <si>
    <t>ORD200566</t>
  </si>
  <si>
    <t>C83223</t>
  </si>
  <si>
    <t>167 Main St</t>
  </si>
  <si>
    <t>TRK54339083</t>
  </si>
  <si>
    <t>ORD200567</t>
  </si>
  <si>
    <t>C92575</t>
  </si>
  <si>
    <t>TRK53579227</t>
  </si>
  <si>
    <t>ORD200568</t>
  </si>
  <si>
    <t>C29072</t>
  </si>
  <si>
    <t>TRK72334047</t>
  </si>
  <si>
    <t>ORD200569</t>
  </si>
  <si>
    <t>C25783</t>
  </si>
  <si>
    <t>TRK13289741</t>
  </si>
  <si>
    <t>ORD200570</t>
  </si>
  <si>
    <t>C63727</t>
  </si>
  <si>
    <t>TRK13611021</t>
  </si>
  <si>
    <t>ORD200571</t>
  </si>
  <si>
    <t>C42365</t>
  </si>
  <si>
    <t>TRK39563288</t>
  </si>
  <si>
    <t>ORD200572</t>
  </si>
  <si>
    <t>C27438</t>
  </si>
  <si>
    <t>TRK69125497</t>
  </si>
  <si>
    <t>ORD200573</t>
  </si>
  <si>
    <t>C13205</t>
  </si>
  <si>
    <t>TRK30686578</t>
  </si>
  <si>
    <t>ORD200574</t>
  </si>
  <si>
    <t>C29685</t>
  </si>
  <si>
    <t>TRK97733212</t>
  </si>
  <si>
    <t>ORD200575</t>
  </si>
  <si>
    <t>C74005</t>
  </si>
  <si>
    <t>528 Main St</t>
  </si>
  <si>
    <t>TRK61640534</t>
  </si>
  <si>
    <t>ORD200576</t>
  </si>
  <si>
    <t>C14457</t>
  </si>
  <si>
    <t>TRK42517811</t>
  </si>
  <si>
    <t>ORD200577</t>
  </si>
  <si>
    <t>C77046</t>
  </si>
  <si>
    <t>TRK44401497</t>
  </si>
  <si>
    <t>ORD200578</t>
  </si>
  <si>
    <t>C50415</t>
  </si>
  <si>
    <t>TRK41345634</t>
  </si>
  <si>
    <t>ORD200579</t>
  </si>
  <si>
    <t>C73999</t>
  </si>
  <si>
    <t>TRK67919507</t>
  </si>
  <si>
    <t>ORD200580</t>
  </si>
  <si>
    <t>C71076</t>
  </si>
  <si>
    <t>340 Main St</t>
  </si>
  <si>
    <t>TRK65148292</t>
  </si>
  <si>
    <t>ORD200581</t>
  </si>
  <si>
    <t>C44674</t>
  </si>
  <si>
    <t>TRK87158684</t>
  </si>
  <si>
    <t>ORD200582</t>
  </si>
  <si>
    <t>C15228</t>
  </si>
  <si>
    <t>TRK33860620</t>
  </si>
  <si>
    <t>ORD200583</t>
  </si>
  <si>
    <t>C27072</t>
  </si>
  <si>
    <t>TRK29750379</t>
  </si>
  <si>
    <t>ORD200584</t>
  </si>
  <si>
    <t>C15257</t>
  </si>
  <si>
    <t>626 Main St</t>
  </si>
  <si>
    <t>TRK28779938</t>
  </si>
  <si>
    <t>ORD200585</t>
  </si>
  <si>
    <t>C91486</t>
  </si>
  <si>
    <t>TRK79617136</t>
  </si>
  <si>
    <t>ORD200586</t>
  </si>
  <si>
    <t>C17389</t>
  </si>
  <si>
    <t>905 Main St</t>
  </si>
  <si>
    <t>TRK98857880</t>
  </si>
  <si>
    <t>ORD200587</t>
  </si>
  <si>
    <t>C18820</t>
  </si>
  <si>
    <t>347 Main St</t>
  </si>
  <si>
    <t>TRK91547425</t>
  </si>
  <si>
    <t>ORD200588</t>
  </si>
  <si>
    <t>C61849</t>
  </si>
  <si>
    <t>TRK47613918</t>
  </si>
  <si>
    <t>ORD200589</t>
  </si>
  <si>
    <t>C84041</t>
  </si>
  <si>
    <t>900 Main St</t>
  </si>
  <si>
    <t>TRK84920444</t>
  </si>
  <si>
    <t>ORD200590</t>
  </si>
  <si>
    <t>C55757</t>
  </si>
  <si>
    <t>175 Main St</t>
  </si>
  <si>
    <t>TRK27356242</t>
  </si>
  <si>
    <t>ORD200591</t>
  </si>
  <si>
    <t>C18187</t>
  </si>
  <si>
    <t>470 Main St</t>
  </si>
  <si>
    <t>TRK50528185</t>
  </si>
  <si>
    <t>ORD200592</t>
  </si>
  <si>
    <t>C42306</t>
  </si>
  <si>
    <t>TRK15499648</t>
  </si>
  <si>
    <t>ORD200593</t>
  </si>
  <si>
    <t>C51024</t>
  </si>
  <si>
    <t>TRK31375086</t>
  </si>
  <si>
    <t>ORD200594</t>
  </si>
  <si>
    <t>C40140</t>
  </si>
  <si>
    <t>TRK12671989</t>
  </si>
  <si>
    <t>ORD200595</t>
  </si>
  <si>
    <t>C72596</t>
  </si>
  <si>
    <t>491 Main St</t>
  </si>
  <si>
    <t>TRK83870446</t>
  </si>
  <si>
    <t>ORD200596</t>
  </si>
  <si>
    <t>C91805</t>
  </si>
  <si>
    <t>653 Main St</t>
  </si>
  <si>
    <t>TRK34504030</t>
  </si>
  <si>
    <t>ORD200597</t>
  </si>
  <si>
    <t>C40538</t>
  </si>
  <si>
    <t>700 Main St</t>
  </si>
  <si>
    <t>TRK29821356</t>
  </si>
  <si>
    <t>ORD200598</t>
  </si>
  <si>
    <t>C60329</t>
  </si>
  <si>
    <t>TRK59069987</t>
  </si>
  <si>
    <t>ORD200599</t>
  </si>
  <si>
    <t>C28740</t>
  </si>
  <si>
    <t>TRK33642221</t>
  </si>
  <si>
    <t>ORD200600</t>
  </si>
  <si>
    <t>C87051</t>
  </si>
  <si>
    <t>TRK82056333</t>
  </si>
  <si>
    <t>ORD200601</t>
  </si>
  <si>
    <t>C12479</t>
  </si>
  <si>
    <t>529 Main St</t>
  </si>
  <si>
    <t>TRK73935314</t>
  </si>
  <si>
    <t>ORD200602</t>
  </si>
  <si>
    <t>TRK64660134</t>
  </si>
  <si>
    <t>ORD200603</t>
  </si>
  <si>
    <t>C26223</t>
  </si>
  <si>
    <t>800 Main St</t>
  </si>
  <si>
    <t>TRK50900547</t>
  </si>
  <si>
    <t>ORD200604</t>
  </si>
  <si>
    <t>C99214</t>
  </si>
  <si>
    <t>TRK81368481</t>
  </si>
  <si>
    <t>ORD200605</t>
  </si>
  <si>
    <t>C49605</t>
  </si>
  <si>
    <t>892 Main St</t>
  </si>
  <si>
    <t>TRK95620066</t>
  </si>
  <si>
    <t>ORD200606</t>
  </si>
  <si>
    <t>C85018</t>
  </si>
  <si>
    <t>TRK54128886</t>
  </si>
  <si>
    <t>ORD200607</t>
  </si>
  <si>
    <t>C96434</t>
  </si>
  <si>
    <t>282 Main St</t>
  </si>
  <si>
    <t>TRK56730647</t>
  </si>
  <si>
    <t>ORD200608</t>
  </si>
  <si>
    <t>C32956</t>
  </si>
  <si>
    <t>788 Main St</t>
  </si>
  <si>
    <t>TRK73140103</t>
  </si>
  <si>
    <t>ORD200609</t>
  </si>
  <si>
    <t>C41137</t>
  </si>
  <si>
    <t>809 Main St</t>
  </si>
  <si>
    <t>TRK52732162</t>
  </si>
  <si>
    <t>ORD200610</t>
  </si>
  <si>
    <t>C60361</t>
  </si>
  <si>
    <t>TRK83566924</t>
  </si>
  <si>
    <t>ORD200611</t>
  </si>
  <si>
    <t>C36688</t>
  </si>
  <si>
    <t>TRK35720426</t>
  </si>
  <si>
    <t>ORD200612</t>
  </si>
  <si>
    <t>C51811</t>
  </si>
  <si>
    <t>TRK82377939</t>
  </si>
  <si>
    <t>ORD200613</t>
  </si>
  <si>
    <t>C62405</t>
  </si>
  <si>
    <t>154 Main St</t>
  </si>
  <si>
    <t>TRK14721763</t>
  </si>
  <si>
    <t>ORD200614</t>
  </si>
  <si>
    <t>C77363</t>
  </si>
  <si>
    <t>TRK12439827</t>
  </si>
  <si>
    <t>ORD200615</t>
  </si>
  <si>
    <t>C97218</t>
  </si>
  <si>
    <t>TRK52632065</t>
  </si>
  <si>
    <t>ORD200616</t>
  </si>
  <si>
    <t>C43919</t>
  </si>
  <si>
    <t>984 Main St</t>
  </si>
  <si>
    <t>TRK73113192</t>
  </si>
  <si>
    <t>ORD200617</t>
  </si>
  <si>
    <t>C57093</t>
  </si>
  <si>
    <t>834 Main St</t>
  </si>
  <si>
    <t>TRK75469057</t>
  </si>
  <si>
    <t>ORD200618</t>
  </si>
  <si>
    <t>C50565</t>
  </si>
  <si>
    <t>399 Main St</t>
  </si>
  <si>
    <t>TRK97981418</t>
  </si>
  <si>
    <t>ORD200619</t>
  </si>
  <si>
    <t>C38845</t>
  </si>
  <si>
    <t>TRK47637374</t>
  </si>
  <si>
    <t>ORD200620</t>
  </si>
  <si>
    <t>C84834</t>
  </si>
  <si>
    <t>866 Main St</t>
  </si>
  <si>
    <t>TRK90136001</t>
  </si>
  <si>
    <t>ORD200621</t>
  </si>
  <si>
    <t>C37455</t>
  </si>
  <si>
    <t>TRK82685594</t>
  </si>
  <si>
    <t>ORD200622</t>
  </si>
  <si>
    <t>C27078</t>
  </si>
  <si>
    <t>TRK89314307</t>
  </si>
  <si>
    <t>ORD200623</t>
  </si>
  <si>
    <t>C91941</t>
  </si>
  <si>
    <t>269 Main St</t>
  </si>
  <si>
    <t>TRK21330732</t>
  </si>
  <si>
    <t>ORD200624</t>
  </si>
  <si>
    <t>C25967</t>
  </si>
  <si>
    <t>TRK88559278</t>
  </si>
  <si>
    <t>ORD200625</t>
  </si>
  <si>
    <t>C22123</t>
  </si>
  <si>
    <t>519 Main St</t>
  </si>
  <si>
    <t>TRK43250279</t>
  </si>
  <si>
    <t>ORD200626</t>
  </si>
  <si>
    <t>C45671</t>
  </si>
  <si>
    <t>TRK18179773</t>
  </si>
  <si>
    <t>ORD200627</t>
  </si>
  <si>
    <t>C53334</t>
  </si>
  <si>
    <t>TRK31724421</t>
  </si>
  <si>
    <t>ORD200628</t>
  </si>
  <si>
    <t>C18717</t>
  </si>
  <si>
    <t>861 Main St</t>
  </si>
  <si>
    <t>TRK58568806</t>
  </si>
  <si>
    <t>ORD200629</t>
  </si>
  <si>
    <t>C50137</t>
  </si>
  <si>
    <t>840 Main St</t>
  </si>
  <si>
    <t>TRK91836131</t>
  </si>
  <si>
    <t>ORD200630</t>
  </si>
  <si>
    <t>C51481</t>
  </si>
  <si>
    <t>140 Main St</t>
  </si>
  <si>
    <t>TRK33437701</t>
  </si>
  <si>
    <t>ORD200631</t>
  </si>
  <si>
    <t>C99128</t>
  </si>
  <si>
    <t>TRK32426808</t>
  </si>
  <si>
    <t>ORD200632</t>
  </si>
  <si>
    <t>C67260</t>
  </si>
  <si>
    <t>TRK38229104</t>
  </si>
  <si>
    <t>ORD200633</t>
  </si>
  <si>
    <t>C79533</t>
  </si>
  <si>
    <t>TRK54711422</t>
  </si>
  <si>
    <t>ORD200634</t>
  </si>
  <si>
    <t>C66906</t>
  </si>
  <si>
    <t>117 Main St</t>
  </si>
  <si>
    <t>TRK31633755</t>
  </si>
  <si>
    <t>ORD200635</t>
  </si>
  <si>
    <t>C12818</t>
  </si>
  <si>
    <t>TRK40879983</t>
  </si>
  <si>
    <t>ORD200636</t>
  </si>
  <si>
    <t>C60384</t>
  </si>
  <si>
    <t>TRK92080037</t>
  </si>
  <si>
    <t>ORD200637</t>
  </si>
  <si>
    <t>C92294</t>
  </si>
  <si>
    <t>784 Main St</t>
  </si>
  <si>
    <t>TRK23585765</t>
  </si>
  <si>
    <t>ORD200638</t>
  </si>
  <si>
    <t>C66840</t>
  </si>
  <si>
    <t>547 Main St</t>
  </si>
  <si>
    <t>TRK76929637</t>
  </si>
  <si>
    <t>ORD200639</t>
  </si>
  <si>
    <t>C22534</t>
  </si>
  <si>
    <t>TRK17415798</t>
  </si>
  <si>
    <t>ORD200640</t>
  </si>
  <si>
    <t>C46509</t>
  </si>
  <si>
    <t>TRK24241664</t>
  </si>
  <si>
    <t>ORD200641</t>
  </si>
  <si>
    <t>C71680</t>
  </si>
  <si>
    <t>TRK47386650</t>
  </si>
  <si>
    <t>ORD200642</t>
  </si>
  <si>
    <t>C15063</t>
  </si>
  <si>
    <t>527 Main St</t>
  </si>
  <si>
    <t>TRK10329390</t>
  </si>
  <si>
    <t>ORD200643</t>
  </si>
  <si>
    <t>C77122</t>
  </si>
  <si>
    <t>TRK75814880</t>
  </si>
  <si>
    <t>ORD200644</t>
  </si>
  <si>
    <t>C86524</t>
  </si>
  <si>
    <t>961 Main St</t>
  </si>
  <si>
    <t>TRK62490506</t>
  </si>
  <si>
    <t>ORD200645</t>
  </si>
  <si>
    <t>C82990</t>
  </si>
  <si>
    <t>TRK68574801</t>
  </si>
  <si>
    <t>ORD200646</t>
  </si>
  <si>
    <t>C98761</t>
  </si>
  <si>
    <t>804 Main St</t>
  </si>
  <si>
    <t>TRK43262630</t>
  </si>
  <si>
    <t>ORD200647</t>
  </si>
  <si>
    <t>C54409</t>
  </si>
  <si>
    <t>TRK67671316</t>
  </si>
  <si>
    <t>ORD200648</t>
  </si>
  <si>
    <t>C89674</t>
  </si>
  <si>
    <t>182 Main St</t>
  </si>
  <si>
    <t>TRK45902512</t>
  </si>
  <si>
    <t>ORD200649</t>
  </si>
  <si>
    <t>C45899</t>
  </si>
  <si>
    <t>TRK32932093</t>
  </si>
  <si>
    <t>ORD200650</t>
  </si>
  <si>
    <t>C74499</t>
  </si>
  <si>
    <t>518 Main St</t>
  </si>
  <si>
    <t>TRK93767278</t>
  </si>
  <si>
    <t>ORD200651</t>
  </si>
  <si>
    <t>C81192</t>
  </si>
  <si>
    <t>TRK76931118</t>
  </si>
  <si>
    <t>ORD200652</t>
  </si>
  <si>
    <t>C71473</t>
  </si>
  <si>
    <t>328 Main St</t>
  </si>
  <si>
    <t>TRK94857335</t>
  </si>
  <si>
    <t>ORD200653</t>
  </si>
  <si>
    <t>C59338</t>
  </si>
  <si>
    <t>TRK12902764</t>
  </si>
  <si>
    <t>ORD200654</t>
  </si>
  <si>
    <t>C62661</t>
  </si>
  <si>
    <t>863 Main St</t>
  </si>
  <si>
    <t>TRK25748100</t>
  </si>
  <si>
    <t>ORD200655</t>
  </si>
  <si>
    <t>C22101</t>
  </si>
  <si>
    <t>TRK70711522</t>
  </si>
  <si>
    <t>ORD200656</t>
  </si>
  <si>
    <t>C51404</t>
  </si>
  <si>
    <t>835 Main St</t>
  </si>
  <si>
    <t>TRK85682500</t>
  </si>
  <si>
    <t>ORD200657</t>
  </si>
  <si>
    <t>C19384</t>
  </si>
  <si>
    <t>TRK33207064</t>
  </si>
  <si>
    <t>ORD200658</t>
  </si>
  <si>
    <t>C86864</t>
  </si>
  <si>
    <t>TRK15323191</t>
  </si>
  <si>
    <t>ORD200659</t>
  </si>
  <si>
    <t>C24301</t>
  </si>
  <si>
    <t>TRK55000075</t>
  </si>
  <si>
    <t>ORD200660</t>
  </si>
  <si>
    <t>C43842</t>
  </si>
  <si>
    <t>TRK54084424</t>
  </si>
  <si>
    <t>ORD200661</t>
  </si>
  <si>
    <t>C63657</t>
  </si>
  <si>
    <t>116 Main St</t>
  </si>
  <si>
    <t>TRK86378984</t>
  </si>
  <si>
    <t>ORD200662</t>
  </si>
  <si>
    <t>C98332</t>
  </si>
  <si>
    <t>985 Main St</t>
  </si>
  <si>
    <t>TRK85744797</t>
  </si>
  <si>
    <t>ORD200663</t>
  </si>
  <si>
    <t>C59774</t>
  </si>
  <si>
    <t>TRK87635135</t>
  </si>
  <si>
    <t>ORD200664</t>
  </si>
  <si>
    <t>188 Main St</t>
  </si>
  <si>
    <t>TRK46492755</t>
  </si>
  <si>
    <t>ORD200665</t>
  </si>
  <si>
    <t>C83653</t>
  </si>
  <si>
    <t>253 Main St</t>
  </si>
  <si>
    <t>TRK32619935</t>
  </si>
  <si>
    <t>ORD200666</t>
  </si>
  <si>
    <t>C35711</t>
  </si>
  <si>
    <t>TRK45281495</t>
  </si>
  <si>
    <t>ORD200667</t>
  </si>
  <si>
    <t>C10477</t>
  </si>
  <si>
    <t>TRK41505339</t>
  </si>
  <si>
    <t>ORD200668</t>
  </si>
  <si>
    <t>C61257</t>
  </si>
  <si>
    <t>TRK25226070</t>
  </si>
  <si>
    <t>ORD200669</t>
  </si>
  <si>
    <t>C60547</t>
  </si>
  <si>
    <t>812 Main St</t>
  </si>
  <si>
    <t>TRK65694249</t>
  </si>
  <si>
    <t>ORD200670</t>
  </si>
  <si>
    <t>C14576</t>
  </si>
  <si>
    <t>TRK21637540</t>
  </si>
  <si>
    <t>ORD200671</t>
  </si>
  <si>
    <t>C49282</t>
  </si>
  <si>
    <t>TRK88653901</t>
  </si>
  <si>
    <t>ORD200672</t>
  </si>
  <si>
    <t>C14017</t>
  </si>
  <si>
    <t>TRK71009446</t>
  </si>
  <si>
    <t>ORD200673</t>
  </si>
  <si>
    <t>C46504</t>
  </si>
  <si>
    <t>TRK95024356</t>
  </si>
  <si>
    <t>ORD200674</t>
  </si>
  <si>
    <t>C56928</t>
  </si>
  <si>
    <t>860 Main St</t>
  </si>
  <si>
    <t>TRK57792939</t>
  </si>
  <si>
    <t>ORD200675</t>
  </si>
  <si>
    <t>C97749</t>
  </si>
  <si>
    <t>TRK90233116</t>
  </si>
  <si>
    <t>ORD200676</t>
  </si>
  <si>
    <t>C90431</t>
  </si>
  <si>
    <t>TRK44151723</t>
  </si>
  <si>
    <t>ORD200677</t>
  </si>
  <si>
    <t>C56722</t>
  </si>
  <si>
    <t>TRK78778569</t>
  </si>
  <si>
    <t>ORD200678</t>
  </si>
  <si>
    <t>C40863</t>
  </si>
  <si>
    <t>TRK20553345</t>
  </si>
  <si>
    <t>ORD200679</t>
  </si>
  <si>
    <t>C40798</t>
  </si>
  <si>
    <t>TRK66106697</t>
  </si>
  <si>
    <t>ORD200680</t>
  </si>
  <si>
    <t>C16702</t>
  </si>
  <si>
    <t>694 Main St</t>
  </si>
  <si>
    <t>TRK16953491</t>
  </si>
  <si>
    <t>ORD200681</t>
  </si>
  <si>
    <t>C38262</t>
  </si>
  <si>
    <t>548 Main St</t>
  </si>
  <si>
    <t>TRK47300502</t>
  </si>
  <si>
    <t>ORD200682</t>
  </si>
  <si>
    <t>C50274</t>
  </si>
  <si>
    <t>TRK91729086</t>
  </si>
  <si>
    <t>ORD200683</t>
  </si>
  <si>
    <t>C91591</t>
  </si>
  <si>
    <t>887 Main St</t>
  </si>
  <si>
    <t>TRK23554043</t>
  </si>
  <si>
    <t>ORD200684</t>
  </si>
  <si>
    <t>C96583</t>
  </si>
  <si>
    <t>288 Main St</t>
  </si>
  <si>
    <t>TRK64353241</t>
  </si>
  <si>
    <t>ORD200685</t>
  </si>
  <si>
    <t>C64579</t>
  </si>
  <si>
    <t>638 Main St</t>
  </si>
  <si>
    <t>TRK10276565</t>
  </si>
  <si>
    <t>ORD200686</t>
  </si>
  <si>
    <t>C41903</t>
  </si>
  <si>
    <t>525 Main St</t>
  </si>
  <si>
    <t>TRK59112382</t>
  </si>
  <si>
    <t>ORD200687</t>
  </si>
  <si>
    <t>C19742</t>
  </si>
  <si>
    <t>408 Main St</t>
  </si>
  <si>
    <t>TRK68845230</t>
  </si>
  <si>
    <t>ORD200688</t>
  </si>
  <si>
    <t>C20077</t>
  </si>
  <si>
    <t>TRK36415742</t>
  </si>
  <si>
    <t>ORD200689</t>
  </si>
  <si>
    <t>C13186</t>
  </si>
  <si>
    <t>787 Main St</t>
  </si>
  <si>
    <t>TRK56967415</t>
  </si>
  <si>
    <t>ORD200690</t>
  </si>
  <si>
    <t>C29318</t>
  </si>
  <si>
    <t>TRK88666721</t>
  </si>
  <si>
    <t>ORD200691</t>
  </si>
  <si>
    <t>C36137</t>
  </si>
  <si>
    <t>396 Main St</t>
  </si>
  <si>
    <t>TRK57376416</t>
  </si>
  <si>
    <t>ORD200692</t>
  </si>
  <si>
    <t>C25534</t>
  </si>
  <si>
    <t>TRK68347402</t>
  </si>
  <si>
    <t>ORD200693</t>
  </si>
  <si>
    <t>C62070</t>
  </si>
  <si>
    <t>674 Main St</t>
  </si>
  <si>
    <t>TRK10267127</t>
  </si>
  <si>
    <t>ORD200694</t>
  </si>
  <si>
    <t>C92049</t>
  </si>
  <si>
    <t>TRK32287092</t>
  </si>
  <si>
    <t>ORD200695</t>
  </si>
  <si>
    <t>C52604</t>
  </si>
  <si>
    <t>TRK48839788</t>
  </si>
  <si>
    <t>ORD200696</t>
  </si>
  <si>
    <t>C22429</t>
  </si>
  <si>
    <t>965 Main St</t>
  </si>
  <si>
    <t>TRK38572927</t>
  </si>
  <si>
    <t>ORD200697</t>
  </si>
  <si>
    <t>C27430</t>
  </si>
  <si>
    <t>TRK45025840</t>
  </si>
  <si>
    <t>ORD200698</t>
  </si>
  <si>
    <t>C44366</t>
  </si>
  <si>
    <t>TRK48658394</t>
  </si>
  <si>
    <t>ORD200699</t>
  </si>
  <si>
    <t>C36813</t>
  </si>
  <si>
    <t>897 Main St</t>
  </si>
  <si>
    <t>TRK84088900</t>
  </si>
  <si>
    <t>ORD200700</t>
  </si>
  <si>
    <t>C40201</t>
  </si>
  <si>
    <t>555 Main St</t>
  </si>
  <si>
    <t>TRK30198779</t>
  </si>
  <si>
    <t>ORD200701</t>
  </si>
  <si>
    <t>C75456</t>
  </si>
  <si>
    <t>TRK90519490</t>
  </si>
  <si>
    <t>ORD200702</t>
  </si>
  <si>
    <t>C33315</t>
  </si>
  <si>
    <t>TRK43589369</t>
  </si>
  <si>
    <t>ORD200703</t>
  </si>
  <si>
    <t>C89336</t>
  </si>
  <si>
    <t>799 Main St</t>
  </si>
  <si>
    <t>TRK47665103</t>
  </si>
  <si>
    <t>ORD200704</t>
  </si>
  <si>
    <t>C96034</t>
  </si>
  <si>
    <t>TRK87261034</t>
  </si>
  <si>
    <t>ORD200705</t>
  </si>
  <si>
    <t>C50114</t>
  </si>
  <si>
    <t>420 Main St</t>
  </si>
  <si>
    <t>TRK20214786</t>
  </si>
  <si>
    <t>ORD200706</t>
  </si>
  <si>
    <t>C85330</t>
  </si>
  <si>
    <t>TRK97693301</t>
  </si>
  <si>
    <t>ORD200707</t>
  </si>
  <si>
    <t>C31761</t>
  </si>
  <si>
    <t>TRK17628852</t>
  </si>
  <si>
    <t>ORD200708</t>
  </si>
  <si>
    <t>C25268</t>
  </si>
  <si>
    <t>TRK20481215</t>
  </si>
  <si>
    <t>ORD200709</t>
  </si>
  <si>
    <t>C17132</t>
  </si>
  <si>
    <t>855 Main St</t>
  </si>
  <si>
    <t>TRK37504692</t>
  </si>
  <si>
    <t>ORD200710</t>
  </si>
  <si>
    <t>C48790</t>
  </si>
  <si>
    <t>113 Main St</t>
  </si>
  <si>
    <t>TRK19086608</t>
  </si>
  <si>
    <t>ORD200711</t>
  </si>
  <si>
    <t>C61070</t>
  </si>
  <si>
    <t>632 Main St</t>
  </si>
  <si>
    <t>TRK90764894</t>
  </si>
  <si>
    <t>ORD200712</t>
  </si>
  <si>
    <t>993 Main St</t>
  </si>
  <si>
    <t>TRK10513339</t>
  </si>
  <si>
    <t>ORD200713</t>
  </si>
  <si>
    <t>C65056</t>
  </si>
  <si>
    <t>TRK31705278</t>
  </si>
  <si>
    <t>ORD200714</t>
  </si>
  <si>
    <t>C84888</t>
  </si>
  <si>
    <t>TRK23612847</t>
  </si>
  <si>
    <t>ORD200715</t>
  </si>
  <si>
    <t>C68266</t>
  </si>
  <si>
    <t>281 Main St</t>
  </si>
  <si>
    <t>TRK96161062</t>
  </si>
  <si>
    <t>ORD200716</t>
  </si>
  <si>
    <t>C84115</t>
  </si>
  <si>
    <t>TRK25466842</t>
  </si>
  <si>
    <t>ORD200717</t>
  </si>
  <si>
    <t>C50087</t>
  </si>
  <si>
    <t>707 Main St</t>
  </si>
  <si>
    <t>TRK31143760</t>
  </si>
  <si>
    <t>ORD200718</t>
  </si>
  <si>
    <t>C16790</t>
  </si>
  <si>
    <t>718 Main St</t>
  </si>
  <si>
    <t>TRK91791367</t>
  </si>
  <si>
    <t>ORD200719</t>
  </si>
  <si>
    <t>C46920</t>
  </si>
  <si>
    <t>703 Main St</t>
  </si>
  <si>
    <t>TRK86403837</t>
  </si>
  <si>
    <t>ORD200720</t>
  </si>
  <si>
    <t>C12740</t>
  </si>
  <si>
    <t>305 Main St</t>
  </si>
  <si>
    <t>TRK98506513</t>
  </si>
  <si>
    <t>ORD200721</t>
  </si>
  <si>
    <t>C46557</t>
  </si>
  <si>
    <t>890 Main St</t>
  </si>
  <si>
    <t>TRK56110689</t>
  </si>
  <si>
    <t>ORD200722</t>
  </si>
  <si>
    <t>C58156</t>
  </si>
  <si>
    <t>TRK49719458</t>
  </si>
  <si>
    <t>ORD200723</t>
  </si>
  <si>
    <t>C14455</t>
  </si>
  <si>
    <t>TRK50933724</t>
  </si>
  <si>
    <t>ORD200724</t>
  </si>
  <si>
    <t>C63150</t>
  </si>
  <si>
    <t>TRK19348078</t>
  </si>
  <si>
    <t>ORD200725</t>
  </si>
  <si>
    <t>C95269</t>
  </si>
  <si>
    <t>TRK45670926</t>
  </si>
  <si>
    <t>ORD200726</t>
  </si>
  <si>
    <t>C18105</t>
  </si>
  <si>
    <t>338 Main St</t>
  </si>
  <si>
    <t>TRK94006117</t>
  </si>
  <si>
    <t>ORD200727</t>
  </si>
  <si>
    <t>C29063</t>
  </si>
  <si>
    <t>TRK92745947</t>
  </si>
  <si>
    <t>ORD200728</t>
  </si>
  <si>
    <t>C10154</t>
  </si>
  <si>
    <t>827 Main St</t>
  </si>
  <si>
    <t>TRK79793300</t>
  </si>
  <si>
    <t>ORD200729</t>
  </si>
  <si>
    <t>C36997</t>
  </si>
  <si>
    <t>TRK92794872</t>
  </si>
  <si>
    <t>ORD200730</t>
  </si>
  <si>
    <t>C77357</t>
  </si>
  <si>
    <t>TRK91943923</t>
  </si>
  <si>
    <t>ORD200731</t>
  </si>
  <si>
    <t>C71310</t>
  </si>
  <si>
    <t>308 Main St</t>
  </si>
  <si>
    <t>TRK48292586</t>
  </si>
  <si>
    <t>ORD200732</t>
  </si>
  <si>
    <t>C80987</t>
  </si>
  <si>
    <t>TRK42187776</t>
  </si>
  <si>
    <t>ORD200733</t>
  </si>
  <si>
    <t>C90757</t>
  </si>
  <si>
    <t>TRK87991608</t>
  </si>
  <si>
    <t>ORD200734</t>
  </si>
  <si>
    <t>C51898</t>
  </si>
  <si>
    <t>TRK19767885</t>
  </si>
  <si>
    <t>ORD200735</t>
  </si>
  <si>
    <t>C94508</t>
  </si>
  <si>
    <t>TRK13443264</t>
  </si>
  <si>
    <t>ORD200736</t>
  </si>
  <si>
    <t>C59441</t>
  </si>
  <si>
    <t>TRK66186874</t>
  </si>
  <si>
    <t>ORD200737</t>
  </si>
  <si>
    <t>C91029</t>
  </si>
  <si>
    <t>972 Main St</t>
  </si>
  <si>
    <t>TRK25501930</t>
  </si>
  <si>
    <t>ORD200738</t>
  </si>
  <si>
    <t>C96261</t>
  </si>
  <si>
    <t>264 Main St</t>
  </si>
  <si>
    <t>TRK44998396</t>
  </si>
  <si>
    <t>ORD200739</t>
  </si>
  <si>
    <t>C35123</t>
  </si>
  <si>
    <t>TRK58979275</t>
  </si>
  <si>
    <t>ORD200740</t>
  </si>
  <si>
    <t>C10892</t>
  </si>
  <si>
    <t>TRK76154554</t>
  </si>
  <si>
    <t>ORD200741</t>
  </si>
  <si>
    <t>C99683</t>
  </si>
  <si>
    <t>945 Main St</t>
  </si>
  <si>
    <t>TRK87305883</t>
  </si>
  <si>
    <t>ORD200742</t>
  </si>
  <si>
    <t>C41974</t>
  </si>
  <si>
    <t>TRK48051468</t>
  </si>
  <si>
    <t>ORD200743</t>
  </si>
  <si>
    <t>C23978</t>
  </si>
  <si>
    <t>TRK87090813</t>
  </si>
  <si>
    <t>ORD200744</t>
  </si>
  <si>
    <t>C10642</t>
  </si>
  <si>
    <t>200 Main St</t>
  </si>
  <si>
    <t>TRK98725693</t>
  </si>
  <si>
    <t>ORD200745</t>
  </si>
  <si>
    <t>C73813</t>
  </si>
  <si>
    <t>364 Main St</t>
  </si>
  <si>
    <t>TRK89906749</t>
  </si>
  <si>
    <t>ORD200746</t>
  </si>
  <si>
    <t>C32183</t>
  </si>
  <si>
    <t>551 Main St</t>
  </si>
  <si>
    <t>TRK76287027</t>
  </si>
  <si>
    <t>ORD200747</t>
  </si>
  <si>
    <t>C54277</t>
  </si>
  <si>
    <t>940 Main St</t>
  </si>
  <si>
    <t>TRK26500181</t>
  </si>
  <si>
    <t>ORD200748</t>
  </si>
  <si>
    <t>C56553</t>
  </si>
  <si>
    <t>TRK37667360</t>
  </si>
  <si>
    <t>ORD200749</t>
  </si>
  <si>
    <t>C17551</t>
  </si>
  <si>
    <t>997 Main St</t>
  </si>
  <si>
    <t>TRK88797170</t>
  </si>
  <si>
    <t>ORD200750</t>
  </si>
  <si>
    <t>C14737</t>
  </si>
  <si>
    <t>637 Main St</t>
  </si>
  <si>
    <t>TRK10295115</t>
  </si>
  <si>
    <t>ORD200751</t>
  </si>
  <si>
    <t>C35168</t>
  </si>
  <si>
    <t>455 Main St</t>
  </si>
  <si>
    <t>TRK76960854</t>
  </si>
  <si>
    <t>ORD200752</t>
  </si>
  <si>
    <t>C82217</t>
  </si>
  <si>
    <t>TRK33305694</t>
  </si>
  <si>
    <t>ORD200753</t>
  </si>
  <si>
    <t>C42270</t>
  </si>
  <si>
    <t>864 Main St</t>
  </si>
  <si>
    <t>TRK72697796</t>
  </si>
  <si>
    <t>ORD200754</t>
  </si>
  <si>
    <t>C48846</t>
  </si>
  <si>
    <t>983 Main St</t>
  </si>
  <si>
    <t>TRK52804097</t>
  </si>
  <si>
    <t>ORD200755</t>
  </si>
  <si>
    <t>C54160</t>
  </si>
  <si>
    <t>658 Main St</t>
  </si>
  <si>
    <t>TRK60515972</t>
  </si>
  <si>
    <t>ORD200756</t>
  </si>
  <si>
    <t>C14080</t>
  </si>
  <si>
    <t>TRK93163682</t>
  </si>
  <si>
    <t>ORD200757</t>
  </si>
  <si>
    <t>C81074</t>
  </si>
  <si>
    <t>TRK91105190</t>
  </si>
  <si>
    <t>ORD200758</t>
  </si>
  <si>
    <t>C69021</t>
  </si>
  <si>
    <t>TRK57148510</t>
  </si>
  <si>
    <t>ORD200759</t>
  </si>
  <si>
    <t>C96283</t>
  </si>
  <si>
    <t>366 Main St</t>
  </si>
  <si>
    <t>TRK91784124</t>
  </si>
  <si>
    <t>ORD200760</t>
  </si>
  <si>
    <t>C96636</t>
  </si>
  <si>
    <t>TRK73324346</t>
  </si>
  <si>
    <t>ORD200761</t>
  </si>
  <si>
    <t>C37235</t>
  </si>
  <si>
    <t>217 Main St</t>
  </si>
  <si>
    <t>TRK67789367</t>
  </si>
  <si>
    <t>ORD200762</t>
  </si>
  <si>
    <t>C12444</t>
  </si>
  <si>
    <t>TRK97621403</t>
  </si>
  <si>
    <t>ORD200763</t>
  </si>
  <si>
    <t>C79142</t>
  </si>
  <si>
    <t>TRK30915955</t>
  </si>
  <si>
    <t>ORD200764</t>
  </si>
  <si>
    <t>C35983</t>
  </si>
  <si>
    <t>TRK14016163</t>
  </si>
  <si>
    <t>ORD200765</t>
  </si>
  <si>
    <t>C36150</t>
  </si>
  <si>
    <t>TRK96249043</t>
  </si>
  <si>
    <t>ORD200766</t>
  </si>
  <si>
    <t>C91454</t>
  </si>
  <si>
    <t>TRK99985340</t>
  </si>
  <si>
    <t>ORD200767</t>
  </si>
  <si>
    <t>C19368</t>
  </si>
  <si>
    <t>517 Main St</t>
  </si>
  <si>
    <t>TRK80436037</t>
  </si>
  <si>
    <t>ORD200768</t>
  </si>
  <si>
    <t>C35987</t>
  </si>
  <si>
    <t>165 Main St</t>
  </si>
  <si>
    <t>TRK28918815</t>
  </si>
  <si>
    <t>ORD200769</t>
  </si>
  <si>
    <t>C13366</t>
  </si>
  <si>
    <t>TRK98691410</t>
  </si>
  <si>
    <t>ORD200770</t>
  </si>
  <si>
    <t>C72166</t>
  </si>
  <si>
    <t>TRK67733444</t>
  </si>
  <si>
    <t>ORD200771</t>
  </si>
  <si>
    <t>C20357</t>
  </si>
  <si>
    <t>TRK82236408</t>
  </si>
  <si>
    <t>ORD200772</t>
  </si>
  <si>
    <t>C33802</t>
  </si>
  <si>
    <t>461 Main St</t>
  </si>
  <si>
    <t>TRK25799478</t>
  </si>
  <si>
    <t>ORD200773</t>
  </si>
  <si>
    <t>C99205</t>
  </si>
  <si>
    <t>415 Main St</t>
  </si>
  <si>
    <t>TRK48904015</t>
  </si>
  <si>
    <t>ORD200774</t>
  </si>
  <si>
    <t>C29701</t>
  </si>
  <si>
    <t>257 Main St</t>
  </si>
  <si>
    <t>TRK42266846</t>
  </si>
  <si>
    <t>ORD200775</t>
  </si>
  <si>
    <t>C73941</t>
  </si>
  <si>
    <t>TRK22051900</t>
  </si>
  <si>
    <t>ORD200776</t>
  </si>
  <si>
    <t>C69168</t>
  </si>
  <si>
    <t>482 Main St</t>
  </si>
  <si>
    <t>TRK10446197</t>
  </si>
  <si>
    <t>ORD200777</t>
  </si>
  <si>
    <t>C66116</t>
  </si>
  <si>
    <t>TRK41967983</t>
  </si>
  <si>
    <t>ORD200778</t>
  </si>
  <si>
    <t>C85059</t>
  </si>
  <si>
    <t>316 Main St</t>
  </si>
  <si>
    <t>TRK56503740</t>
  </si>
  <si>
    <t>ORD200779</t>
  </si>
  <si>
    <t>C18076</t>
  </si>
  <si>
    <t>751 Main St</t>
  </si>
  <si>
    <t>TRK26661705</t>
  </si>
  <si>
    <t>ORD200780</t>
  </si>
  <si>
    <t>C41284</t>
  </si>
  <si>
    <t>TRK73613128</t>
  </si>
  <si>
    <t>ORD200781</t>
  </si>
  <si>
    <t>C43524</t>
  </si>
  <si>
    <t>TRK51479426</t>
  </si>
  <si>
    <t>ORD200782</t>
  </si>
  <si>
    <t>C58063</t>
  </si>
  <si>
    <t>TRK50548869</t>
  </si>
  <si>
    <t>ORD200783</t>
  </si>
  <si>
    <t>C19937</t>
  </si>
  <si>
    <t>TRK46990083</t>
  </si>
  <si>
    <t>ORD200784</t>
  </si>
  <si>
    <t>C21191</t>
  </si>
  <si>
    <t>TRK85771230</t>
  </si>
  <si>
    <t>ORD200785</t>
  </si>
  <si>
    <t>C45862</t>
  </si>
  <si>
    <t>342 Main St</t>
  </si>
  <si>
    <t>TRK53089983</t>
  </si>
  <si>
    <t>ORD200786</t>
  </si>
  <si>
    <t>C39130</t>
  </si>
  <si>
    <t>774 Main St</t>
  </si>
  <si>
    <t>TRK99583414</t>
  </si>
  <si>
    <t>ORD200787</t>
  </si>
  <si>
    <t>C18167</t>
  </si>
  <si>
    <t>193 Main St</t>
  </si>
  <si>
    <t>TRK36841089</t>
  </si>
  <si>
    <t>ORD200788</t>
  </si>
  <si>
    <t>C47307</t>
  </si>
  <si>
    <t>761 Main St</t>
  </si>
  <si>
    <t>TRK43516112</t>
  </si>
  <si>
    <t>ORD200789</t>
  </si>
  <si>
    <t>C57276</t>
  </si>
  <si>
    <t>183 Main St</t>
  </si>
  <si>
    <t>TRK75899752</t>
  </si>
  <si>
    <t>ORD200790</t>
  </si>
  <si>
    <t>C38928</t>
  </si>
  <si>
    <t>302 Main St</t>
  </si>
  <si>
    <t>TRK96636009</t>
  </si>
  <si>
    <t>ORD200791</t>
  </si>
  <si>
    <t>C49710</t>
  </si>
  <si>
    <t>TRK92591237</t>
  </si>
  <si>
    <t>ORD200792</t>
  </si>
  <si>
    <t>C41709</t>
  </si>
  <si>
    <t>746 Main St</t>
  </si>
  <si>
    <t>TRK90995294</t>
  </si>
  <si>
    <t>ORD200793</t>
  </si>
  <si>
    <t>C91255</t>
  </si>
  <si>
    <t>TRK69599961</t>
  </si>
  <si>
    <t>ORD200794</t>
  </si>
  <si>
    <t>C76653</t>
  </si>
  <si>
    <t>988 Main St</t>
  </si>
  <si>
    <t>TRK77052196</t>
  </si>
  <si>
    <t>ORD200795</t>
  </si>
  <si>
    <t>C95667</t>
  </si>
  <si>
    <t>586 Main St</t>
  </si>
  <si>
    <t>TRK41266666</t>
  </si>
  <si>
    <t>ORD200796</t>
  </si>
  <si>
    <t>C33313</t>
  </si>
  <si>
    <t>TRK13349970</t>
  </si>
  <si>
    <t>ORD200797</t>
  </si>
  <si>
    <t>C36825</t>
  </si>
  <si>
    <t>426 Main St</t>
  </si>
  <si>
    <t>TRK72557318</t>
  </si>
  <si>
    <t>ORD200798</t>
  </si>
  <si>
    <t>C20861</t>
  </si>
  <si>
    <t>TRK89372013</t>
  </si>
  <si>
    <t>ORD200799</t>
  </si>
  <si>
    <t>C26364</t>
  </si>
  <si>
    <t>TRK78924436</t>
  </si>
  <si>
    <t>ORD200800</t>
  </si>
  <si>
    <t>C34686</t>
  </si>
  <si>
    <t>412 Main St</t>
  </si>
  <si>
    <t>TRK99468332</t>
  </si>
  <si>
    <t>ORD200801</t>
  </si>
  <si>
    <t>738 Main St</t>
  </si>
  <si>
    <t>TRK58443593</t>
  </si>
  <si>
    <t>ORD200802</t>
  </si>
  <si>
    <t>C84331</t>
  </si>
  <si>
    <t>205 Main St</t>
  </si>
  <si>
    <t>TRK34440714</t>
  </si>
  <si>
    <t>ORD200803</t>
  </si>
  <si>
    <t>C88775</t>
  </si>
  <si>
    <t>TRK45098068</t>
  </si>
  <si>
    <t>ORD200804</t>
  </si>
  <si>
    <t>C76362</t>
  </si>
  <si>
    <t>916 Main St</t>
  </si>
  <si>
    <t>TRK11868618</t>
  </si>
  <si>
    <t>ORD200805</t>
  </si>
  <si>
    <t>C59278</t>
  </si>
  <si>
    <t>178 Main St</t>
  </si>
  <si>
    <t>TRK14590037</t>
  </si>
  <si>
    <t>ORD200806</t>
  </si>
  <si>
    <t>C55819</t>
  </si>
  <si>
    <t>TRK13775054</t>
  </si>
  <si>
    <t>ORD200807</t>
  </si>
  <si>
    <t>C82344</t>
  </si>
  <si>
    <t>260 Main St</t>
  </si>
  <si>
    <t>TRK70957219</t>
  </si>
  <si>
    <t>ORD200808</t>
  </si>
  <si>
    <t>C65565</t>
  </si>
  <si>
    <t>192 Main St</t>
  </si>
  <si>
    <t>TRK80383756</t>
  </si>
  <si>
    <t>ORD200809</t>
  </si>
  <si>
    <t>C80416</t>
  </si>
  <si>
    <t>TRK54385892</t>
  </si>
  <si>
    <t>ORD200810</t>
  </si>
  <si>
    <t>C23637</t>
  </si>
  <si>
    <t>644 Main St</t>
  </si>
  <si>
    <t>TRK16749863</t>
  </si>
  <si>
    <t>ORD200811</t>
  </si>
  <si>
    <t>C24769</t>
  </si>
  <si>
    <t>TRK44538305</t>
  </si>
  <si>
    <t>ORD200812</t>
  </si>
  <si>
    <t>C81547</t>
  </si>
  <si>
    <t>TRK88437123</t>
  </si>
  <si>
    <t>ORD200813</t>
  </si>
  <si>
    <t>C12813</t>
  </si>
  <si>
    <t>TRK36131660</t>
  </si>
  <si>
    <t>ORD200814</t>
  </si>
  <si>
    <t>C50732</t>
  </si>
  <si>
    <t>979 Main St</t>
  </si>
  <si>
    <t>TRK21082461</t>
  </si>
  <si>
    <t>ORD200815</t>
  </si>
  <si>
    <t>C41320</t>
  </si>
  <si>
    <t>920 Main St</t>
  </si>
  <si>
    <t>TRK77539180</t>
  </si>
  <si>
    <t>ORD200816</t>
  </si>
  <si>
    <t>C55286</t>
  </si>
  <si>
    <t>TRK39058734</t>
  </si>
  <si>
    <t>ORD200817</t>
  </si>
  <si>
    <t>C87994</t>
  </si>
  <si>
    <t>430 Main St</t>
  </si>
  <si>
    <t>TRK98883971</t>
  </si>
  <si>
    <t>ORD200818</t>
  </si>
  <si>
    <t>C25580</t>
  </si>
  <si>
    <t>TRK58781638</t>
  </si>
  <si>
    <t>ORD200819</t>
  </si>
  <si>
    <t>C66196</t>
  </si>
  <si>
    <t>650 Main St</t>
  </si>
  <si>
    <t>TRK38104650</t>
  </si>
  <si>
    <t>ORD200820</t>
  </si>
  <si>
    <t>C35377</t>
  </si>
  <si>
    <t>TRK17342157</t>
  </si>
  <si>
    <t>ORD200821</t>
  </si>
  <si>
    <t>C40771</t>
  </si>
  <si>
    <t>TRK56310345</t>
  </si>
  <si>
    <t>ORD200822</t>
  </si>
  <si>
    <t>C20624</t>
  </si>
  <si>
    <t>TRK45123395</t>
  </si>
  <si>
    <t>ORD200823</t>
  </si>
  <si>
    <t>C27070</t>
  </si>
  <si>
    <t>973 Main St</t>
  </si>
  <si>
    <t>TRK83842481</t>
  </si>
  <si>
    <t>ORD200824</t>
  </si>
  <si>
    <t>C18826</t>
  </si>
  <si>
    <t>664 Main St</t>
  </si>
  <si>
    <t>TRK12530495</t>
  </si>
  <si>
    <t>ORD200825</t>
  </si>
  <si>
    <t>C23899</t>
  </si>
  <si>
    <t>543 Main St</t>
  </si>
  <si>
    <t>TRK88914760</t>
  </si>
  <si>
    <t>ORD200826</t>
  </si>
  <si>
    <t>C43249</t>
  </si>
  <si>
    <t>TRK32469820</t>
  </si>
  <si>
    <t>ORD200827</t>
  </si>
  <si>
    <t>C95856</t>
  </si>
  <si>
    <t>TRK58829625</t>
  </si>
  <si>
    <t>ORD200828</t>
  </si>
  <si>
    <t>C86266</t>
  </si>
  <si>
    <t>510 Main St</t>
  </si>
  <si>
    <t>TRK64576020</t>
  </si>
  <si>
    <t>ORD200829</t>
  </si>
  <si>
    <t>C39551</t>
  </si>
  <si>
    <t>685 Main St</t>
  </si>
  <si>
    <t>TRK68358007</t>
  </si>
  <si>
    <t>ORD200830</t>
  </si>
  <si>
    <t>C90310</t>
  </si>
  <si>
    <t>853 Main St</t>
  </si>
  <si>
    <t>TRK70028457</t>
  </si>
  <si>
    <t>ORD200831</t>
  </si>
  <si>
    <t>C20124</t>
  </si>
  <si>
    <t>TRK61346824</t>
  </si>
  <si>
    <t>ORD200832</t>
  </si>
  <si>
    <t>C63372</t>
  </si>
  <si>
    <t>TRK14661811</t>
  </si>
  <si>
    <t>ORD200833</t>
  </si>
  <si>
    <t>C90595</t>
  </si>
  <si>
    <t>508 Main St</t>
  </si>
  <si>
    <t>TRK96573803</t>
  </si>
  <si>
    <t>ORD200834</t>
  </si>
  <si>
    <t>C98483</t>
  </si>
  <si>
    <t>TRK22084320</t>
  </si>
  <si>
    <t>ORD200835</t>
  </si>
  <si>
    <t>C16429</t>
  </si>
  <si>
    <t>390 Main St</t>
  </si>
  <si>
    <t>TRK73888013</t>
  </si>
  <si>
    <t>ORD200836</t>
  </si>
  <si>
    <t>C31810</t>
  </si>
  <si>
    <t>TRK58725886</t>
  </si>
  <si>
    <t>ORD200837</t>
  </si>
  <si>
    <t>C88029</t>
  </si>
  <si>
    <t>TRK59701278</t>
  </si>
  <si>
    <t>ORD200838</t>
  </si>
  <si>
    <t>C57798</t>
  </si>
  <si>
    <t>TRK68797566</t>
  </si>
  <si>
    <t>ORD200839</t>
  </si>
  <si>
    <t>C82858</t>
  </si>
  <si>
    <t>TRK90618490</t>
  </si>
  <si>
    <t>ORD200840</t>
  </si>
  <si>
    <t>C60699</t>
  </si>
  <si>
    <t>TRK88660574</t>
  </si>
  <si>
    <t>ORD200841</t>
  </si>
  <si>
    <t>C94658</t>
  </si>
  <si>
    <t>742 Main St</t>
  </si>
  <si>
    <t>TRK51732528</t>
  </si>
  <si>
    <t>ORD200842</t>
  </si>
  <si>
    <t>C78305</t>
  </si>
  <si>
    <t>TRK88312618</t>
  </si>
  <si>
    <t>ORD200843</t>
  </si>
  <si>
    <t>C43538</t>
  </si>
  <si>
    <t>534 Main St</t>
  </si>
  <si>
    <t>TRK20961563</t>
  </si>
  <si>
    <t>ORD200844</t>
  </si>
  <si>
    <t>C47486</t>
  </si>
  <si>
    <t>883 Main St</t>
  </si>
  <si>
    <t>TRK75984759</t>
  </si>
  <si>
    <t>ORD200845</t>
  </si>
  <si>
    <t>C24212</t>
  </si>
  <si>
    <t>808 Main St</t>
  </si>
  <si>
    <t>TRK68894675</t>
  </si>
  <si>
    <t>ORD200846</t>
  </si>
  <si>
    <t>C24765</t>
  </si>
  <si>
    <t>646 Main St</t>
  </si>
  <si>
    <t>TRK43977698</t>
  </si>
  <si>
    <t>ORD200847</t>
  </si>
  <si>
    <t>C48176</t>
  </si>
  <si>
    <t>TRK90560300</t>
  </si>
  <si>
    <t>ORD200848</t>
  </si>
  <si>
    <t>C54675</t>
  </si>
  <si>
    <t>TRK18049633</t>
  </si>
  <si>
    <t>ORD200849</t>
  </si>
  <si>
    <t>C16675</t>
  </si>
  <si>
    <t>TRK12756945</t>
  </si>
  <si>
    <t>ORD200850</t>
  </si>
  <si>
    <t>C38557</t>
  </si>
  <si>
    <t>TRK14832238</t>
  </si>
  <si>
    <t>ORD200851</t>
  </si>
  <si>
    <t>C80183</t>
  </si>
  <si>
    <t>TRK20814598</t>
  </si>
  <si>
    <t>ORD200852</t>
  </si>
  <si>
    <t>C39530</t>
  </si>
  <si>
    <t>618 Main St</t>
  </si>
  <si>
    <t>TRK69000497</t>
  </si>
  <si>
    <t>ORD200853</t>
  </si>
  <si>
    <t>C10002</t>
  </si>
  <si>
    <t>TRK94641152</t>
  </si>
  <si>
    <t>ORD200854</t>
  </si>
  <si>
    <t>C56938</t>
  </si>
  <si>
    <t>TRK67735987</t>
  </si>
  <si>
    <t>ORD200855</t>
  </si>
  <si>
    <t>C41331</t>
  </si>
  <si>
    <t>TRK94198179</t>
  </si>
  <si>
    <t>ORD200856</t>
  </si>
  <si>
    <t>C94698</t>
  </si>
  <si>
    <t>TRK95768773</t>
  </si>
  <si>
    <t>ORD200857</t>
  </si>
  <si>
    <t>C56506</t>
  </si>
  <si>
    <t>TRK86808324</t>
  </si>
  <si>
    <t>ORD200858</t>
  </si>
  <si>
    <t>C22167</t>
  </si>
  <si>
    <t>TRK70269748</t>
  </si>
  <si>
    <t>ORD200859</t>
  </si>
  <si>
    <t>C11127</t>
  </si>
  <si>
    <t>TRK73285507</t>
  </si>
  <si>
    <t>ORD200860</t>
  </si>
  <si>
    <t>C69542</t>
  </si>
  <si>
    <t>TRK20746505</t>
  </si>
  <si>
    <t>ORD200861</t>
  </si>
  <si>
    <t>C93276</t>
  </si>
  <si>
    <t>230 Main St</t>
  </si>
  <si>
    <t>TRK44165913</t>
  </si>
  <si>
    <t>ORD200862</t>
  </si>
  <si>
    <t>C37969</t>
  </si>
  <si>
    <t>TRK69852386</t>
  </si>
  <si>
    <t>ORD200863</t>
  </si>
  <si>
    <t>C98276</t>
  </si>
  <si>
    <t>TRK74207282</t>
  </si>
  <si>
    <t>ORD200864</t>
  </si>
  <si>
    <t>C14240</t>
  </si>
  <si>
    <t>592 Main St</t>
  </si>
  <si>
    <t>TRK58095246</t>
  </si>
  <si>
    <t>ORD200865</t>
  </si>
  <si>
    <t>C72241</t>
  </si>
  <si>
    <t>156 Main St</t>
  </si>
  <si>
    <t>TRK76270481</t>
  </si>
  <si>
    <t>ORD200866</t>
  </si>
  <si>
    <t>C39664</t>
  </si>
  <si>
    <t>693 Main St</t>
  </si>
  <si>
    <t>TRK39917741</t>
  </si>
  <si>
    <t>ORD200867</t>
  </si>
  <si>
    <t>C53252</t>
  </si>
  <si>
    <t>351 Main St</t>
  </si>
  <si>
    <t>TRK65831261</t>
  </si>
  <si>
    <t>ORD200868</t>
  </si>
  <si>
    <t>C70452</t>
  </si>
  <si>
    <t>309 Main St</t>
  </si>
  <si>
    <t>TRK42985882</t>
  </si>
  <si>
    <t>ORD200869</t>
  </si>
  <si>
    <t>C29905</t>
  </si>
  <si>
    <t>TRK16788127</t>
  </si>
  <si>
    <t>ORD200870</t>
  </si>
  <si>
    <t>C78725</t>
  </si>
  <si>
    <t>541 Main St</t>
  </si>
  <si>
    <t>TRK72001139</t>
  </si>
  <si>
    <t>ORD200871</t>
  </si>
  <si>
    <t>C93768</t>
  </si>
  <si>
    <t>720 Main St</t>
  </si>
  <si>
    <t>TRK22024707</t>
  </si>
  <si>
    <t>ORD200872</t>
  </si>
  <si>
    <t>C59169</t>
  </si>
  <si>
    <t>TRK90883858</t>
  </si>
  <si>
    <t>ORD200873</t>
  </si>
  <si>
    <t>C53488</t>
  </si>
  <si>
    <t>448 Main St</t>
  </si>
  <si>
    <t>TRK27365050</t>
  </si>
  <si>
    <t>ORD200874</t>
  </si>
  <si>
    <t>C92180</t>
  </si>
  <si>
    <t>TRK93315929</t>
  </si>
  <si>
    <t>ORD200875</t>
  </si>
  <si>
    <t>C25918</t>
  </si>
  <si>
    <t>TRK66473392</t>
  </si>
  <si>
    <t>ORD200876</t>
  </si>
  <si>
    <t>C90363</t>
  </si>
  <si>
    <t>TRK21534173</t>
  </si>
  <si>
    <t>ORD200877</t>
  </si>
  <si>
    <t>C43867</t>
  </si>
  <si>
    <t>TRK97319127</t>
  </si>
  <si>
    <t>ORD200878</t>
  </si>
  <si>
    <t>C73873</t>
  </si>
  <si>
    <t>393 Main St</t>
  </si>
  <si>
    <t>TRK56423132</t>
  </si>
  <si>
    <t>ORD200879</t>
  </si>
  <si>
    <t>C56622</t>
  </si>
  <si>
    <t>TRK86373987</t>
  </si>
  <si>
    <t>ORD200880</t>
  </si>
  <si>
    <t>C85074</t>
  </si>
  <si>
    <t>TRK63133878</t>
  </si>
  <si>
    <t>ORD200881</t>
  </si>
  <si>
    <t>C59579</t>
  </si>
  <si>
    <t>386 Main St</t>
  </si>
  <si>
    <t>TRK48000034</t>
  </si>
  <si>
    <t>ORD200882</t>
  </si>
  <si>
    <t>C43335</t>
  </si>
  <si>
    <t>TRK91848650</t>
  </si>
  <si>
    <t>ORD200883</t>
  </si>
  <si>
    <t>C43595</t>
  </si>
  <si>
    <t>451 Main St</t>
  </si>
  <si>
    <t>TRK25317348</t>
  </si>
  <si>
    <t>ORD200884</t>
  </si>
  <si>
    <t>C71471</t>
  </si>
  <si>
    <t>817 Main St</t>
  </si>
  <si>
    <t>TRK52137079</t>
  </si>
  <si>
    <t>ORD200885</t>
  </si>
  <si>
    <t>C61090</t>
  </si>
  <si>
    <t>387 Main St</t>
  </si>
  <si>
    <t>TRK36388962</t>
  </si>
  <si>
    <t>ORD200886</t>
  </si>
  <si>
    <t>C29620</t>
  </si>
  <si>
    <t>792 Main St</t>
  </si>
  <si>
    <t>TRK22046456</t>
  </si>
  <si>
    <t>ORD200887</t>
  </si>
  <si>
    <t>C67932</t>
  </si>
  <si>
    <t>857 Main St</t>
  </si>
  <si>
    <t>TRK88547534</t>
  </si>
  <si>
    <t>ORD200888</t>
  </si>
  <si>
    <t>C14427</t>
  </si>
  <si>
    <t>833 Main St</t>
  </si>
  <si>
    <t>TRK58024529</t>
  </si>
  <si>
    <t>ORD200889</t>
  </si>
  <si>
    <t>C36725</t>
  </si>
  <si>
    <t>350 Main St</t>
  </si>
  <si>
    <t>TRK16808790</t>
  </si>
  <si>
    <t>ORD200890</t>
  </si>
  <si>
    <t>C51921</t>
  </si>
  <si>
    <t>TRK85741716</t>
  </si>
  <si>
    <t>ORD200891</t>
  </si>
  <si>
    <t>C36534</t>
  </si>
  <si>
    <t>918 Main St</t>
  </si>
  <si>
    <t>TRK38952138</t>
  </si>
  <si>
    <t>ORD200892</t>
  </si>
  <si>
    <t>C72043</t>
  </si>
  <si>
    <t>480 Main St</t>
  </si>
  <si>
    <t>TRK40896408</t>
  </si>
  <si>
    <t>ORD200893</t>
  </si>
  <si>
    <t>C99533</t>
  </si>
  <si>
    <t>TRK55701253</t>
  </si>
  <si>
    <t>ORD200894</t>
  </si>
  <si>
    <t>C90852</t>
  </si>
  <si>
    <t>TRK37551831</t>
  </si>
  <si>
    <t>ORD200895</t>
  </si>
  <si>
    <t>C81882</t>
  </si>
  <si>
    <t>832 Main St</t>
  </si>
  <si>
    <t>TRK62371264</t>
  </si>
  <si>
    <t>ORD200896</t>
  </si>
  <si>
    <t>C85466</t>
  </si>
  <si>
    <t>TRK66764177</t>
  </si>
  <si>
    <t>ORD200897</t>
  </si>
  <si>
    <t>C87995</t>
  </si>
  <si>
    <t>TRK38730545</t>
  </si>
  <si>
    <t>ORD200898</t>
  </si>
  <si>
    <t>C44619</t>
  </si>
  <si>
    <t>TRK66662528</t>
  </si>
  <si>
    <t>ORD200899</t>
  </si>
  <si>
    <t>C99904</t>
  </si>
  <si>
    <t>TRK83843411</t>
  </si>
  <si>
    <t>ORD200900</t>
  </si>
  <si>
    <t>C52342</t>
  </si>
  <si>
    <t>TRK67342586</t>
  </si>
  <si>
    <t>ORD200901</t>
  </si>
  <si>
    <t>C44277</t>
  </si>
  <si>
    <t>TRK79321479</t>
  </si>
  <si>
    <t>ORD200902</t>
  </si>
  <si>
    <t>C61162</t>
  </si>
  <si>
    <t>TRK76712124</t>
  </si>
  <si>
    <t>ORD200903</t>
  </si>
  <si>
    <t>C80868</t>
  </si>
  <si>
    <t>TRK56186636</t>
  </si>
  <si>
    <t>ORD200904</t>
  </si>
  <si>
    <t>C16693</t>
  </si>
  <si>
    <t>TRK41146508</t>
  </si>
  <si>
    <t>ORD200905</t>
  </si>
  <si>
    <t>C67818</t>
  </si>
  <si>
    <t>TRK81978113</t>
  </si>
  <si>
    <t>ORD200906</t>
  </si>
  <si>
    <t>C49938</t>
  </si>
  <si>
    <t>141 Main St</t>
  </si>
  <si>
    <t>TRK80175572</t>
  </si>
  <si>
    <t>ORD200907</t>
  </si>
  <si>
    <t>C90898</t>
  </si>
  <si>
    <t>TRK52935170</t>
  </si>
  <si>
    <t>ORD200908</t>
  </si>
  <si>
    <t>C35117</t>
  </si>
  <si>
    <t>TRK27155709</t>
  </si>
  <si>
    <t>ORD200909</t>
  </si>
  <si>
    <t>C60203</t>
  </si>
  <si>
    <t>TRK76525279</t>
  </si>
  <si>
    <t>ORD200910</t>
  </si>
  <si>
    <t>C36174</t>
  </si>
  <si>
    <t>TRK26397548</t>
  </si>
  <si>
    <t>ORD200911</t>
  </si>
  <si>
    <t>C80872</t>
  </si>
  <si>
    <t>TRK43967487</t>
  </si>
  <si>
    <t>ORD200912</t>
  </si>
  <si>
    <t>C67604</t>
  </si>
  <si>
    <t>TRK85545920</t>
  </si>
  <si>
    <t>ORD200913</t>
  </si>
  <si>
    <t>C45599</t>
  </si>
  <si>
    <t>TRK62277685</t>
  </si>
  <si>
    <t>ORD200914</t>
  </si>
  <si>
    <t>C70352</t>
  </si>
  <si>
    <t>TRK51589589</t>
  </si>
  <si>
    <t>ORD200915</t>
  </si>
  <si>
    <t>C20643</t>
  </si>
  <si>
    <t>939 Main St</t>
  </si>
  <si>
    <t>TRK30736692</t>
  </si>
  <si>
    <t>ORD200916</t>
  </si>
  <si>
    <t>C35669</t>
  </si>
  <si>
    <t>TRK13928455</t>
  </si>
  <si>
    <t>ORD200917</t>
  </si>
  <si>
    <t>C65524</t>
  </si>
  <si>
    <t>836 Main St</t>
  </si>
  <si>
    <t>TRK19315310</t>
  </si>
  <si>
    <t>ORD200918</t>
  </si>
  <si>
    <t>C74359</t>
  </si>
  <si>
    <t>TRK18250450</t>
  </si>
  <si>
    <t>ORD200919</t>
  </si>
  <si>
    <t>C92086</t>
  </si>
  <si>
    <t>TRK23357668</t>
  </si>
  <si>
    <t>ORD200920</t>
  </si>
  <si>
    <t>C26137</t>
  </si>
  <si>
    <t>TRK98110407</t>
  </si>
  <si>
    <t>ORD200921</t>
  </si>
  <si>
    <t>C90573</t>
  </si>
  <si>
    <t>144 Main St</t>
  </si>
  <si>
    <t>TRK90075720</t>
  </si>
  <si>
    <t>ORD200922</t>
  </si>
  <si>
    <t>C81857</t>
  </si>
  <si>
    <t>487 Main St</t>
  </si>
  <si>
    <t>TRK79737732</t>
  </si>
  <si>
    <t>ORD200923</t>
  </si>
  <si>
    <t>C91582</t>
  </si>
  <si>
    <t>TRK99938245</t>
  </si>
  <si>
    <t>ORD200924</t>
  </si>
  <si>
    <t>C81319</t>
  </si>
  <si>
    <t>TRK55330558</t>
  </si>
  <si>
    <t>ORD200925</t>
  </si>
  <si>
    <t>C78500</t>
  </si>
  <si>
    <t>TRK97460884</t>
  </si>
  <si>
    <t>ORD200926</t>
  </si>
  <si>
    <t>C67533</t>
  </si>
  <si>
    <t>TRK14566395</t>
  </si>
  <si>
    <t>ORD200927</t>
  </si>
  <si>
    <t>C35566</t>
  </si>
  <si>
    <t>TRK10003020</t>
  </si>
  <si>
    <t>ORD200928</t>
  </si>
  <si>
    <t>C77166</t>
  </si>
  <si>
    <t>TRK18896595</t>
  </si>
  <si>
    <t>ORD200929</t>
  </si>
  <si>
    <t>C67936</t>
  </si>
  <si>
    <t>TRK71803414</t>
  </si>
  <si>
    <t>ORD200930</t>
  </si>
  <si>
    <t>C59554</t>
  </si>
  <si>
    <t>TRK28182447</t>
  </si>
  <si>
    <t>ORD200931</t>
  </si>
  <si>
    <t>C14005</t>
  </si>
  <si>
    <t>TRK87567926</t>
  </si>
  <si>
    <t>ORD200932</t>
  </si>
  <si>
    <t>C26118</t>
  </si>
  <si>
    <t>168 Main St</t>
  </si>
  <si>
    <t>TRK15334251</t>
  </si>
  <si>
    <t>ORD200933</t>
  </si>
  <si>
    <t>C59685</t>
  </si>
  <si>
    <t>TRK43718093</t>
  </si>
  <si>
    <t>ORD200934</t>
  </si>
  <si>
    <t>C40304</t>
  </si>
  <si>
    <t>TRK85790948</t>
  </si>
  <si>
    <t>ORD200935</t>
  </si>
  <si>
    <t>C39593</t>
  </si>
  <si>
    <t>TRK62405253</t>
  </si>
  <si>
    <t>ORD200936</t>
  </si>
  <si>
    <t>C50612</t>
  </si>
  <si>
    <t>TRK44140968</t>
  </si>
  <si>
    <t>ORD200937</t>
  </si>
  <si>
    <t>C39791</t>
  </si>
  <si>
    <t>TRK46221436</t>
  </si>
  <si>
    <t>ORD200938</t>
  </si>
  <si>
    <t>C39017</t>
  </si>
  <si>
    <t>TRK91155214</t>
  </si>
  <si>
    <t>ORD200939</t>
  </si>
  <si>
    <t>C48510</t>
  </si>
  <si>
    <t>212 Main St</t>
  </si>
  <si>
    <t>TRK53152886</t>
  </si>
  <si>
    <t>ORD200940</t>
  </si>
  <si>
    <t>C74003</t>
  </si>
  <si>
    <t>679 Main St</t>
  </si>
  <si>
    <t>TRK91525779</t>
  </si>
  <si>
    <t>ORD200941</t>
  </si>
  <si>
    <t>TRK82162952</t>
  </si>
  <si>
    <t>ORD200942</t>
  </si>
  <si>
    <t>C17591</t>
  </si>
  <si>
    <t>TRK56070470</t>
  </si>
  <si>
    <t>ORD200943</t>
  </si>
  <si>
    <t>C43330</t>
  </si>
  <si>
    <t>355 Main St</t>
  </si>
  <si>
    <t>TRK71594838</t>
  </si>
  <si>
    <t>ORD200944</t>
  </si>
  <si>
    <t>C32687</t>
  </si>
  <si>
    <t>TRK98284560</t>
  </si>
  <si>
    <t>ORD200945</t>
  </si>
  <si>
    <t>C79722</t>
  </si>
  <si>
    <t>TRK29976438</t>
  </si>
  <si>
    <t>ORD200946</t>
  </si>
  <si>
    <t>C65021</t>
  </si>
  <si>
    <t>TRK20626179</t>
  </si>
  <si>
    <t>ORD200947</t>
  </si>
  <si>
    <t>C85520</t>
  </si>
  <si>
    <t>TRK65994177</t>
  </si>
  <si>
    <t>ORD200948</t>
  </si>
  <si>
    <t>TRK79269291</t>
  </si>
  <si>
    <t>ORD200949</t>
  </si>
  <si>
    <t>C55778</t>
  </si>
  <si>
    <t>TRK93797108</t>
  </si>
  <si>
    <t>ORD200950</t>
  </si>
  <si>
    <t>C19722</t>
  </si>
  <si>
    <t>TRK78094361</t>
  </si>
  <si>
    <t>ORD200951</t>
  </si>
  <si>
    <t>C74928</t>
  </si>
  <si>
    <t>TRK39845914</t>
  </si>
  <si>
    <t>ORD200952</t>
  </si>
  <si>
    <t>C49111</t>
  </si>
  <si>
    <t>225 Main St</t>
  </si>
  <si>
    <t>TRK45303393</t>
  </si>
  <si>
    <t>ORD200953</t>
  </si>
  <si>
    <t>C43721</t>
  </si>
  <si>
    <t>TRK89392104</t>
  </si>
  <si>
    <t>ORD200954</t>
  </si>
  <si>
    <t>C68609</t>
  </si>
  <si>
    <t>TRK58273778</t>
  </si>
  <si>
    <t>ORD200955</t>
  </si>
  <si>
    <t>C82068</t>
  </si>
  <si>
    <t>TRK25779180</t>
  </si>
  <si>
    <t>ORD200956</t>
  </si>
  <si>
    <t>381 Main St</t>
  </si>
  <si>
    <t>TRK86246309</t>
  </si>
  <si>
    <t>ORD200957</t>
  </si>
  <si>
    <t>C73575</t>
  </si>
  <si>
    <t>851 Main St</t>
  </si>
  <si>
    <t>TRK23387612</t>
  </si>
  <si>
    <t>ORD200958</t>
  </si>
  <si>
    <t>C82685</t>
  </si>
  <si>
    <t>TRK70184320</t>
  </si>
  <si>
    <t>ORD200959</t>
  </si>
  <si>
    <t>C73996</t>
  </si>
  <si>
    <t>TRK74579570</t>
  </si>
  <si>
    <t>ORD200960</t>
  </si>
  <si>
    <t>C87687</t>
  </si>
  <si>
    <t>TRK60383805</t>
  </si>
  <si>
    <t>ORD200961</t>
  </si>
  <si>
    <t>C55464</t>
  </si>
  <si>
    <t>TRK81178598</t>
  </si>
  <si>
    <t>ORD200962</t>
  </si>
  <si>
    <t>C12459</t>
  </si>
  <si>
    <t>TRK30674085</t>
  </si>
  <si>
    <t>ORD200963</t>
  </si>
  <si>
    <t>C88075</t>
  </si>
  <si>
    <t>TRK42832976</t>
  </si>
  <si>
    <t>ORD200964</t>
  </si>
  <si>
    <t>C18583</t>
  </si>
  <si>
    <t>TRK43084595</t>
  </si>
  <si>
    <t>ORD200965</t>
  </si>
  <si>
    <t>C70412</t>
  </si>
  <si>
    <t>TRK22192783</t>
  </si>
  <si>
    <t>ORD200966</t>
  </si>
  <si>
    <t>C58503</t>
  </si>
  <si>
    <t>290 Main St</t>
  </si>
  <si>
    <t>TRK12981657</t>
  </si>
  <si>
    <t>ORD200967</t>
  </si>
  <si>
    <t>C52879</t>
  </si>
  <si>
    <t>502 Main St</t>
  </si>
  <si>
    <t>TRK67403284</t>
  </si>
  <si>
    <t>ORD200968</t>
  </si>
  <si>
    <t>C67870</t>
  </si>
  <si>
    <t>TRK72602178</t>
  </si>
  <si>
    <t>ORD200969</t>
  </si>
  <si>
    <t>C19439</t>
  </si>
  <si>
    <t>675 Main St</t>
  </si>
  <si>
    <t>TRK25383993</t>
  </si>
  <si>
    <t>ORD200970</t>
  </si>
  <si>
    <t>C72664</t>
  </si>
  <si>
    <t>241 Main St</t>
  </si>
  <si>
    <t>TRK86694331</t>
  </si>
  <si>
    <t>ORD200971</t>
  </si>
  <si>
    <t>C32650</t>
  </si>
  <si>
    <t>TRK66648743</t>
  </si>
  <si>
    <t>ORD200972</t>
  </si>
  <si>
    <t>C66438</t>
  </si>
  <si>
    <t>816 Main St</t>
  </si>
  <si>
    <t>TRK32035271</t>
  </si>
  <si>
    <t>ORD200973</t>
  </si>
  <si>
    <t>C70010</t>
  </si>
  <si>
    <t>TRK50594008</t>
  </si>
  <si>
    <t>ORD200974</t>
  </si>
  <si>
    <t>C30722</t>
  </si>
  <si>
    <t>TRK52088168</t>
  </si>
  <si>
    <t>ORD200975</t>
  </si>
  <si>
    <t>C70529</t>
  </si>
  <si>
    <t>TRK82165408</t>
  </si>
  <si>
    <t>ORD200976</t>
  </si>
  <si>
    <t>C18984</t>
  </si>
  <si>
    <t>TRK49298239</t>
  </si>
  <si>
    <t>ORD200977</t>
  </si>
  <si>
    <t>C85841</t>
  </si>
  <si>
    <t>608 Main St</t>
  </si>
  <si>
    <t>TRK99820544</t>
  </si>
  <si>
    <t>ORD200978</t>
  </si>
  <si>
    <t>C41508</t>
  </si>
  <si>
    <t>TRK61047536</t>
  </si>
  <si>
    <t>ORD200979</t>
  </si>
  <si>
    <t>C75018</t>
  </si>
  <si>
    <t>TRK51794806</t>
  </si>
  <si>
    <t>ORD200980</t>
  </si>
  <si>
    <t>C84320</t>
  </si>
  <si>
    <t>107 Main St</t>
  </si>
  <si>
    <t>TRK81093218</t>
  </si>
  <si>
    <t>ORD200981</t>
  </si>
  <si>
    <t>C12609</t>
  </si>
  <si>
    <t>490 Main St</t>
  </si>
  <si>
    <t>TRK56379337</t>
  </si>
  <si>
    <t>ORD200982</t>
  </si>
  <si>
    <t>C64935</t>
  </si>
  <si>
    <t>TRK42969065</t>
  </si>
  <si>
    <t>ORD200983</t>
  </si>
  <si>
    <t>C67528</t>
  </si>
  <si>
    <t>110 Main St</t>
  </si>
  <si>
    <t>TRK60865210</t>
  </si>
  <si>
    <t>ORD200984</t>
  </si>
  <si>
    <t>C44176</t>
  </si>
  <si>
    <t>TRK68704764</t>
  </si>
  <si>
    <t>ORD200985</t>
  </si>
  <si>
    <t>C92788</t>
  </si>
  <si>
    <t>TRK83835361</t>
  </si>
  <si>
    <t>ORD200986</t>
  </si>
  <si>
    <t>C69213</t>
  </si>
  <si>
    <t>TRK67837331</t>
  </si>
  <si>
    <t>ORD200987</t>
  </si>
  <si>
    <t>C67387</t>
  </si>
  <si>
    <t>TRK54120003</t>
  </si>
  <si>
    <t>ORD200988</t>
  </si>
  <si>
    <t>C90318</t>
  </si>
  <si>
    <t>TRK52765043</t>
  </si>
  <si>
    <t>ORD200989</t>
  </si>
  <si>
    <t>C49995</t>
  </si>
  <si>
    <t>559 Main St</t>
  </si>
  <si>
    <t>TRK33212013</t>
  </si>
  <si>
    <t>ORD200990</t>
  </si>
  <si>
    <t>C52313</t>
  </si>
  <si>
    <t>913 Main St</t>
  </si>
  <si>
    <t>TRK67368559</t>
  </si>
  <si>
    <t>ORD200991</t>
  </si>
  <si>
    <t>C10211</t>
  </si>
  <si>
    <t>TRK68938335</t>
  </si>
  <si>
    <t>ORD200992</t>
  </si>
  <si>
    <t>C97907</t>
  </si>
  <si>
    <t>TRK89637569</t>
  </si>
  <si>
    <t>ORD200993</t>
  </si>
  <si>
    <t>C61384</t>
  </si>
  <si>
    <t>576 Main St</t>
  </si>
  <si>
    <t>TRK33323210</t>
  </si>
  <si>
    <t>ORD200994</t>
  </si>
  <si>
    <t>C27613</t>
  </si>
  <si>
    <t>TRK63701318</t>
  </si>
  <si>
    <t>ORD200995</t>
  </si>
  <si>
    <t>C99271</t>
  </si>
  <si>
    <t>TRK87832736</t>
  </si>
  <si>
    <t>ORD200996</t>
  </si>
  <si>
    <t>C28648</t>
  </si>
  <si>
    <t>TRK92240846</t>
  </si>
  <si>
    <t>ORD200997</t>
  </si>
  <si>
    <t>C26210</t>
  </si>
  <si>
    <t>TRK40616861</t>
  </si>
  <si>
    <t>ORD200998</t>
  </si>
  <si>
    <t>C90350</t>
  </si>
  <si>
    <t>TRK22824230</t>
  </si>
  <si>
    <t>ORD200999</t>
  </si>
  <si>
    <t>C61957</t>
  </si>
  <si>
    <t>TRK43983841</t>
  </si>
  <si>
    <t>ORD201000</t>
  </si>
  <si>
    <t>C90132</t>
  </si>
  <si>
    <t>582 Main St</t>
  </si>
  <si>
    <t>TRK52664903</t>
  </si>
  <si>
    <t>ORD201001</t>
  </si>
  <si>
    <t>C31371</t>
  </si>
  <si>
    <t>TRK19554327</t>
  </si>
  <si>
    <t>ORD201002</t>
  </si>
  <si>
    <t>C83911</t>
  </si>
  <si>
    <t>TRK33188106</t>
  </si>
  <si>
    <t>ORD201003</t>
  </si>
  <si>
    <t>C84700</t>
  </si>
  <si>
    <t>TRK14706969</t>
  </si>
  <si>
    <t>ORD201004</t>
  </si>
  <si>
    <t>C87529</t>
  </si>
  <si>
    <t>TRK15739505</t>
  </si>
  <si>
    <t>ORD201005</t>
  </si>
  <si>
    <t>C38065</t>
  </si>
  <si>
    <t>TRK11448295</t>
  </si>
  <si>
    <t>ORD201006</t>
  </si>
  <si>
    <t>C27435</t>
  </si>
  <si>
    <t>TRK91458233</t>
  </si>
  <si>
    <t>ORD201007</t>
  </si>
  <si>
    <t>TRK60444502</t>
  </si>
  <si>
    <t>ORD201008</t>
  </si>
  <si>
    <t>C62557</t>
  </si>
  <si>
    <t>TRK12742366</t>
  </si>
  <si>
    <t>ORD201009</t>
  </si>
  <si>
    <t>C54494</t>
  </si>
  <si>
    <t>TRK95958645</t>
  </si>
  <si>
    <t>ORD201010</t>
  </si>
  <si>
    <t>C33729</t>
  </si>
  <si>
    <t>TRK35649833</t>
  </si>
  <si>
    <t>ORD201011</t>
  </si>
  <si>
    <t>C47823</t>
  </si>
  <si>
    <t>TRK22271097</t>
  </si>
  <si>
    <t>ORD201012</t>
  </si>
  <si>
    <t>C84570</t>
  </si>
  <si>
    <t>TRK12551882</t>
  </si>
  <si>
    <t>ORD201013</t>
  </si>
  <si>
    <t>C91123</t>
  </si>
  <si>
    <t>TRK49568409</t>
  </si>
  <si>
    <t>ORD201014</t>
  </si>
  <si>
    <t>C92548</t>
  </si>
  <si>
    <t>TRK21682892</t>
  </si>
  <si>
    <t>ORD201015</t>
  </si>
  <si>
    <t>C97454</t>
  </si>
  <si>
    <t>TRK73249329</t>
  </si>
  <si>
    <t>ORD201016</t>
  </si>
  <si>
    <t>C20257</t>
  </si>
  <si>
    <t>669 Main St</t>
  </si>
  <si>
    <t>TRK62135578</t>
  </si>
  <si>
    <t>ORD201017</t>
  </si>
  <si>
    <t>C51694</t>
  </si>
  <si>
    <t>953 Main St</t>
  </si>
  <si>
    <t>TRK83122112</t>
  </si>
  <si>
    <t>ORD201018</t>
  </si>
  <si>
    <t>C77499</t>
  </si>
  <si>
    <t>209 Main St</t>
  </si>
  <si>
    <t>TRK20703086</t>
  </si>
  <si>
    <t>ORD201019</t>
  </si>
  <si>
    <t>C28386</t>
  </si>
  <si>
    <t>TRK32954229</t>
  </si>
  <si>
    <t>ORD201020</t>
  </si>
  <si>
    <t>C50211</t>
  </si>
  <si>
    <t>TRK47787981</t>
  </si>
  <si>
    <t>ORD201021</t>
  </si>
  <si>
    <t>C74519</t>
  </si>
  <si>
    <t>TRK97351945</t>
  </si>
  <si>
    <t>ORD201022</t>
  </si>
  <si>
    <t>C19071</t>
  </si>
  <si>
    <t>TRK66537096</t>
  </si>
  <si>
    <t>ORD201023</t>
  </si>
  <si>
    <t>C65251</t>
  </si>
  <si>
    <t>TRK32059025</t>
  </si>
  <si>
    <t>ORD201024</t>
  </si>
  <si>
    <t>C90612</t>
  </si>
  <si>
    <t>TRK93022878</t>
  </si>
  <si>
    <t>ORD201025</t>
  </si>
  <si>
    <t>C28406</t>
  </si>
  <si>
    <t>TRK98841457</t>
  </si>
  <si>
    <t>ORD201026</t>
  </si>
  <si>
    <t>C55454</t>
  </si>
  <si>
    <t>TRK13281370</t>
  </si>
  <si>
    <t>ORD201027</t>
  </si>
  <si>
    <t>C93467</t>
  </si>
  <si>
    <t>TRK77377373</t>
  </si>
  <si>
    <t>ORD201028</t>
  </si>
  <si>
    <t>C60042</t>
  </si>
  <si>
    <t>TRK84651559</t>
  </si>
  <si>
    <t>ORD201029</t>
  </si>
  <si>
    <t>C44733</t>
  </si>
  <si>
    <t>TRK41500198</t>
  </si>
  <si>
    <t>ORD201030</t>
  </si>
  <si>
    <t>C61773</t>
  </si>
  <si>
    <t>176 Main St</t>
  </si>
  <si>
    <t>TRK12936357</t>
  </si>
  <si>
    <t>ORD201031</t>
  </si>
  <si>
    <t>C59183</t>
  </si>
  <si>
    <t>136 Main St</t>
  </si>
  <si>
    <t>TRK18129706</t>
  </si>
  <si>
    <t>ORD201032</t>
  </si>
  <si>
    <t>C26188</t>
  </si>
  <si>
    <t>TRK61634201</t>
  </si>
  <si>
    <t>ORD201033</t>
  </si>
  <si>
    <t>C20338</t>
  </si>
  <si>
    <t>331 Main St</t>
  </si>
  <si>
    <t>TRK30654048</t>
  </si>
  <si>
    <t>ORD201034</t>
  </si>
  <si>
    <t>C84524</t>
  </si>
  <si>
    <t>766 Main St</t>
  </si>
  <si>
    <t>TRK76751888</t>
  </si>
  <si>
    <t>ORD201035</t>
  </si>
  <si>
    <t>C70315</t>
  </si>
  <si>
    <t>911 Main St</t>
  </si>
  <si>
    <t>TRK97732085</t>
  </si>
  <si>
    <t>ORD201036</t>
  </si>
  <si>
    <t>C98278</t>
  </si>
  <si>
    <t>TRK49684737</t>
  </si>
  <si>
    <t>ORD201037</t>
  </si>
  <si>
    <t>C32347</t>
  </si>
  <si>
    <t>TRK54073964</t>
  </si>
  <si>
    <t>ORD201038</t>
  </si>
  <si>
    <t>C77961</t>
  </si>
  <si>
    <t>422 Main St</t>
  </si>
  <si>
    <t>TRK28969024</t>
  </si>
  <si>
    <t>ORD201039</t>
  </si>
  <si>
    <t>C49137</t>
  </si>
  <si>
    <t>177 Main St</t>
  </si>
  <si>
    <t>TRK79362428</t>
  </si>
  <si>
    <t>ORD201040</t>
  </si>
  <si>
    <t>C13169</t>
  </si>
  <si>
    <t>TRK66288666</t>
  </si>
  <si>
    <t>ORD201041</t>
  </si>
  <si>
    <t>C21167</t>
  </si>
  <si>
    <t>TRK97737564</t>
  </si>
  <si>
    <t>ORD201042</t>
  </si>
  <si>
    <t>C59724</t>
  </si>
  <si>
    <t>TRK67878272</t>
  </si>
  <si>
    <t>ORD201043</t>
  </si>
  <si>
    <t>C43965</t>
  </si>
  <si>
    <t>TRK94346739</t>
  </si>
  <si>
    <t>ORD201044</t>
  </si>
  <si>
    <t>C63018</t>
  </si>
  <si>
    <t>215 Main St</t>
  </si>
  <si>
    <t>TRK52335337</t>
  </si>
  <si>
    <t>ORD201045</t>
  </si>
  <si>
    <t>C11893</t>
  </si>
  <si>
    <t>671 Main St</t>
  </si>
  <si>
    <t>TRK72012758</t>
  </si>
  <si>
    <t>ORD201046</t>
  </si>
  <si>
    <t>C85421</t>
  </si>
  <si>
    <t>466 Main St</t>
  </si>
  <si>
    <t>TRK16524006</t>
  </si>
  <si>
    <t>ORD201047</t>
  </si>
  <si>
    <t>C81726</t>
  </si>
  <si>
    <t>394 Main St</t>
  </si>
  <si>
    <t>TRK69872994</t>
  </si>
  <si>
    <t>ORD201048</t>
  </si>
  <si>
    <t>C57601</t>
  </si>
  <si>
    <t>889 Main St</t>
  </si>
  <si>
    <t>TRK21153699</t>
  </si>
  <si>
    <t>ORD201049</t>
  </si>
  <si>
    <t>C60575</t>
  </si>
  <si>
    <t>TRK44468232</t>
  </si>
  <si>
    <t>ORD201050</t>
  </si>
  <si>
    <t>C70659</t>
  </si>
  <si>
    <t>TRK49663597</t>
  </si>
  <si>
    <t>ORD201051</t>
  </si>
  <si>
    <t>C35043</t>
  </si>
  <si>
    <t>820 Main St</t>
  </si>
  <si>
    <t>TRK65097450</t>
  </si>
  <si>
    <t>ORD201052</t>
  </si>
  <si>
    <t>C12301</t>
  </si>
  <si>
    <t>493 Main St</t>
  </si>
  <si>
    <t>TRK25145796</t>
  </si>
  <si>
    <t>ORD201053</t>
  </si>
  <si>
    <t>C32798</t>
  </si>
  <si>
    <t>TRK37375451</t>
  </si>
  <si>
    <t>ORD201054</t>
  </si>
  <si>
    <t>C42949</t>
  </si>
  <si>
    <t>TRK46415143</t>
  </si>
  <si>
    <t>ORD201055</t>
  </si>
  <si>
    <t>C10787</t>
  </si>
  <si>
    <t>TRK91512567</t>
  </si>
  <si>
    <t>ORD201056</t>
  </si>
  <si>
    <t>C26152</t>
  </si>
  <si>
    <t>TRK49382455</t>
  </si>
  <si>
    <t>ORD201057</t>
  </si>
  <si>
    <t>C46210</t>
  </si>
  <si>
    <t>TRK81611937</t>
  </si>
  <si>
    <t>ORD201058</t>
  </si>
  <si>
    <t>C32943</t>
  </si>
  <si>
    <t>TRK26949106</t>
  </si>
  <si>
    <t>ORD201059</t>
  </si>
  <si>
    <t>C73629</t>
  </si>
  <si>
    <t>601 Main St</t>
  </si>
  <si>
    <t>TRK11492924</t>
  </si>
  <si>
    <t>ORD201060</t>
  </si>
  <si>
    <t>C38024</t>
  </si>
  <si>
    <t>TRK93370912</t>
  </si>
  <si>
    <t>ORD201061</t>
  </si>
  <si>
    <t>C25445</t>
  </si>
  <si>
    <t>TRK12402431</t>
  </si>
  <si>
    <t>ORD201062</t>
  </si>
  <si>
    <t>C13501</t>
  </si>
  <si>
    <t>TRK65149372</t>
  </si>
  <si>
    <t>ORD201063</t>
  </si>
  <si>
    <t>C42108</t>
  </si>
  <si>
    <t>TRK58407918</t>
  </si>
  <si>
    <t>ORD201064</t>
  </si>
  <si>
    <t>C32121</t>
  </si>
  <si>
    <t>TRK96074264</t>
  </si>
  <si>
    <t>ORD201065</t>
  </si>
  <si>
    <t>C47778</t>
  </si>
  <si>
    <t>TRK79504329</t>
  </si>
  <si>
    <t>ORD201066</t>
  </si>
  <si>
    <t>C10791</t>
  </si>
  <si>
    <t>TRK20321248</t>
  </si>
  <si>
    <t>ORD201067</t>
  </si>
  <si>
    <t>C78959</t>
  </si>
  <si>
    <t>TRK37426359</t>
  </si>
  <si>
    <t>ORD201068</t>
  </si>
  <si>
    <t>C29914</t>
  </si>
  <si>
    <t>469 Main St</t>
  </si>
  <si>
    <t>TRK22073506</t>
  </si>
  <si>
    <t>ORD201069</t>
  </si>
  <si>
    <t>C70506</t>
  </si>
  <si>
    <t>TRK12518384</t>
  </si>
  <si>
    <t>ORD201070</t>
  </si>
  <si>
    <t>C46873</t>
  </si>
  <si>
    <t>TRK10926575</t>
  </si>
  <si>
    <t>ORD201071</t>
  </si>
  <si>
    <t>C94037</t>
  </si>
  <si>
    <t>TRK47536985</t>
  </si>
  <si>
    <t>ORD201072</t>
  </si>
  <si>
    <t>C88644</t>
  </si>
  <si>
    <t>TRK14900878</t>
  </si>
  <si>
    <t>ORD201073</t>
  </si>
  <si>
    <t>C69471</t>
  </si>
  <si>
    <t>TRK11107152</t>
  </si>
  <si>
    <t>ORD201074</t>
  </si>
  <si>
    <t>C21437</t>
  </si>
  <si>
    <t>120 Main St</t>
  </si>
  <si>
    <t>TRK81624772</t>
  </si>
  <si>
    <t>ORD201075</t>
  </si>
  <si>
    <t>C40949</t>
  </si>
  <si>
    <t>TRK43066749</t>
  </si>
  <si>
    <t>ORD201076</t>
  </si>
  <si>
    <t>C99116</t>
  </si>
  <si>
    <t>TRK52711973</t>
  </si>
  <si>
    <t>ORD201077</t>
  </si>
  <si>
    <t>C57861</t>
  </si>
  <si>
    <t>TRK47775217</t>
  </si>
  <si>
    <t>ORD201078</t>
  </si>
  <si>
    <t>C62627</t>
  </si>
  <si>
    <t>TRK90060232</t>
  </si>
  <si>
    <t>ORD201079</t>
  </si>
  <si>
    <t>C89979</t>
  </si>
  <si>
    <t>TRK99055909</t>
  </si>
  <si>
    <t>ORD201080</t>
  </si>
  <si>
    <t>C70613</t>
  </si>
  <si>
    <t>438 Main St</t>
  </si>
  <si>
    <t>TRK33140293</t>
  </si>
  <si>
    <t>ORD201081</t>
  </si>
  <si>
    <t>C55636</t>
  </si>
  <si>
    <t>TRK85897054</t>
  </si>
  <si>
    <t>ORD201082</t>
  </si>
  <si>
    <t>C96595</t>
  </si>
  <si>
    <t>TRK59779174</t>
  </si>
  <si>
    <t>ORD201083</t>
  </si>
  <si>
    <t>C68508</t>
  </si>
  <si>
    <t>TRK98960285</t>
  </si>
  <si>
    <t>ORD201084</t>
  </si>
  <si>
    <t>C45175</t>
  </si>
  <si>
    <t>TRK41792296</t>
  </si>
  <si>
    <t>ORD201085</t>
  </si>
  <si>
    <t>C28049</t>
  </si>
  <si>
    <t>TRK91426444</t>
  </si>
  <si>
    <t>ORD201086</t>
  </si>
  <si>
    <t>C46967</t>
  </si>
  <si>
    <t>401 Main St</t>
  </si>
  <si>
    <t>TRK91439791</t>
  </si>
  <si>
    <t>ORD201087</t>
  </si>
  <si>
    <t>C84134</t>
  </si>
  <si>
    <t>530 Main St</t>
  </si>
  <si>
    <t>TRK48659380</t>
  </si>
  <si>
    <t>ORD201088</t>
  </si>
  <si>
    <t>C49831</t>
  </si>
  <si>
    <t>213 Main St</t>
  </si>
  <si>
    <t>TRK21232601</t>
  </si>
  <si>
    <t>ORD201089</t>
  </si>
  <si>
    <t>C13324</t>
  </si>
  <si>
    <t>TRK66967997</t>
  </si>
  <si>
    <t>ORD201090</t>
  </si>
  <si>
    <t>C61225</t>
  </si>
  <si>
    <t>TRK37022954</t>
  </si>
  <si>
    <t>ORD201091</t>
  </si>
  <si>
    <t>C16400</t>
  </si>
  <si>
    <t>TRK57771859</t>
  </si>
  <si>
    <t>ORD201092</t>
  </si>
  <si>
    <t>C38642</t>
  </si>
  <si>
    <t>TRK47744396</t>
  </si>
  <si>
    <t>ORD201093</t>
  </si>
  <si>
    <t>C86773</t>
  </si>
  <si>
    <t>557 Main St</t>
  </si>
  <si>
    <t>TRK22612240</t>
  </si>
  <si>
    <t>ORD201094</t>
  </si>
  <si>
    <t>C66093</t>
  </si>
  <si>
    <t>615 Main St</t>
  </si>
  <si>
    <t>TRK54950785</t>
  </si>
  <si>
    <t>ORD201095</t>
  </si>
  <si>
    <t>C33051</t>
  </si>
  <si>
    <t>397 Main St</t>
  </si>
  <si>
    <t>TRK92929755</t>
  </si>
  <si>
    <t>ORD201096</t>
  </si>
  <si>
    <t>C18169</t>
  </si>
  <si>
    <t>782 Main St</t>
  </si>
  <si>
    <t>TRK49482923</t>
  </si>
  <si>
    <t>ORD201097</t>
  </si>
  <si>
    <t>C81370</t>
  </si>
  <si>
    <t>344 Main St</t>
  </si>
  <si>
    <t>TRK99682998</t>
  </si>
  <si>
    <t>ORD201098</t>
  </si>
  <si>
    <t>C91103</t>
  </si>
  <si>
    <t>155 Main St</t>
  </si>
  <si>
    <t>TRK91653000</t>
  </si>
  <si>
    <t>ORD201099</t>
  </si>
  <si>
    <t>C21953</t>
  </si>
  <si>
    <t>TRK60774796</t>
  </si>
  <si>
    <t>ORD201100</t>
  </si>
  <si>
    <t>C15146</t>
  </si>
  <si>
    <t>428 Main St</t>
  </si>
  <si>
    <t>TRK79790530</t>
  </si>
  <si>
    <t>ORD201101</t>
  </si>
  <si>
    <t>C43546</t>
  </si>
  <si>
    <t>TRK85871121</t>
  </si>
  <si>
    <t>ORD201102</t>
  </si>
  <si>
    <t>TRK86192984</t>
  </si>
  <si>
    <t>ORD201103</t>
  </si>
  <si>
    <t>C90292</t>
  </si>
  <si>
    <t>TRK26270357</t>
  </si>
  <si>
    <t>ORD201104</t>
  </si>
  <si>
    <t>C17075</t>
  </si>
  <si>
    <t>850 Main St</t>
  </si>
  <si>
    <t>TRK63547510</t>
  </si>
  <si>
    <t>ORD201105</t>
  </si>
  <si>
    <t>C12487</t>
  </si>
  <si>
    <t>TRK23324770</t>
  </si>
  <si>
    <t>ORD201106</t>
  </si>
  <si>
    <t>C34555</t>
  </si>
  <si>
    <t>TRK72859458</t>
  </si>
  <si>
    <t>ORD201107</t>
  </si>
  <si>
    <t>C25110</t>
  </si>
  <si>
    <t>TRK80963328</t>
  </si>
  <si>
    <t>ORD201108</t>
  </si>
  <si>
    <t>C35136</t>
  </si>
  <si>
    <t>462 Main St</t>
  </si>
  <si>
    <t>TRK49753703</t>
  </si>
  <si>
    <t>ORD201109</t>
  </si>
  <si>
    <t>C62277</t>
  </si>
  <si>
    <t>TRK32026174</t>
  </si>
  <si>
    <t>ORD201110</t>
  </si>
  <si>
    <t>C12472</t>
  </si>
  <si>
    <t>TRK36103184</t>
  </si>
  <si>
    <t>ORD201111</t>
  </si>
  <si>
    <t>C24047</t>
  </si>
  <si>
    <t>362 Main St</t>
  </si>
  <si>
    <t>TRK91338580</t>
  </si>
  <si>
    <t>ORD201112</t>
  </si>
  <si>
    <t>C76929</t>
  </si>
  <si>
    <t>TRK80694400</t>
  </si>
  <si>
    <t>ORD201113</t>
  </si>
  <si>
    <t>C52914</t>
  </si>
  <si>
    <t>TRK80819053</t>
  </si>
  <si>
    <t>ORD201114</t>
  </si>
  <si>
    <t>C55164</t>
  </si>
  <si>
    <t>TRK79610967</t>
  </si>
  <si>
    <t>ORD201115</t>
  </si>
  <si>
    <t>C70426</t>
  </si>
  <si>
    <t>TRK89687816</t>
  </si>
  <si>
    <t>ORD201116</t>
  </si>
  <si>
    <t>C69149</t>
  </si>
  <si>
    <t>TRK61265132</t>
  </si>
  <si>
    <t>ORD201117</t>
  </si>
  <si>
    <t>C78684</t>
  </si>
  <si>
    <t>TRK95779073</t>
  </si>
  <si>
    <t>ORD201118</t>
  </si>
  <si>
    <t>C58168</t>
  </si>
  <si>
    <t>TRK99102265</t>
  </si>
  <si>
    <t>ORD201119</t>
  </si>
  <si>
    <t>C99024</t>
  </si>
  <si>
    <t>TRK24675988</t>
  </si>
  <si>
    <t>ORD201120</t>
  </si>
  <si>
    <t>C22919</t>
  </si>
  <si>
    <t>TRK82416295</t>
  </si>
  <si>
    <t>ORD201121</t>
  </si>
  <si>
    <t>C98354</t>
  </si>
  <si>
    <t>TRK43070888</t>
  </si>
  <si>
    <t>ORD201122</t>
  </si>
  <si>
    <t>TRK32496970</t>
  </si>
  <si>
    <t>ORD201123</t>
  </si>
  <si>
    <t>C68936</t>
  </si>
  <si>
    <t>843 Main St</t>
  </si>
  <si>
    <t>TRK73163634</t>
  </si>
  <si>
    <t>ORD201124</t>
  </si>
  <si>
    <t>C33744</t>
  </si>
  <si>
    <t>888 Main St</t>
  </si>
  <si>
    <t>TRK40245983</t>
  </si>
  <si>
    <t>ORD201125</t>
  </si>
  <si>
    <t>C23555</t>
  </si>
  <si>
    <t>TRK67210247</t>
  </si>
  <si>
    <t>ORD201126</t>
  </si>
  <si>
    <t>C34337</t>
  </si>
  <si>
    <t>325 Main St</t>
  </si>
  <si>
    <t>TRK36195559</t>
  </si>
  <si>
    <t>ORD201127</t>
  </si>
  <si>
    <t>C69396</t>
  </si>
  <si>
    <t>TRK33155049</t>
  </si>
  <si>
    <t>ORD201128</t>
  </si>
  <si>
    <t>C49198</t>
  </si>
  <si>
    <t>TRK10883354</t>
  </si>
  <si>
    <t>ORD201129</t>
  </si>
  <si>
    <t>C43911</t>
  </si>
  <si>
    <t>TRK37495481</t>
  </si>
  <si>
    <t>ORD201130</t>
  </si>
  <si>
    <t>C24347</t>
  </si>
  <si>
    <t>TRK27233265</t>
  </si>
  <si>
    <t>ORD201131</t>
  </si>
  <si>
    <t>C21043</t>
  </si>
  <si>
    <t>TRK41691086</t>
  </si>
  <si>
    <t>ORD201132</t>
  </si>
  <si>
    <t>C58858</t>
  </si>
  <si>
    <t>TRK30406357</t>
  </si>
  <si>
    <t>ORD201133</t>
  </si>
  <si>
    <t>C20670</t>
  </si>
  <si>
    <t>TRK76731303</t>
  </si>
  <si>
    <t>ORD201134</t>
  </si>
  <si>
    <t>C90993</t>
  </si>
  <si>
    <t>950 Main St</t>
  </si>
  <si>
    <t>TRK53964711</t>
  </si>
  <si>
    <t>ORD201135</t>
  </si>
  <si>
    <t>C11473</t>
  </si>
  <si>
    <t>TRK97793275</t>
  </si>
  <si>
    <t>ORD201136</t>
  </si>
  <si>
    <t>C71899</t>
  </si>
  <si>
    <t>TRK34856025</t>
  </si>
  <si>
    <t>ORD201137</t>
  </si>
  <si>
    <t>C48577</t>
  </si>
  <si>
    <t>841 Main St</t>
  </si>
  <si>
    <t>TRK59911645</t>
  </si>
  <si>
    <t>ORD201138</t>
  </si>
  <si>
    <t>C13100</t>
  </si>
  <si>
    <t>TRK55565668</t>
  </si>
  <si>
    <t>ORD201139</t>
  </si>
  <si>
    <t>TRK28290825</t>
  </si>
  <si>
    <t>ORD201140</t>
  </si>
  <si>
    <t>C49838</t>
  </si>
  <si>
    <t>TRK38297718</t>
  </si>
  <si>
    <t>ORD201141</t>
  </si>
  <si>
    <t>C11998</t>
  </si>
  <si>
    <t>TRK26707221</t>
  </si>
  <si>
    <t>ORD201142</t>
  </si>
  <si>
    <t>C23405</t>
  </si>
  <si>
    <t>484 Main St</t>
  </si>
  <si>
    <t>TRK83678708</t>
  </si>
  <si>
    <t>ORD201143</t>
  </si>
  <si>
    <t>C41132</t>
  </si>
  <si>
    <t>114 Main St</t>
  </si>
  <si>
    <t>TRK51040137</t>
  </si>
  <si>
    <t>ORD201144</t>
  </si>
  <si>
    <t>C88463</t>
  </si>
  <si>
    <t>292 Main St</t>
  </si>
  <si>
    <t>TRK88749996</t>
  </si>
  <si>
    <t>ORD201145</t>
  </si>
  <si>
    <t>C28152</t>
  </si>
  <si>
    <t>TRK59642814</t>
  </si>
  <si>
    <t>ORD201146</t>
  </si>
  <si>
    <t>C36383</t>
  </si>
  <si>
    <t>TRK93336357</t>
  </si>
  <si>
    <t>ORD201147</t>
  </si>
  <si>
    <t>C19759</t>
  </si>
  <si>
    <t>234 Main St</t>
  </si>
  <si>
    <t>TRK22515454</t>
  </si>
  <si>
    <t>ORD201148</t>
  </si>
  <si>
    <t>C54886</t>
  </si>
  <si>
    <t>442 Main St</t>
  </si>
  <si>
    <t>TRK66241930</t>
  </si>
  <si>
    <t>ORD201149</t>
  </si>
  <si>
    <t>C27305</t>
  </si>
  <si>
    <t>957 Main St</t>
  </si>
  <si>
    <t>TRK28789916</t>
  </si>
  <si>
    <t>ORD201150</t>
  </si>
  <si>
    <t>C17921</t>
  </si>
  <si>
    <t>TRK79291524</t>
  </si>
  <si>
    <t>ORD201151</t>
  </si>
  <si>
    <t>C94381</t>
  </si>
  <si>
    <t>962 Main St</t>
  </si>
  <si>
    <t>TRK69804304</t>
  </si>
  <si>
    <t>ORD201152</t>
  </si>
  <si>
    <t>C25162</t>
  </si>
  <si>
    <t>TRK42183078</t>
  </si>
  <si>
    <t>ORD201153</t>
  </si>
  <si>
    <t>C98317</t>
  </si>
  <si>
    <t>276 Main St</t>
  </si>
  <si>
    <t>TRK37172138</t>
  </si>
  <si>
    <t>ORD201154</t>
  </si>
  <si>
    <t>C53631</t>
  </si>
  <si>
    <t>TRK67589167</t>
  </si>
  <si>
    <t>ORD201155</t>
  </si>
  <si>
    <t>C41478</t>
  </si>
  <si>
    <t>TRK62068126</t>
  </si>
  <si>
    <t>ORD201156</t>
  </si>
  <si>
    <t>C20512</t>
  </si>
  <si>
    <t>TRK98234737</t>
  </si>
  <si>
    <t>ORD201157</t>
  </si>
  <si>
    <t>C25841</t>
  </si>
  <si>
    <t>TRK21451375</t>
  </si>
  <si>
    <t>ORD201158</t>
  </si>
  <si>
    <t>C82781</t>
  </si>
  <si>
    <t>TRK20605418</t>
  </si>
  <si>
    <t>ORD201159</t>
  </si>
  <si>
    <t>C66112</t>
  </si>
  <si>
    <t>TRK60955607</t>
  </si>
  <si>
    <t>ORD201160</t>
  </si>
  <si>
    <t>C40466</t>
  </si>
  <si>
    <t>TRK70255168</t>
  </si>
  <si>
    <t>ORD201161</t>
  </si>
  <si>
    <t>C32570</t>
  </si>
  <si>
    <t>TRK35969968</t>
  </si>
  <si>
    <t>ORD201162</t>
  </si>
  <si>
    <t>C29405</t>
  </si>
  <si>
    <t>251 Main St</t>
  </si>
  <si>
    <t>TRK33125798</t>
  </si>
  <si>
    <t>ORD201163</t>
  </si>
  <si>
    <t>C30643</t>
  </si>
  <si>
    <t>966 Main St</t>
  </si>
  <si>
    <t>TRK19477485</t>
  </si>
  <si>
    <t>ORD201164</t>
  </si>
  <si>
    <t>C65890</t>
  </si>
  <si>
    <t>TRK64530489</t>
  </si>
  <si>
    <t>ORD201165</t>
  </si>
  <si>
    <t>C36992</t>
  </si>
  <si>
    <t>617 Main St</t>
  </si>
  <si>
    <t>TRK63460217</t>
  </si>
  <si>
    <t>ORD201166</t>
  </si>
  <si>
    <t>C95568</t>
  </si>
  <si>
    <t>TRK37075292</t>
  </si>
  <si>
    <t>ORD201167</t>
  </si>
  <si>
    <t>C17966</t>
  </si>
  <si>
    <t>TRK31169396</t>
  </si>
  <si>
    <t>ORD201168</t>
  </si>
  <si>
    <t>C89559</t>
  </si>
  <si>
    <t>297 Main St</t>
  </si>
  <si>
    <t>TRK82838108</t>
  </si>
  <si>
    <t>ORD201169</t>
  </si>
  <si>
    <t>C15849</t>
  </si>
  <si>
    <t>643 Main St</t>
  </si>
  <si>
    <t>TRK26794546</t>
  </si>
  <si>
    <t>ORD201170</t>
  </si>
  <si>
    <t>C94257</t>
  </si>
  <si>
    <t>TRK40220743</t>
  </si>
  <si>
    <t>ORD201171</t>
  </si>
  <si>
    <t>C39911</t>
  </si>
  <si>
    <t>699 Main St</t>
  </si>
  <si>
    <t>TRK80431998</t>
  </si>
  <si>
    <t>ORD201172</t>
  </si>
  <si>
    <t>C28828</t>
  </si>
  <si>
    <t>TRK32550359</t>
  </si>
  <si>
    <t>ORD201173</t>
  </si>
  <si>
    <t>C82921</t>
  </si>
  <si>
    <t>TRK31079911</t>
  </si>
  <si>
    <t>ORD201174</t>
  </si>
  <si>
    <t>C50159</t>
  </si>
  <si>
    <t>105 Main St</t>
  </si>
  <si>
    <t>TRK53737452</t>
  </si>
  <si>
    <t>ORD201175</t>
  </si>
  <si>
    <t>C62512</t>
  </si>
  <si>
    <t>TRK24139954</t>
  </si>
  <si>
    <t>ORD201176</t>
  </si>
  <si>
    <t>C39260</t>
  </si>
  <si>
    <t>374 Main St</t>
  </si>
  <si>
    <t>TRK55587314</t>
  </si>
  <si>
    <t>ORD201177</t>
  </si>
  <si>
    <t>C23917</t>
  </si>
  <si>
    <t>TRK44434536</t>
  </si>
  <si>
    <t>ORD201178</t>
  </si>
  <si>
    <t>C65107</t>
  </si>
  <si>
    <t>TRK10261578</t>
  </si>
  <si>
    <t>ORD201179</t>
  </si>
  <si>
    <t>C84630</t>
  </si>
  <si>
    <t>TRK48054997</t>
  </si>
  <si>
    <t>ORD201180</t>
  </si>
  <si>
    <t>C42235</t>
  </si>
  <si>
    <t>TRK49379882</t>
  </si>
  <si>
    <t>ORD201181</t>
  </si>
  <si>
    <t>C70246</t>
  </si>
  <si>
    <t>TRK45708320</t>
  </si>
  <si>
    <t>ORD201182</t>
  </si>
  <si>
    <t>C18473</t>
  </si>
  <si>
    <t>TRK97834202</t>
  </si>
  <si>
    <t>ORD201183</t>
  </si>
  <si>
    <t>C12607</t>
  </si>
  <si>
    <t>TRK83653396</t>
  </si>
  <si>
    <t>ORD201184</t>
  </si>
  <si>
    <t>C10222</t>
  </si>
  <si>
    <t>TRK86297895</t>
  </si>
  <si>
    <t>ORD201185</t>
  </si>
  <si>
    <t>C77344</t>
  </si>
  <si>
    <t>777 Main St</t>
  </si>
  <si>
    <t>TRK20605055</t>
  </si>
  <si>
    <t>ORD201186</t>
  </si>
  <si>
    <t>C65497</t>
  </si>
  <si>
    <t>676 Main St</t>
  </si>
  <si>
    <t>TRK83702761</t>
  </si>
  <si>
    <t>ORD201187</t>
  </si>
  <si>
    <t>C26340</t>
  </si>
  <si>
    <t>TRK59962703</t>
  </si>
  <si>
    <t>ORD201188</t>
  </si>
  <si>
    <t>C75619</t>
  </si>
  <si>
    <t>924 Main St</t>
  </si>
  <si>
    <t>TRK23086941</t>
  </si>
  <si>
    <t>ORD201189</t>
  </si>
  <si>
    <t>C96136</t>
  </si>
  <si>
    <t>149 Main St</t>
  </si>
  <si>
    <t>TRK60856682</t>
  </si>
  <si>
    <t>ORD201190</t>
  </si>
  <si>
    <t>C46886</t>
  </si>
  <si>
    <t>754 Main St</t>
  </si>
  <si>
    <t>TRK82791646</t>
  </si>
  <si>
    <t>ORD201191</t>
  </si>
  <si>
    <t>C44148</t>
  </si>
  <si>
    <t>TRK67872709</t>
  </si>
  <si>
    <t>ORD201192</t>
  </si>
  <si>
    <t>C72007</t>
  </si>
  <si>
    <t>TRK16240916</t>
  </si>
  <si>
    <t>ORD201193</t>
  </si>
  <si>
    <t>C45104</t>
  </si>
  <si>
    <t>TRK38559816</t>
  </si>
  <si>
    <t>ORD201194</t>
  </si>
  <si>
    <t>C29885</t>
  </si>
  <si>
    <t>TRK62067865</t>
  </si>
  <si>
    <t>ORD201195</t>
  </si>
  <si>
    <t>C21126</t>
  </si>
  <si>
    <t>392 Main St</t>
  </si>
  <si>
    <t>TRK38009181</t>
  </si>
  <si>
    <t>ORD201196</t>
  </si>
  <si>
    <t>C20095</t>
  </si>
  <si>
    <t>TRK69207593</t>
  </si>
  <si>
    <t>ORD201197</t>
  </si>
  <si>
    <t>C79674</t>
  </si>
  <si>
    <t>TRK88039356</t>
  </si>
  <si>
    <t>ORD201198</t>
  </si>
  <si>
    <t>C64753</t>
  </si>
  <si>
    <t>509 Main St</t>
  </si>
  <si>
    <t>TRK71683331</t>
  </si>
  <si>
    <t>ORD201199</t>
  </si>
  <si>
    <t>C57502</t>
  </si>
  <si>
    <t>201 Main St</t>
  </si>
  <si>
    <t>TRK51116746</t>
  </si>
  <si>
    <t>RAW DATA – MIS PROJECT</t>
  </si>
  <si>
    <t>Purpose</t>
  </si>
  <si>
    <t>Clean source transaction table for the E-Commerce Sales &amp; Operations MIS project.</t>
  </si>
  <si>
    <t>Records</t>
  </si>
  <si>
    <t>Original fields</t>
  </si>
  <si>
    <t>OrderID, Date, CustomerID, Product, Quantity, UnitPrice, ShippingAddress, PaymentMethod, OrderStatus, TrackingNumber, ItemsInCart, CouponCode, ReferralSource, TotalPrice</t>
  </si>
  <si>
    <t>Added fields</t>
  </si>
  <si>
    <t>Order Month, Order Year, Revenue Check, Order Flag, Cancelled Flag, Returned Flag</t>
  </si>
  <si>
    <t>Data-quality rule</t>
  </si>
  <si>
    <t>Revenue Check validates TotalPrice against Quantity × UnitPrice.</t>
  </si>
  <si>
    <t>Privacy note</t>
  </si>
  <si>
    <t>ShippingAddress is retained in the raw source for traceability but should not be exposed in public screenshots or dashboard views.</t>
  </si>
  <si>
    <t>Category</t>
  </si>
  <si>
    <t>Price Band</t>
  </si>
  <si>
    <t>Sales Target</t>
  </si>
  <si>
    <t>Electronics</t>
  </si>
  <si>
    <t>High</t>
  </si>
  <si>
    <t>Medium</t>
  </si>
  <si>
    <t>Furniture</t>
  </si>
  <si>
    <t xml:space="preserve">Price Brand </t>
  </si>
  <si>
    <t>E-COMMERCE SALES &amp; OPERATIONS MIS REPORT</t>
  </si>
  <si>
    <t>KPI / Metric</t>
  </si>
  <si>
    <t>Total Orders</t>
  </si>
  <si>
    <t>Total Order Value</t>
  </si>
  <si>
    <t>Average Order Value</t>
  </si>
  <si>
    <t>Total Units Sold</t>
  </si>
  <si>
    <t>Delivered Orders</t>
  </si>
  <si>
    <t>Pending Orders</t>
  </si>
  <si>
    <t>Cancelled Orders</t>
  </si>
  <si>
    <t>Returned Orders</t>
  </si>
  <si>
    <t>Cancellation Rate</t>
  </si>
  <si>
    <t>Return Rate</t>
  </si>
  <si>
    <t>Value</t>
  </si>
  <si>
    <t>Shipped Orders</t>
  </si>
  <si>
    <t>Total Price</t>
  </si>
  <si>
    <t>Sum of Total Price</t>
  </si>
  <si>
    <t>Grand Total</t>
  </si>
  <si>
    <t>Row Labels</t>
  </si>
  <si>
    <t>Apr-2023</t>
  </si>
  <si>
    <t>Apr-2024</t>
  </si>
  <si>
    <t>Apr-2025</t>
  </si>
  <si>
    <t>Aug-2023</t>
  </si>
  <si>
    <t>Aug-2024</t>
  </si>
  <si>
    <t>Dec-2023</t>
  </si>
  <si>
    <t>Dec-2024</t>
  </si>
  <si>
    <t>Feb-2023</t>
  </si>
  <si>
    <t>Feb-2024</t>
  </si>
  <si>
    <t>Feb-2025</t>
  </si>
  <si>
    <t>Jan-2023</t>
  </si>
  <si>
    <t>Jan-2024</t>
  </si>
  <si>
    <t>Jan-2025</t>
  </si>
  <si>
    <t>Jul-2023</t>
  </si>
  <si>
    <t>Jul-2024</t>
  </si>
  <si>
    <t>Jun-2023</t>
  </si>
  <si>
    <t>Jun-2024</t>
  </si>
  <si>
    <t>Jun-2025</t>
  </si>
  <si>
    <t>Mar-2023</t>
  </si>
  <si>
    <t>Mar-2024</t>
  </si>
  <si>
    <t>Mar-2025</t>
  </si>
  <si>
    <t>May-2023</t>
  </si>
  <si>
    <t>May-2024</t>
  </si>
  <si>
    <t>May-2025</t>
  </si>
  <si>
    <t>Nov-2023</t>
  </si>
  <si>
    <t>Nov-2024</t>
  </si>
  <si>
    <t>Oct-2023</t>
  </si>
  <si>
    <t>Oct-2024</t>
  </si>
  <si>
    <t>Sep-2023</t>
  </si>
  <si>
    <t>Sep-2024</t>
  </si>
  <si>
    <t>Count of OrderID</t>
  </si>
  <si>
    <t>E-COMMERCE SALES &amp; OPERATIONS MIS DASHBOARD</t>
  </si>
  <si>
    <t>Average Order</t>
  </si>
  <si>
    <t>Cancellation</t>
  </si>
  <si>
    <t>Month Start</t>
  </si>
  <si>
    <t>MIS CONTROL PANEL</t>
  </si>
  <si>
    <t>Report Name</t>
  </si>
  <si>
    <t>E-Commerce Sales &amp; Operations MIS</t>
  </si>
  <si>
    <t>Refresh and manage the MIS reporting workflow</t>
  </si>
  <si>
    <t>Last Updated</t>
  </si>
  <si>
    <t>Available Actions</t>
  </si>
  <si>
    <t>Refresh MIS Report</t>
  </si>
  <si>
    <t>Reset Dashboard Filters</t>
  </si>
  <si>
    <t>Generate Management Report</t>
  </si>
  <si>
    <t>Last Updated: 01-Oct-2026 08:35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</si>
</sst>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0.00"/>
    <numFmt numFmtId="166" formatCode="[$-14009]dd/mm/yyyy;@"/>
    <numFmt numFmtId="167" formatCode="&quot;₹&quot;\ #,##0.00"/>
  </numFmts>
  <fonts count="12">
    <font>
      <sz val="11"/>
      <color theme="1"/>
      <name val="Calibri"/>
      <family val="2"/>
      <scheme val="minor"/>
    </font>
    <font>
      <b/>
      <sz val="11"/>
      <color theme="1"/>
      <name val="Calibri"/>
      <family val="2"/>
      <scheme val="minor"/>
    </font>
    <font>
      <b/>
      <sz val="11"/>
      <name val="Calibri"/>
      <family val="2"/>
    </font>
    <font>
      <b/>
      <sz val="16"/>
      <name val="Calibri"/>
      <family val="2"/>
    </font>
    <font>
      <b/>
      <sz val="15"/>
      <color theme="3"/>
      <name val="Calibri"/>
      <family val="2"/>
      <scheme val="minor"/>
    </font>
    <font>
      <sz val="10"/>
      <color theme="1"/>
      <name val="Arial Unicode MS"/>
    </font>
    <font>
      <b/>
      <sz val="18"/>
      <color theme="1"/>
      <name val="Calibri"/>
      <family val="2"/>
      <scheme val="minor"/>
    </font>
    <font>
      <sz val="18"/>
      <color theme="1"/>
      <name val="Calibri"/>
      <family val="2"/>
      <scheme val="minor"/>
    </font>
    <font>
      <b/>
      <sz val="24"/>
      <color theme="3"/>
      <name val="Calibri"/>
      <family val="2"/>
      <scheme val="minor"/>
    </font>
    <font>
      <sz val="24"/>
      <color theme="1"/>
      <name val="Calibri"/>
      <family val="2"/>
      <scheme val="minor"/>
    </font>
    <font>
      <b/>
      <sz val="14"/>
      <color theme="1"/>
      <name val="Calibri"/>
      <family val="2"/>
      <scheme val="minor"/>
    </font>
    <font>
      <b/>
      <sz val="12"/>
      <color indexed="8"/>
      <name val="Calibri"/>
      <family val="2"/>
      <scheme val="minor"/>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style="thin">
        <color auto="1"/>
      </right>
      <top/>
      <bottom style="thin">
        <color auto="1"/>
      </bottom>
      <diagonal/>
    </border>
  </borders>
  <cellStyleXfs count="2">
    <xf numFmtId="0" fontId="0" fillId="0" borderId="0"/>
    <xf numFmtId="0" fontId="4" fillId="0" borderId="2" applyNumberFormat="0" applyFill="0" applyAlignment="0" applyProtection="0"/>
  </cellStyleXfs>
  <cellXfs count="32">
    <xf numFmtId="0" fontId="0" fillId="0" borderId="0" xfId="0"/>
    <xf numFmtId="0" fontId="2" fillId="0" borderId="1" xfId="0" applyFont="1" applyBorder="1" applyAlignment="1">
      <alignment horizontal="center" vertical="center"/>
    </xf>
    <xf numFmtId="0" fontId="2" fillId="0" borderId="0" xfId="0" applyFont="1" applyAlignment="1">
      <alignment horizontal="center" vertical="center"/>
    </xf>
    <xf numFmtId="164" fontId="0" fillId="0" borderId="0" xfId="0" applyNumberFormat="1"/>
    <xf numFmtId="165" fontId="0" fillId="0" borderId="0" xfId="0" applyNumberFormat="1"/>
    <xf numFmtId="0" fontId="3" fillId="0" borderId="0" xfId="0" applyFont="1"/>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166" fontId="0" fillId="0" borderId="0" xfId="0" applyNumberFormat="1"/>
    <xf numFmtId="0" fontId="2" fillId="0" borderId="3" xfId="0" applyFont="1" applyBorder="1" applyAlignment="1">
      <alignment horizontal="center" vertical="center"/>
    </xf>
    <xf numFmtId="166" fontId="2" fillId="0" borderId="3" xfId="0" applyNumberFormat="1" applyFont="1" applyBorder="1" applyAlignment="1">
      <alignment horizontal="center" vertical="center"/>
    </xf>
    <xf numFmtId="0" fontId="4" fillId="0" borderId="0" xfId="1" applyBorder="1"/>
    <xf numFmtId="0" fontId="1" fillId="0" borderId="0" xfId="0" applyFont="1" applyAlignment="1">
      <alignment vertical="center" wrapText="1"/>
    </xf>
    <xf numFmtId="0" fontId="5" fillId="0" borderId="0" xfId="0" applyFont="1" applyAlignment="1">
      <alignment vertical="center"/>
    </xf>
    <xf numFmtId="0" fontId="0" fillId="0" borderId="0" xfId="0" pivotButton="1"/>
    <xf numFmtId="0" fontId="0" fillId="0" borderId="0" xfId="0" applyAlignment="1">
      <alignment horizontal="left"/>
    </xf>
    <xf numFmtId="14" fontId="2" fillId="0" borderId="0" xfId="0" applyNumberFormat="1" applyFont="1" applyAlignment="1">
      <alignment horizontal="center" vertical="center"/>
    </xf>
    <xf numFmtId="14" fontId="0" fillId="0" borderId="0" xfId="0" applyNumberFormat="1"/>
    <xf numFmtId="0" fontId="6" fillId="0" borderId="0" xfId="0" applyFont="1"/>
    <xf numFmtId="0" fontId="7" fillId="0" borderId="0" xfId="0" applyFont="1"/>
    <xf numFmtId="167" fontId="6" fillId="0" borderId="0" xfId="0" applyNumberFormat="1" applyFont="1"/>
    <xf numFmtId="2" fontId="6" fillId="0" borderId="0" xfId="0" applyNumberFormat="1" applyFont="1"/>
    <xf numFmtId="10" fontId="6" fillId="0" borderId="0" xfId="0" applyNumberFormat="1" applyFont="1"/>
    <xf numFmtId="17" fontId="2" fillId="0" borderId="3" xfId="0" applyNumberFormat="1" applyFont="1" applyBorder="1" applyAlignment="1">
      <alignment horizontal="center" vertical="center"/>
    </xf>
    <xf numFmtId="17" fontId="0" fillId="0" borderId="0" xfId="0" applyNumberFormat="1"/>
    <xf numFmtId="0" fontId="9" fillId="0" borderId="0" xfId="0" applyFont="1"/>
    <xf numFmtId="4" fontId="6" fillId="0" borderId="0" xfId="0" applyNumberFormat="1" applyFont="1"/>
    <xf numFmtId="0" fontId="0" fillId="0" borderId="0" xfId="0" applyNumberFormat="1"/>
    <xf numFmtId="0" fontId="10" fillId="0" borderId="0" xfId="0" applyFont="1" applyAlignment="1">
      <alignment horizontal="center" vertical="center" wrapText="1"/>
    </xf>
    <xf numFmtId="0" fontId="8" fillId="0" borderId="0" xfId="1" applyFont="1" applyBorder="1" applyAlignment="1">
      <alignment horizontal="left" vertical="center" indent="1"/>
    </xf>
  </cellXfs>
  <cellStyles count="2">
    <cellStyle name="Heading 1" xfId="1" builtinId="16"/>
    <cellStyle name="Normal" xfId="0" builtinId="0"/>
  </cellStyles>
  <dxfs count="19">
    <dxf>
      <fill>
        <patternFill patternType="solid">
          <fgColor rgb="FFFFC7CE"/>
        </patternFill>
      </fill>
    </dxf>
    <dxf>
      <numFmt numFmtId="22" formatCode="mmm/yy"/>
    </dxf>
    <dxf>
      <numFmt numFmtId="19" formatCode="dd/mm/yyyy"/>
    </dxf>
    <dxf>
      <numFmt numFmtId="0" formatCode="General"/>
    </dxf>
    <dxf>
      <numFmt numFmtId="0" formatCode="General"/>
    </dxf>
    <dxf>
      <numFmt numFmtId="0" formatCode="General"/>
    </dxf>
    <dxf>
      <numFmt numFmtId="0" formatCode="General"/>
    </dxf>
    <dxf>
      <numFmt numFmtId="165" formatCode="\₹#,##0.00"/>
    </dxf>
    <dxf>
      <numFmt numFmtId="165" formatCode="\₹#,##0.00"/>
    </dxf>
    <dxf>
      <numFmt numFmtId="166" formatCode="[$-14009]dd/mm/yyyy;@"/>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Macro-Enabled Workbook.xlsm]05_Pivot_Analysis!Monthly Sales</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sz="1400" b="1" i="0" u="none" strike="noStrike" baseline="0">
                <a:solidFill>
                  <a:schemeClr val="tx1"/>
                </a:solidFill>
              </a:rPr>
              <a:t>Monthly Sales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'05_Pivot_Analysis'!$B$3</c:f>
              <c:strCache>
                <c:ptCount val="1"/>
                <c:pt idx="0">
                  <c:v>Total</c:v>
                </c:pt>
              </c:strCache>
            </c:strRef>
          </c:tx>
          <c:spPr>
            <a:ln w="28575" cap="rnd">
              <a:solidFill>
                <a:schemeClr val="accent1"/>
              </a:solidFill>
              <a:round/>
            </a:ln>
            <a:effectLst/>
          </c:spPr>
          <c:marker>
            <c:symbol val="none"/>
          </c:marker>
          <c:cat>
            <c:strRef>
              <c:f>'05_Pivot_Analysis'!$A$4:$A$34</c:f>
              <c:strCache>
                <c:ptCount val="30"/>
                <c:pt idx="0">
                  <c:v>Apr-2023</c:v>
                </c:pt>
                <c:pt idx="1">
                  <c:v>Apr-2024</c:v>
                </c:pt>
                <c:pt idx="2">
                  <c:v>Apr-2025</c:v>
                </c:pt>
                <c:pt idx="3">
                  <c:v>Aug-2023</c:v>
                </c:pt>
                <c:pt idx="4">
                  <c:v>Aug-2024</c:v>
                </c:pt>
                <c:pt idx="5">
                  <c:v>Dec-2023</c:v>
                </c:pt>
                <c:pt idx="6">
                  <c:v>Dec-2024</c:v>
                </c:pt>
                <c:pt idx="7">
                  <c:v>Feb-2023</c:v>
                </c:pt>
                <c:pt idx="8">
                  <c:v>Feb-2024</c:v>
                </c:pt>
                <c:pt idx="9">
                  <c:v>Feb-2025</c:v>
                </c:pt>
                <c:pt idx="10">
                  <c:v>Jan-2023</c:v>
                </c:pt>
                <c:pt idx="11">
                  <c:v>Jan-2024</c:v>
                </c:pt>
                <c:pt idx="12">
                  <c:v>Jan-2025</c:v>
                </c:pt>
                <c:pt idx="13">
                  <c:v>Jul-2023</c:v>
                </c:pt>
                <c:pt idx="14">
                  <c:v>Jul-2024</c:v>
                </c:pt>
                <c:pt idx="15">
                  <c:v>Jun-2023</c:v>
                </c:pt>
                <c:pt idx="16">
                  <c:v>Jun-2024</c:v>
                </c:pt>
                <c:pt idx="17">
                  <c:v>Jun-2025</c:v>
                </c:pt>
                <c:pt idx="18">
                  <c:v>Mar-2023</c:v>
                </c:pt>
                <c:pt idx="19">
                  <c:v>Mar-2024</c:v>
                </c:pt>
                <c:pt idx="20">
                  <c:v>Mar-2025</c:v>
                </c:pt>
                <c:pt idx="21">
                  <c:v>May-2023</c:v>
                </c:pt>
                <c:pt idx="22">
                  <c:v>May-2024</c:v>
                </c:pt>
                <c:pt idx="23">
                  <c:v>May-2025</c:v>
                </c:pt>
                <c:pt idx="24">
                  <c:v>Nov-2023</c:v>
                </c:pt>
                <c:pt idx="25">
                  <c:v>Nov-2024</c:v>
                </c:pt>
                <c:pt idx="26">
                  <c:v>Oct-2023</c:v>
                </c:pt>
                <c:pt idx="27">
                  <c:v>Oct-2024</c:v>
                </c:pt>
                <c:pt idx="28">
                  <c:v>Sep-2023</c:v>
                </c:pt>
                <c:pt idx="29">
                  <c:v>Sep-2024</c:v>
                </c:pt>
              </c:strCache>
            </c:strRef>
          </c:cat>
          <c:val>
            <c:numRef>
              <c:f>'05_Pivot_Analysis'!$B$4:$B$34</c:f>
              <c:numCache>
                <c:formatCode>General</c:formatCode>
                <c:ptCount val="30"/>
                <c:pt idx="0">
                  <c:v>27751.710000000006</c:v>
                </c:pt>
                <c:pt idx="1">
                  <c:v>49613.139999999992</c:v>
                </c:pt>
                <c:pt idx="2">
                  <c:v>31821.200000000001</c:v>
                </c:pt>
                <c:pt idx="3">
                  <c:v>54352.14</c:v>
                </c:pt>
                <c:pt idx="4">
                  <c:v>31991.07</c:v>
                </c:pt>
                <c:pt idx="5">
                  <c:v>43754.729999999981</c:v>
                </c:pt>
                <c:pt idx="6">
                  <c:v>38785.769999999997</c:v>
                </c:pt>
                <c:pt idx="7">
                  <c:v>40117.659999999996</c:v>
                </c:pt>
                <c:pt idx="8">
                  <c:v>36909.570000000014</c:v>
                </c:pt>
                <c:pt idx="9">
                  <c:v>35317.549999999996</c:v>
                </c:pt>
                <c:pt idx="10">
                  <c:v>56685.749999999985</c:v>
                </c:pt>
                <c:pt idx="11">
                  <c:v>38528.079999999994</c:v>
                </c:pt>
                <c:pt idx="12">
                  <c:v>29099.399999999998</c:v>
                </c:pt>
                <c:pt idx="13">
                  <c:v>42820.66</c:v>
                </c:pt>
                <c:pt idx="14">
                  <c:v>42963.98</c:v>
                </c:pt>
                <c:pt idx="15">
                  <c:v>49500.19</c:v>
                </c:pt>
                <c:pt idx="16">
                  <c:v>68068.539999999979</c:v>
                </c:pt>
                <c:pt idx="17">
                  <c:v>53047.399999999994</c:v>
                </c:pt>
                <c:pt idx="18">
                  <c:v>48609.37000000001</c:v>
                </c:pt>
                <c:pt idx="19">
                  <c:v>36030.899999999994</c:v>
                </c:pt>
                <c:pt idx="20">
                  <c:v>39200.660000000011</c:v>
                </c:pt>
                <c:pt idx="21">
                  <c:v>63836.840000000026</c:v>
                </c:pt>
                <c:pt idx="22">
                  <c:v>27909.110000000004</c:v>
                </c:pt>
                <c:pt idx="23">
                  <c:v>43396.639999999992</c:v>
                </c:pt>
                <c:pt idx="24">
                  <c:v>43079.67</c:v>
                </c:pt>
                <c:pt idx="25">
                  <c:v>32413.760000000006</c:v>
                </c:pt>
                <c:pt idx="26">
                  <c:v>52607.85</c:v>
                </c:pt>
                <c:pt idx="27">
                  <c:v>37226.969999999994</c:v>
                </c:pt>
                <c:pt idx="28">
                  <c:v>29526.67</c:v>
                </c:pt>
                <c:pt idx="29">
                  <c:v>39794.979999999996</c:v>
                </c:pt>
              </c:numCache>
            </c:numRef>
          </c:val>
          <c:smooth val="0"/>
          <c:extLst>
            <c:ext xmlns:c16="http://schemas.microsoft.com/office/drawing/2014/chart" uri="{C3380CC4-5D6E-409C-BE32-E72D297353CC}">
              <c16:uniqueId val="{00000000-2706-4B29-89F9-1DBEF7AA0730}"/>
            </c:ext>
          </c:extLst>
        </c:ser>
        <c:dLbls>
          <c:dLblPos val="t"/>
          <c:showLegendKey val="0"/>
          <c:showVal val="0"/>
          <c:showCatName val="0"/>
          <c:showSerName val="0"/>
          <c:showPercent val="0"/>
          <c:showBubbleSize val="0"/>
        </c:dLbls>
        <c:smooth val="0"/>
        <c:axId val="194543023"/>
        <c:axId val="1724699183"/>
      </c:lineChart>
      <c:catAx>
        <c:axId val="19454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699183"/>
        <c:crosses val="autoZero"/>
        <c:auto val="1"/>
        <c:lblAlgn val="ctr"/>
        <c:lblOffset val="100"/>
        <c:noMultiLvlLbl val="0"/>
      </c:catAx>
      <c:valAx>
        <c:axId val="1724699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43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Macro-Enabled Workbook.xlsm]05_Pivot_Analysis!Product Performance</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Product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ln w="31750" cap="rnd">
            <a:solidFill>
              <a:schemeClr val="accent1"/>
            </a:solidFill>
            <a:round/>
          </a:ln>
          <a:effectLst/>
        </c:spPr>
        <c:marker>
          <c:symbol val="circle"/>
          <c:size val="17"/>
          <c:spPr>
            <a:solidFill>
              <a:schemeClr val="accent1"/>
            </a:solidFill>
            <a:ln>
              <a:noFill/>
            </a:ln>
            <a:effectLst/>
          </c:spPr>
        </c:marker>
        <c:dLbl>
          <c:idx val="0"/>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1582343924768"/>
          <c:y val="0.26066470957212678"/>
          <c:w val="0.61055000566135076"/>
          <c:h val="0.45942144685925307"/>
        </c:manualLayout>
      </c:layout>
      <c:lineChart>
        <c:grouping val="standard"/>
        <c:varyColors val="0"/>
        <c:ser>
          <c:idx val="0"/>
          <c:order val="0"/>
          <c:tx>
            <c:strRef>
              <c:f>'05_Pivot_Analysis'!$E$3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dk1">
                          <a:lumMod val="50000"/>
                          <a:lumOff val="50000"/>
                        </a:schemeClr>
                      </a:solidFill>
                    </a:ln>
                    <a:effectLst/>
                  </c:spPr>
                </c15:leaderLines>
              </c:ext>
            </c:extLst>
          </c:dLbls>
          <c:cat>
            <c:strRef>
              <c:f>'05_Pivot_Analysis'!$D$4:$D$11</c:f>
              <c:strCache>
                <c:ptCount val="7"/>
                <c:pt idx="0">
                  <c:v>Chair</c:v>
                </c:pt>
                <c:pt idx="1">
                  <c:v>Desk</c:v>
                </c:pt>
                <c:pt idx="2">
                  <c:v>Laptop</c:v>
                </c:pt>
                <c:pt idx="3">
                  <c:v>Monitor</c:v>
                </c:pt>
                <c:pt idx="4">
                  <c:v>Phone</c:v>
                </c:pt>
                <c:pt idx="5">
                  <c:v>Printer</c:v>
                </c:pt>
                <c:pt idx="6">
                  <c:v>Tablet</c:v>
                </c:pt>
              </c:strCache>
            </c:strRef>
          </c:cat>
          <c:val>
            <c:numRef>
              <c:f>'05_Pivot_Analysis'!$E$4:$E$11</c:f>
              <c:numCache>
                <c:formatCode>General</c:formatCode>
                <c:ptCount val="7"/>
                <c:pt idx="0">
                  <c:v>195620.11000000002</c:v>
                </c:pt>
                <c:pt idx="1">
                  <c:v>167459.93</c:v>
                </c:pt>
                <c:pt idx="2">
                  <c:v>192126.55999999994</c:v>
                </c:pt>
                <c:pt idx="3">
                  <c:v>175651.40999999997</c:v>
                </c:pt>
                <c:pt idx="4">
                  <c:v>151722.39000000001</c:v>
                </c:pt>
                <c:pt idx="5">
                  <c:v>195612.60999999996</c:v>
                </c:pt>
                <c:pt idx="6">
                  <c:v>186568.95000000007</c:v>
                </c:pt>
              </c:numCache>
            </c:numRef>
          </c:val>
          <c:smooth val="0"/>
          <c:extLst>
            <c:ext xmlns:c16="http://schemas.microsoft.com/office/drawing/2014/chart" uri="{C3380CC4-5D6E-409C-BE32-E72D297353CC}">
              <c16:uniqueId val="{00000000-7C44-443F-8137-187355302C60}"/>
            </c:ext>
          </c:extLst>
        </c:ser>
        <c:dLbls>
          <c:dLblPos val="t"/>
          <c:showLegendKey val="0"/>
          <c:showVal val="1"/>
          <c:showCatName val="0"/>
          <c:showSerName val="0"/>
          <c:showPercent val="0"/>
          <c:showBubbleSize val="0"/>
        </c:dLbls>
        <c:marker val="1"/>
        <c:smooth val="0"/>
        <c:axId val="1860153983"/>
        <c:axId val="1724712143"/>
      </c:lineChart>
      <c:catAx>
        <c:axId val="18601539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24712143"/>
        <c:crosses val="autoZero"/>
        <c:auto val="1"/>
        <c:lblAlgn val="ctr"/>
        <c:lblOffset val="100"/>
        <c:noMultiLvlLbl val="0"/>
      </c:catAx>
      <c:valAx>
        <c:axId val="172471214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860153983"/>
        <c:crosses val="autoZero"/>
        <c:crossBetween val="between"/>
      </c:valAx>
      <c:spPr>
        <a:noFill/>
        <a:ln>
          <a:noFill/>
        </a:ln>
        <a:effectLst/>
      </c:spPr>
    </c:plotArea>
    <c:legend>
      <c:legendPos val="r"/>
      <c:layout>
        <c:manualLayout>
          <c:xMode val="edge"/>
          <c:yMode val="edge"/>
          <c:x val="0.76142826344281112"/>
          <c:y val="0.35546926598849277"/>
          <c:w val="0.18676268766583515"/>
          <c:h val="0.2303958706958455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Macro-Enabled Workbook.xlsm]05_Pivot_Analysis!Order Status Analysis</c:name>
    <c:fmtId val="8"/>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sz="1400" b="1" i="0" u="none" strike="noStrike" baseline="0">
                <a:solidFill>
                  <a:schemeClr val="tx1"/>
                </a:solidFill>
              </a:rPr>
              <a:t>Order Status Distribution</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s>
    <c:plotArea>
      <c:layout/>
      <c:doughnutChart>
        <c:varyColors val="1"/>
        <c:ser>
          <c:idx val="0"/>
          <c:order val="0"/>
          <c:tx>
            <c:strRef>
              <c:f>'05_Pivot_Analysis'!$H$3</c:f>
              <c:strCache>
                <c:ptCount val="1"/>
                <c:pt idx="0">
                  <c:v>Count of OrderID</c:v>
                </c:pt>
              </c:strCache>
            </c:strRef>
          </c:tx>
          <c:dPt>
            <c:idx val="0"/>
            <c:bubble3D val="0"/>
            <c:spPr>
              <a:solidFill>
                <a:schemeClr val="accent1"/>
              </a:solidFill>
              <a:ln>
                <a:noFill/>
              </a:ln>
              <a:effectLst/>
            </c:spPr>
            <c:extLst>
              <c:ext xmlns:c16="http://schemas.microsoft.com/office/drawing/2014/chart" uri="{C3380CC4-5D6E-409C-BE32-E72D297353CC}">
                <c16:uniqueId val="{00000001-29DD-4447-922B-A9935440F9E9}"/>
              </c:ext>
            </c:extLst>
          </c:dPt>
          <c:dPt>
            <c:idx val="1"/>
            <c:bubble3D val="0"/>
            <c:spPr>
              <a:solidFill>
                <a:schemeClr val="accent2"/>
              </a:solidFill>
              <a:ln>
                <a:noFill/>
              </a:ln>
              <a:effectLst/>
            </c:spPr>
            <c:extLst>
              <c:ext xmlns:c16="http://schemas.microsoft.com/office/drawing/2014/chart" uri="{C3380CC4-5D6E-409C-BE32-E72D297353CC}">
                <c16:uniqueId val="{00000003-29DD-4447-922B-A9935440F9E9}"/>
              </c:ext>
            </c:extLst>
          </c:dPt>
          <c:dPt>
            <c:idx val="2"/>
            <c:bubble3D val="0"/>
            <c:spPr>
              <a:solidFill>
                <a:schemeClr val="accent3"/>
              </a:solidFill>
              <a:ln>
                <a:noFill/>
              </a:ln>
              <a:effectLst/>
            </c:spPr>
            <c:extLst>
              <c:ext xmlns:c16="http://schemas.microsoft.com/office/drawing/2014/chart" uri="{C3380CC4-5D6E-409C-BE32-E72D297353CC}">
                <c16:uniqueId val="{00000005-29DD-4447-922B-A9935440F9E9}"/>
              </c:ext>
            </c:extLst>
          </c:dPt>
          <c:dPt>
            <c:idx val="3"/>
            <c:bubble3D val="0"/>
            <c:spPr>
              <a:solidFill>
                <a:schemeClr val="accent4"/>
              </a:solidFill>
              <a:ln>
                <a:noFill/>
              </a:ln>
              <a:effectLst/>
            </c:spPr>
            <c:extLst>
              <c:ext xmlns:c16="http://schemas.microsoft.com/office/drawing/2014/chart" uri="{C3380CC4-5D6E-409C-BE32-E72D297353CC}">
                <c16:uniqueId val="{00000007-29DD-4447-922B-A9935440F9E9}"/>
              </c:ext>
            </c:extLst>
          </c:dPt>
          <c:dPt>
            <c:idx val="4"/>
            <c:bubble3D val="0"/>
            <c:spPr>
              <a:solidFill>
                <a:schemeClr val="accent5"/>
              </a:solidFill>
              <a:ln>
                <a:noFill/>
              </a:ln>
              <a:effectLst/>
            </c:spPr>
            <c:extLst>
              <c:ext xmlns:c16="http://schemas.microsoft.com/office/drawing/2014/chart" uri="{C3380CC4-5D6E-409C-BE32-E72D297353CC}">
                <c16:uniqueId val="{00000009-29DD-4447-922B-A9935440F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'05_Pivot_Analysis'!$G$4:$G$9</c:f>
              <c:strCache>
                <c:ptCount val="5"/>
                <c:pt idx="0">
                  <c:v>Cancelled</c:v>
                </c:pt>
                <c:pt idx="1">
                  <c:v>Delivered</c:v>
                </c:pt>
                <c:pt idx="2">
                  <c:v>Pending</c:v>
                </c:pt>
                <c:pt idx="3">
                  <c:v>Returned</c:v>
                </c:pt>
                <c:pt idx="4">
                  <c:v>Shipped</c:v>
                </c:pt>
              </c:strCache>
            </c:strRef>
          </c:cat>
          <c:val>
            <c:numRef>
              <c:f>'05_Pivot_Analysis'!$H$4:$H$9</c:f>
              <c:numCache>
                <c:formatCode>General</c:formatCode>
                <c:ptCount val="5"/>
                <c:pt idx="0">
                  <c:v>250</c:v>
                </c:pt>
                <c:pt idx="1">
                  <c:v>231</c:v>
                </c:pt>
                <c:pt idx="2">
                  <c:v>237</c:v>
                </c:pt>
                <c:pt idx="3">
                  <c:v>247</c:v>
                </c:pt>
                <c:pt idx="4">
                  <c:v>235</c:v>
                </c:pt>
              </c:numCache>
            </c:numRef>
          </c:val>
          <c:extLst>
            <c:ext xmlns:c16="http://schemas.microsoft.com/office/drawing/2014/chart" uri="{C3380CC4-5D6E-409C-BE32-E72D297353CC}">
              <c16:uniqueId val="{0000000A-29DD-4447-922B-A9935440F9E9}"/>
            </c:ext>
          </c:extLst>
        </c:ser>
        <c:ser>
          <c:idx val="1"/>
          <c:order val="1"/>
          <c:tx>
            <c:strRef>
              <c:f>'05_Pivot_Analysis'!$I$3</c:f>
              <c:strCache>
                <c:ptCount val="1"/>
                <c:pt idx="0">
                  <c:v>Sum of Total Price</c:v>
                </c:pt>
              </c:strCache>
            </c:strRef>
          </c:tx>
          <c:dPt>
            <c:idx val="0"/>
            <c:bubble3D val="0"/>
            <c:spPr>
              <a:solidFill>
                <a:schemeClr val="accent1"/>
              </a:solidFill>
              <a:ln>
                <a:noFill/>
              </a:ln>
              <a:effectLst/>
            </c:spPr>
            <c:extLst>
              <c:ext xmlns:c16="http://schemas.microsoft.com/office/drawing/2014/chart" uri="{C3380CC4-5D6E-409C-BE32-E72D297353CC}">
                <c16:uniqueId val="{0000000C-29DD-4447-922B-A9935440F9E9}"/>
              </c:ext>
            </c:extLst>
          </c:dPt>
          <c:dPt>
            <c:idx val="1"/>
            <c:bubble3D val="0"/>
            <c:spPr>
              <a:solidFill>
                <a:schemeClr val="accent2"/>
              </a:solidFill>
              <a:ln>
                <a:noFill/>
              </a:ln>
              <a:effectLst/>
            </c:spPr>
            <c:extLst>
              <c:ext xmlns:c16="http://schemas.microsoft.com/office/drawing/2014/chart" uri="{C3380CC4-5D6E-409C-BE32-E72D297353CC}">
                <c16:uniqueId val="{0000000E-29DD-4447-922B-A9935440F9E9}"/>
              </c:ext>
            </c:extLst>
          </c:dPt>
          <c:dPt>
            <c:idx val="2"/>
            <c:bubble3D val="0"/>
            <c:spPr>
              <a:solidFill>
                <a:schemeClr val="accent3"/>
              </a:solidFill>
              <a:ln>
                <a:noFill/>
              </a:ln>
              <a:effectLst/>
            </c:spPr>
            <c:extLst>
              <c:ext xmlns:c16="http://schemas.microsoft.com/office/drawing/2014/chart" uri="{C3380CC4-5D6E-409C-BE32-E72D297353CC}">
                <c16:uniqueId val="{00000010-29DD-4447-922B-A9935440F9E9}"/>
              </c:ext>
            </c:extLst>
          </c:dPt>
          <c:dPt>
            <c:idx val="3"/>
            <c:bubble3D val="0"/>
            <c:spPr>
              <a:solidFill>
                <a:schemeClr val="accent4"/>
              </a:solidFill>
              <a:ln>
                <a:noFill/>
              </a:ln>
              <a:effectLst/>
            </c:spPr>
            <c:extLst>
              <c:ext xmlns:c16="http://schemas.microsoft.com/office/drawing/2014/chart" uri="{C3380CC4-5D6E-409C-BE32-E72D297353CC}">
                <c16:uniqueId val="{00000012-29DD-4447-922B-A9935440F9E9}"/>
              </c:ext>
            </c:extLst>
          </c:dPt>
          <c:dPt>
            <c:idx val="4"/>
            <c:bubble3D val="0"/>
            <c:spPr>
              <a:solidFill>
                <a:schemeClr val="accent5"/>
              </a:solidFill>
              <a:ln>
                <a:noFill/>
              </a:ln>
              <a:effectLst/>
            </c:spPr>
            <c:extLst>
              <c:ext xmlns:c16="http://schemas.microsoft.com/office/drawing/2014/chart" uri="{C3380CC4-5D6E-409C-BE32-E72D297353CC}">
                <c16:uniqueId val="{00000014-29DD-4447-922B-A9935440F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'05_Pivot_Analysis'!$G$4:$G$9</c:f>
              <c:strCache>
                <c:ptCount val="5"/>
                <c:pt idx="0">
                  <c:v>Cancelled</c:v>
                </c:pt>
                <c:pt idx="1">
                  <c:v>Delivered</c:v>
                </c:pt>
                <c:pt idx="2">
                  <c:v>Pending</c:v>
                </c:pt>
                <c:pt idx="3">
                  <c:v>Returned</c:v>
                </c:pt>
                <c:pt idx="4">
                  <c:v>Shipped</c:v>
                </c:pt>
              </c:strCache>
            </c:strRef>
          </c:cat>
          <c:val>
            <c:numRef>
              <c:f>'05_Pivot_Analysis'!$I$4:$I$9</c:f>
              <c:numCache>
                <c:formatCode>General</c:formatCode>
                <c:ptCount val="5"/>
                <c:pt idx="0">
                  <c:v>276396.20999999996</c:v>
                </c:pt>
                <c:pt idx="1">
                  <c:v>242600.31999999998</c:v>
                </c:pt>
                <c:pt idx="2">
                  <c:v>256328.15000000002</c:v>
                </c:pt>
                <c:pt idx="3">
                  <c:v>243277.70000000013</c:v>
                </c:pt>
                <c:pt idx="4">
                  <c:v>246159.57999999987</c:v>
                </c:pt>
              </c:numCache>
            </c:numRef>
          </c:val>
          <c:extLst>
            <c:ext xmlns:c16="http://schemas.microsoft.com/office/drawing/2014/chart" uri="{C3380CC4-5D6E-409C-BE32-E72D297353CC}">
              <c16:uniqueId val="{00000015-29DD-4447-922B-A9935440F9E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Macro-Enabled Workbook.xlsm]05_Pivot_Analysis!Referral Source</c:name>
    <c:fmtId val="11"/>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Sales by Referral</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09997983265668"/>
          <c:y val="0.10618388922017145"/>
          <c:w val="0.56470372252412426"/>
          <c:h val="0.80350422683752276"/>
        </c:manualLayout>
      </c:layout>
      <c:barChart>
        <c:barDir val="bar"/>
        <c:grouping val="clustered"/>
        <c:varyColors val="0"/>
        <c:ser>
          <c:idx val="0"/>
          <c:order val="0"/>
          <c:tx>
            <c:strRef>
              <c:f>'05_Pivot_Analysis'!$L$3</c:f>
              <c:strCache>
                <c:ptCount val="1"/>
                <c:pt idx="0">
                  <c:v>Total</c:v>
                </c:pt>
              </c:strCache>
            </c:strRef>
          </c:tx>
          <c:spPr>
            <a:solidFill>
              <a:schemeClr val="accent1"/>
            </a:solidFill>
            <a:ln>
              <a:noFill/>
            </a:ln>
            <a:effectLst/>
          </c:spPr>
          <c:invertIfNegative val="0"/>
          <c:cat>
            <c:strRef>
              <c:f>'05_Pivot_Analysis'!$K$4:$K$9</c:f>
              <c:strCache>
                <c:ptCount val="5"/>
                <c:pt idx="0">
                  <c:v>Email</c:v>
                </c:pt>
                <c:pt idx="1">
                  <c:v>Facebook</c:v>
                </c:pt>
                <c:pt idx="2">
                  <c:v>Google</c:v>
                </c:pt>
                <c:pt idx="3">
                  <c:v>Instagram</c:v>
                </c:pt>
                <c:pt idx="4">
                  <c:v>Referral</c:v>
                </c:pt>
              </c:strCache>
            </c:strRef>
          </c:cat>
          <c:val>
            <c:numRef>
              <c:f>'05_Pivot_Analysis'!$L$4:$L$9</c:f>
              <c:numCache>
                <c:formatCode>General</c:formatCode>
                <c:ptCount val="5"/>
                <c:pt idx="0">
                  <c:v>261808.55000000002</c:v>
                </c:pt>
                <c:pt idx="1">
                  <c:v>250410.9</c:v>
                </c:pt>
                <c:pt idx="2">
                  <c:v>250441.47999999998</c:v>
                </c:pt>
                <c:pt idx="3">
                  <c:v>275285.45000000007</c:v>
                </c:pt>
                <c:pt idx="4">
                  <c:v>226815.5799999999</c:v>
                </c:pt>
              </c:numCache>
            </c:numRef>
          </c:val>
          <c:extLst>
            <c:ext xmlns:c16="http://schemas.microsoft.com/office/drawing/2014/chart" uri="{C3380CC4-5D6E-409C-BE32-E72D297353CC}">
              <c16:uniqueId val="{00000000-569C-4E8C-8922-A4A745DEA191}"/>
            </c:ext>
          </c:extLst>
        </c:ser>
        <c:dLbls>
          <c:showLegendKey val="0"/>
          <c:showVal val="0"/>
          <c:showCatName val="0"/>
          <c:showSerName val="0"/>
          <c:showPercent val="0"/>
          <c:showBubbleSize val="0"/>
        </c:dLbls>
        <c:gapWidth val="219"/>
        <c:axId val="1889302975"/>
        <c:axId val="1724767343"/>
      </c:barChart>
      <c:valAx>
        <c:axId val="172476734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9302975"/>
        <c:crosses val="autoZero"/>
        <c:crossBetween val="between"/>
      </c:valAx>
      <c:catAx>
        <c:axId val="188930297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767343"/>
        <c:crosses val="autoZero"/>
        <c:auto val="1"/>
        <c:lblAlgn val="ctr"/>
        <c:lblOffset val="100"/>
        <c:noMultiLvlLbl val="0"/>
      </c:catAx>
      <c:spPr>
        <a:noFill/>
        <a:ln>
          <a:noFill/>
        </a:ln>
        <a:effectLst/>
      </c:spPr>
    </c:plotArea>
    <c:legend>
      <c:legendPos val="r"/>
      <c:layout>
        <c:manualLayout>
          <c:xMode val="edge"/>
          <c:yMode val="edge"/>
          <c:x val="0.8736628488638607"/>
          <c:y val="0.87171024804834341"/>
          <c:w val="0.10315839455779829"/>
          <c:h val="3.72252090419259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Macro-Enabled Workbook.xlsm]05_Pivot_Analysis!Payment Method</c:name>
    <c:fmtId val="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Orders by Payment Method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59809693726368E-2"/>
          <c:y val="0.11620187282557669"/>
          <c:w val="0.88929004941597078"/>
          <c:h val="0.81111864065594041"/>
        </c:manualLayout>
      </c:layout>
      <c:barChart>
        <c:barDir val="col"/>
        <c:grouping val="clustered"/>
        <c:varyColors val="0"/>
        <c:ser>
          <c:idx val="0"/>
          <c:order val="0"/>
          <c:tx>
            <c:strRef>
              <c:f>'05_Pivot_Analysis'!$AF$3</c:f>
              <c:strCache>
                <c:ptCount val="1"/>
                <c:pt idx="0">
                  <c:v>Total</c:v>
                </c:pt>
              </c:strCache>
            </c:strRef>
          </c:tx>
          <c:spPr>
            <a:solidFill>
              <a:schemeClr val="accent1"/>
            </a:solidFill>
            <a:ln>
              <a:noFill/>
            </a:ln>
            <a:effectLst/>
          </c:spPr>
          <c:invertIfNegative val="0"/>
          <c:cat>
            <c:strRef>
              <c:f>'05_Pivot_Analysis'!$AE$4:$AE$9</c:f>
              <c:strCache>
                <c:ptCount val="5"/>
                <c:pt idx="0">
                  <c:v>Cash</c:v>
                </c:pt>
                <c:pt idx="1">
                  <c:v>Credit Card</c:v>
                </c:pt>
                <c:pt idx="2">
                  <c:v>Debit Card</c:v>
                </c:pt>
                <c:pt idx="3">
                  <c:v>Gift Card</c:v>
                </c:pt>
                <c:pt idx="4">
                  <c:v>Online</c:v>
                </c:pt>
              </c:strCache>
            </c:strRef>
          </c:cat>
          <c:val>
            <c:numRef>
              <c:f>'05_Pivot_Analysis'!$AF$4:$AF$9</c:f>
              <c:numCache>
                <c:formatCode>General</c:formatCode>
                <c:ptCount val="5"/>
                <c:pt idx="0">
                  <c:v>246</c:v>
                </c:pt>
                <c:pt idx="1">
                  <c:v>234</c:v>
                </c:pt>
                <c:pt idx="2">
                  <c:v>232</c:v>
                </c:pt>
                <c:pt idx="3">
                  <c:v>230</c:v>
                </c:pt>
                <c:pt idx="4">
                  <c:v>258</c:v>
                </c:pt>
              </c:numCache>
            </c:numRef>
          </c:val>
          <c:extLst>
            <c:ext xmlns:c16="http://schemas.microsoft.com/office/drawing/2014/chart" uri="{C3380CC4-5D6E-409C-BE32-E72D297353CC}">
              <c16:uniqueId val="{00000000-0CCB-49E0-A73C-C3BE91E1E5BD}"/>
            </c:ext>
          </c:extLst>
        </c:ser>
        <c:dLbls>
          <c:showLegendKey val="0"/>
          <c:showVal val="0"/>
          <c:showCatName val="0"/>
          <c:showSerName val="0"/>
          <c:showPercent val="0"/>
          <c:showBubbleSize val="0"/>
        </c:dLbls>
        <c:gapWidth val="219"/>
        <c:axId val="1880923567"/>
        <c:axId val="1724723183"/>
      </c:barChart>
      <c:catAx>
        <c:axId val="1880923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723183"/>
        <c:crosses val="autoZero"/>
        <c:auto val="1"/>
        <c:lblAlgn val="ctr"/>
        <c:lblOffset val="100"/>
        <c:noMultiLvlLbl val="0"/>
      </c:catAx>
      <c:valAx>
        <c:axId val="1724723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effectLst>
                  <a:innerShdw blurRad="63500" dist="50800" dir="18900000">
                    <a:prstClr val="black">
                      <a:alpha val="50000"/>
                    </a:prstClr>
                  </a:innerShdw>
                </a:effectLst>
                <a:latin typeface="+mn-lt"/>
                <a:ea typeface="+mn-ea"/>
                <a:cs typeface="+mn-cs"/>
              </a:defRPr>
            </a:pPr>
            <a:endParaRPr lang="en-US"/>
          </a:p>
        </c:txPr>
        <c:crossAx val="1880923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30479</xdr:colOff>
      <xdr:row>8</xdr:row>
      <xdr:rowOff>17722</xdr:rowOff>
    </xdr:from>
    <xdr:to>
      <xdr:col>7</xdr:col>
      <xdr:colOff>53163</xdr:colOff>
      <xdr:row>26</xdr:row>
      <xdr:rowOff>141768</xdr:rowOff>
    </xdr:to>
    <xdr:graphicFrame macro="">
      <xdr:nvGraphicFramePr>
        <xdr:cNvPr id="2" name="Chart 1">
          <a:extLst>
            <a:ext uri="{FF2B5EF4-FFF2-40B4-BE49-F238E27FC236}">
              <a16:creationId xmlns:a16="http://schemas.microsoft.com/office/drawing/2014/main" id="{053E88DC-6C14-4A0B-8912-54D464954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584791</xdr:colOff>
      <xdr:row>7</xdr:row>
      <xdr:rowOff>152045</xdr:rowOff>
    </xdr:from>
    <xdr:to>
      <xdr:col>16</xdr:col>
      <xdr:colOff>73175</xdr:colOff>
      <xdr:row>26</xdr:row>
      <xdr:rowOff>124046</xdr:rowOff>
    </xdr:to>
    <xdr:graphicFrame macro="">
      <xdr:nvGraphicFramePr>
        <xdr:cNvPr id="3" name="Chart 2">
          <a:extLst>
            <a:ext uri="{FF2B5EF4-FFF2-40B4-BE49-F238E27FC236}">
              <a16:creationId xmlns:a16="http://schemas.microsoft.com/office/drawing/2014/main" id="{B3430139-102B-4687-B9F9-4575D3C7B6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35442</xdr:colOff>
      <xdr:row>30</xdr:row>
      <xdr:rowOff>159311</xdr:rowOff>
    </xdr:from>
    <xdr:to>
      <xdr:col>7</xdr:col>
      <xdr:colOff>35442</xdr:colOff>
      <xdr:row>50</xdr:row>
      <xdr:rowOff>0</xdr:rowOff>
    </xdr:to>
    <xdr:graphicFrame macro="">
      <xdr:nvGraphicFramePr>
        <xdr:cNvPr id="4" name="Chart 3">
          <a:extLst>
            <a:ext uri="{FF2B5EF4-FFF2-40B4-BE49-F238E27FC236}">
              <a16:creationId xmlns:a16="http://schemas.microsoft.com/office/drawing/2014/main" id="{9E400199-B3B9-422D-B1C2-107F47A25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17720</xdr:colOff>
      <xdr:row>31</xdr:row>
      <xdr:rowOff>17721</xdr:rowOff>
    </xdr:from>
    <xdr:to>
      <xdr:col>16</xdr:col>
      <xdr:colOff>70883</xdr:colOff>
      <xdr:row>49</xdr:row>
      <xdr:rowOff>159488</xdr:rowOff>
    </xdr:to>
    <xdr:graphicFrame macro="">
      <xdr:nvGraphicFramePr>
        <xdr:cNvPr id="5" name="Chart 4">
          <a:extLst>
            <a:ext uri="{FF2B5EF4-FFF2-40B4-BE49-F238E27FC236}">
              <a16:creationId xmlns:a16="http://schemas.microsoft.com/office/drawing/2014/main" id="{1F33434F-9366-4A93-998F-249BE51CBE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538272</xdr:colOff>
      <xdr:row>51</xdr:row>
      <xdr:rowOff>171450</xdr:rowOff>
    </xdr:from>
    <xdr:to>
      <xdr:col>15</xdr:col>
      <xdr:colOff>247649</xdr:colOff>
      <xdr:row>73</xdr:row>
      <xdr:rowOff>34111</xdr:rowOff>
    </xdr:to>
    <xdr:graphicFrame macro="">
      <xdr:nvGraphicFramePr>
        <xdr:cNvPr id="6" name="Chart 5">
          <a:extLst>
            <a:ext uri="{FF2B5EF4-FFF2-40B4-BE49-F238E27FC236}">
              <a16:creationId xmlns:a16="http://schemas.microsoft.com/office/drawing/2014/main" id="{B2E537E1-E46E-4AF3-A975-A19C45423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77445</xdr:colOff>
      <xdr:row>7</xdr:row>
      <xdr:rowOff>153340</xdr:rowOff>
    </xdr:from>
    <xdr:to>
      <xdr:col>19</xdr:col>
      <xdr:colOff>60277</xdr:colOff>
      <xdr:row>21</xdr:row>
      <xdr:rowOff>72733</xdr:rowOff>
    </xdr:to>
    <mc:AlternateContent xmlns:mc="http://schemas.openxmlformats.org/markup-compatibility/2006">
      <mc:Choice xmlns:a14="http://schemas.microsoft.com/office/drawing/2010/main" Requires="a14">
        <xdr:graphicFrame macro="">
          <xdr:nvGraphicFramePr>
            <xdr:cNvPr id="15" name="Product 1">
              <a:extLst>
                <a:ext uri="{FF2B5EF4-FFF2-40B4-BE49-F238E27FC236}">
                  <a16:creationId xmlns:a16="http://schemas.microsoft.com/office/drawing/2014/main" id="{F2443382-04FF-56CD-100A-7E20FA73ACE8}"/>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dr:sp macro="" textlink="">
          <xdr:nvSpPr>
            <xdr:cNvPr id="0" name=""/>
            <xdr:cNvSpPr>
              <a:spLocks noTextEdit="1"/>
            </xdr:cNvSpPr>
          </xdr:nvSpPr>
          <xdr:spPr>
            <a:xfrm>
              <a:off x="14827588" y="1858769"/>
              <a:ext cx="1833403" cy="24593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253967</xdr:colOff>
      <xdr:row>51</xdr:row>
      <xdr:rowOff>130402</xdr:rowOff>
    </xdr:from>
    <xdr:to>
      <xdr:col>17</xdr:col>
      <xdr:colOff>221364</xdr:colOff>
      <xdr:row>61</xdr:row>
      <xdr:rowOff>18143</xdr:rowOff>
    </xdr:to>
    <mc:AlternateContent xmlns:mc="http://schemas.openxmlformats.org/markup-compatibility/2006">
      <mc:Choice xmlns:a14="http://schemas.microsoft.com/office/drawing/2010/main" Requires="a14">
        <xdr:graphicFrame macro="">
          <xdr:nvGraphicFramePr>
            <xdr:cNvPr id="16" name="PaymentMethod 1">
              <a:extLst>
                <a:ext uri="{FF2B5EF4-FFF2-40B4-BE49-F238E27FC236}">
                  <a16:creationId xmlns:a16="http://schemas.microsoft.com/office/drawing/2014/main" id="{760A4C44-174C-1927-F037-E4A1D68B7C2D}"/>
                </a:ext>
              </a:extLst>
            </xdr:cNvPr>
            <xdr:cNvGraphicFramePr/>
          </xdr:nvGraphicFramePr>
          <xdr:xfrm>
            <a:off x="0" y="0"/>
            <a:ext cx="0" cy="0"/>
          </xdr:xfrm>
          <a:graphic>
            <a:graphicData uri="http://schemas.microsoft.com/office/drawing/2010/slicer">
              <sle:slicer xmlns:sle="http://schemas.microsoft.com/office/drawing/2010/slicer" name="PaymentMethod 1"/>
            </a:graphicData>
          </a:graphic>
        </xdr:graphicFrame>
      </mc:Choice>
      <mc:Fallback>
        <xdr:sp macro="" textlink="">
          <xdr:nvSpPr>
            <xdr:cNvPr id="0" name=""/>
            <xdr:cNvSpPr>
              <a:spLocks noTextEdit="1"/>
            </xdr:cNvSpPr>
          </xdr:nvSpPr>
          <xdr:spPr>
            <a:xfrm>
              <a:off x="13752253" y="9818688"/>
              <a:ext cx="1836111" cy="17020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207886</xdr:colOff>
      <xdr:row>36</xdr:row>
      <xdr:rowOff>118980</xdr:rowOff>
    </xdr:from>
    <xdr:to>
      <xdr:col>6</xdr:col>
      <xdr:colOff>707572</xdr:colOff>
      <xdr:row>46</xdr:row>
      <xdr:rowOff>18143</xdr:rowOff>
    </xdr:to>
    <mc:AlternateContent xmlns:mc="http://schemas.openxmlformats.org/markup-compatibility/2006">
      <mc:Choice xmlns:a14="http://schemas.microsoft.com/office/drawing/2010/main" Requires="a14">
        <xdr:graphicFrame macro="">
          <xdr:nvGraphicFramePr>
            <xdr:cNvPr id="17" name="OrderStatus 1">
              <a:extLst>
                <a:ext uri="{FF2B5EF4-FFF2-40B4-BE49-F238E27FC236}">
                  <a16:creationId xmlns:a16="http://schemas.microsoft.com/office/drawing/2014/main" id="{CAD0CFAF-CD2F-DCD2-4933-5D22BF0B6537}"/>
                </a:ext>
              </a:extLst>
            </xdr:cNvPr>
            <xdr:cNvGraphicFramePr/>
          </xdr:nvGraphicFramePr>
          <xdr:xfrm>
            <a:off x="0" y="0"/>
            <a:ext cx="0" cy="0"/>
          </xdr:xfrm>
          <a:graphic>
            <a:graphicData uri="http://schemas.microsoft.com/office/drawing/2010/slicer">
              <sle:slicer xmlns:sle="http://schemas.microsoft.com/office/drawing/2010/slicer" name="OrderStatus 1"/>
            </a:graphicData>
          </a:graphic>
        </xdr:graphicFrame>
      </mc:Choice>
      <mc:Fallback>
        <xdr:sp macro="" textlink="">
          <xdr:nvSpPr>
            <xdr:cNvPr id="0" name=""/>
            <xdr:cNvSpPr>
              <a:spLocks noTextEdit="1"/>
            </xdr:cNvSpPr>
          </xdr:nvSpPr>
          <xdr:spPr>
            <a:xfrm>
              <a:off x="4489600" y="7085837"/>
              <a:ext cx="1660829" cy="1713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75690</xdr:colOff>
      <xdr:row>31</xdr:row>
      <xdr:rowOff>35528</xdr:rowOff>
    </xdr:from>
    <xdr:to>
      <xdr:col>16</xdr:col>
      <xdr:colOff>41193</xdr:colOff>
      <xdr:row>40</xdr:row>
      <xdr:rowOff>108859</xdr:rowOff>
    </xdr:to>
    <mc:AlternateContent xmlns:mc="http://schemas.openxmlformats.org/markup-compatibility/2006">
      <mc:Choice xmlns:a14="http://schemas.microsoft.com/office/drawing/2010/main" Requires="a14">
        <xdr:graphicFrame macro="">
          <xdr:nvGraphicFramePr>
            <xdr:cNvPr id="18" name="ReferralSource 1">
              <a:extLst>
                <a:ext uri="{FF2B5EF4-FFF2-40B4-BE49-F238E27FC236}">
                  <a16:creationId xmlns:a16="http://schemas.microsoft.com/office/drawing/2014/main" id="{B16F3939-C650-E961-E779-CE65FAF6D86B}"/>
                </a:ext>
              </a:extLst>
            </xdr:cNvPr>
            <xdr:cNvGraphicFramePr/>
          </xdr:nvGraphicFramePr>
          <xdr:xfrm>
            <a:off x="0" y="0"/>
            <a:ext cx="0" cy="0"/>
          </xdr:xfrm>
          <a:graphic>
            <a:graphicData uri="http://schemas.microsoft.com/office/drawing/2010/slicer">
              <sle:slicer xmlns:sle="http://schemas.microsoft.com/office/drawing/2010/slicer" name="ReferralSource 1"/>
            </a:graphicData>
          </a:graphic>
        </xdr:graphicFrame>
      </mc:Choice>
      <mc:Fallback>
        <xdr:sp macro="" textlink="">
          <xdr:nvSpPr>
            <xdr:cNvPr id="0" name=""/>
            <xdr:cNvSpPr>
              <a:spLocks noTextEdit="1"/>
            </xdr:cNvSpPr>
          </xdr:nvSpPr>
          <xdr:spPr>
            <a:xfrm>
              <a:off x="12957119" y="6095242"/>
              <a:ext cx="1834217" cy="17061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7620</xdr:colOff>
          <xdr:row>9</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1" i="0" u="none" strike="noStrike" baseline="0">
                  <a:solidFill>
                    <a:srgbClr val="000000"/>
                  </a:solidFill>
                  <a:latin typeface="Calibri"/>
                  <a:ea typeface="Calibri"/>
                  <a:cs typeface="Calibri"/>
                </a:rPr>
                <a:t>Refresh MIS Report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dha" refreshedDate="46296.358265509261" createdVersion="8" refreshedVersion="8" minRefreshableVersion="3" recordCount="1200" xr:uid="{DB974AFE-F9D2-448E-BCA5-4988641D84FF}">
  <cacheSource type="worksheet">
    <worksheetSource name="tblEnriched"/>
  </cacheSource>
  <cacheFields count="18">
    <cacheField name="OrderID" numFmtId="0">
      <sharedItems/>
    </cacheField>
    <cacheField name="Date" numFmtId="166">
      <sharedItems containsSemiMixedTypes="0" containsNonDate="0" containsDate="1" containsString="0" minDate="2023-01-01T00:00:00" maxDate="2025-07-01T00:00:00"/>
    </cacheField>
    <cacheField name="CustomerID" numFmtId="0">
      <sharedItems/>
    </cacheField>
    <cacheField name="Product" numFmtId="0">
      <sharedItems count="7">
        <s v="Monitor"/>
        <s v="Phone"/>
        <s v="Tablet"/>
        <s v="Chair"/>
        <s v="Printer"/>
        <s v="Laptop"/>
        <s v="Desk"/>
      </sharedItems>
    </cacheField>
    <cacheField name="Quantity" numFmtId="0">
      <sharedItems containsSemiMixedTypes="0" containsString="0" containsNumber="1" containsInteger="1" minValue="1" maxValue="5"/>
    </cacheField>
    <cacheField name="UnitPrice" numFmtId="165">
      <sharedItems containsSemiMixedTypes="0" containsString="0" containsNumber="1" minValue="11.39" maxValue="699.93"/>
    </cacheField>
    <cacheField name="PaymentMethod" numFmtId="0">
      <sharedItems count="5">
        <s v="Debit Card"/>
        <s v="Online"/>
        <s v="Credit Card"/>
        <s v="Gift Card"/>
        <s v="Cash"/>
      </sharedItems>
    </cacheField>
    <cacheField name="OrderStatus" numFmtId="0">
      <sharedItems count="5">
        <s v="Shipped"/>
        <s v="Cancelled"/>
        <s v="Returned"/>
        <s v="Delivered"/>
        <s v="Pending"/>
      </sharedItems>
    </cacheField>
    <cacheField name="ItemsInCart" numFmtId="0">
      <sharedItems containsSemiMixedTypes="0" containsString="0" containsNumber="1" containsInteger="1" minValue="1" maxValue="10"/>
    </cacheField>
    <cacheField name="CouponCode" numFmtId="0">
      <sharedItems containsBlank="1"/>
    </cacheField>
    <cacheField name="ReferralSource" numFmtId="0">
      <sharedItems count="5">
        <s v="Instagram"/>
        <s v="Referral"/>
        <s v="Email"/>
        <s v="Facebook"/>
        <s v="Google"/>
      </sharedItems>
    </cacheField>
    <cacheField name="TotalPrice" numFmtId="165">
      <sharedItems containsSemiMixedTypes="0" containsString="0" containsNumber="1" minValue="11.39" maxValue="3456.4"/>
    </cacheField>
    <cacheField name="Category" numFmtId="0">
      <sharedItems/>
    </cacheField>
    <cacheField name="Price Brand " numFmtId="0">
      <sharedItems/>
    </cacheField>
    <cacheField name="Sales Target" numFmtId="0">
      <sharedItems containsSemiMixedTypes="0" containsString="0" containsNumber="1" containsInteger="1" minValue="70000" maxValue="150000"/>
    </cacheField>
    <cacheField name="Total Price" numFmtId="0">
      <sharedItems containsSemiMixedTypes="0" containsString="0" containsNumber="1" minValue="11.39" maxValue="3456.4"/>
    </cacheField>
    <cacheField name="Order Month" numFmtId="14">
      <sharedItems count="30">
        <s v="Jan-2023"/>
        <s v="Aug-2024"/>
        <s v="Feb-2024"/>
        <s v="Oct-2023"/>
        <s v="May-2025"/>
        <s v="Jun-2025"/>
        <s v="May-2023"/>
        <s v="Apr-2025"/>
        <s v="Nov-2023"/>
        <s v="Dec-2023"/>
        <s v="Oct-2024"/>
        <s v="Aug-2023"/>
        <s v="Mar-2023"/>
        <s v="Jul-2023"/>
        <s v="Mar-2024"/>
        <s v="Mar-2025"/>
        <s v="Nov-2024"/>
        <s v="Jul-2024"/>
        <s v="Sep-2024"/>
        <s v="Jun-2023"/>
        <s v="Dec-2024"/>
        <s v="Feb-2025"/>
        <s v="May-2024"/>
        <s v="Jun-2024"/>
        <s v="Sep-2023"/>
        <s v="Jan-2024"/>
        <s v="Feb-2023"/>
        <s v="Jan-2025"/>
        <s v="Apr-2024"/>
        <s v="Apr-2023"/>
      </sharedItems>
    </cacheField>
    <cacheField name="Month Start" numFmtId="17">
      <sharedItems containsSemiMixedTypes="0" containsNonDate="0" containsDate="1" containsString="0" minDate="2023-01-01T00:00:00" maxDate="2025-06-02T00:00:00"/>
    </cacheField>
  </cacheFields>
  <extLst>
    <ext xmlns:x14="http://schemas.microsoft.com/office/spreadsheetml/2009/9/main" uri="{725AE2AE-9491-48be-B2B4-4EB974FC3084}">
      <x14:pivotCacheDefinition pivotCacheId="17646982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
  <r>
    <s v="ORD200000"/>
    <d v="2023-01-04T00:00:00"/>
    <s v="C72649"/>
    <x v="0"/>
    <n v="5"/>
    <n v="570.62"/>
    <x v="0"/>
    <x v="0"/>
    <n v="7"/>
    <s v="SAVE10"/>
    <x v="0"/>
    <n v="2853.1"/>
    <s v="Electronics"/>
    <s v="Medium"/>
    <n v="90000"/>
    <n v="2853.1"/>
    <x v="0"/>
    <d v="2023-01-01T00:00:00"/>
  </r>
  <r>
    <s v="ORD200001"/>
    <d v="2024-08-23T00:00:00"/>
    <s v="C75739"/>
    <x v="1"/>
    <n v="2"/>
    <n v="151.35"/>
    <x v="1"/>
    <x v="0"/>
    <n v="3"/>
    <s v="SAVE10"/>
    <x v="1"/>
    <n v="302.7"/>
    <s v="Electronics"/>
    <s v="High"/>
    <n v="120000"/>
    <n v="302.7"/>
    <x v="1"/>
    <d v="2024-08-01T00:00:00"/>
  </r>
  <r>
    <s v="ORD200002"/>
    <d v="2024-02-27T00:00:00"/>
    <s v="C81728"/>
    <x v="2"/>
    <n v="5"/>
    <n v="550.67999999999995"/>
    <x v="2"/>
    <x v="1"/>
    <n v="8"/>
    <s v="FREESHIP"/>
    <x v="2"/>
    <n v="2753.4"/>
    <s v="Electronics"/>
    <s v="Medium"/>
    <n v="100000"/>
    <n v="2753.4"/>
    <x v="2"/>
    <d v="2024-02-01T00:00:00"/>
  </r>
  <r>
    <s v="ORD200003"/>
    <d v="2023-10-15T00:00:00"/>
    <s v="C33540"/>
    <x v="3"/>
    <n v="1"/>
    <n v="273.19"/>
    <x v="0"/>
    <x v="2"/>
    <n v="5"/>
    <s v="SAVE10"/>
    <x v="3"/>
    <n v="273.19"/>
    <s v="Furniture"/>
    <s v="Medium"/>
    <n v="70000"/>
    <n v="273.19"/>
    <x v="3"/>
    <d v="2023-10-01T00:00:00"/>
  </r>
  <r>
    <s v="ORD200004"/>
    <d v="2025-05-08T00:00:00"/>
    <s v="C81840"/>
    <x v="4"/>
    <n v="4"/>
    <n v="626.01"/>
    <x v="1"/>
    <x v="3"/>
    <n v="8"/>
    <s v="SAVE10"/>
    <x v="2"/>
    <n v="2504.04"/>
    <s v="Electronics"/>
    <s v="Medium"/>
    <n v="80000"/>
    <n v="2504.04"/>
    <x v="4"/>
    <d v="2025-05-01T00:00:00"/>
  </r>
  <r>
    <s v="ORD200005"/>
    <d v="2023-10-23T00:00:00"/>
    <s v="C37249"/>
    <x v="1"/>
    <n v="2"/>
    <n v="245.86"/>
    <x v="2"/>
    <x v="0"/>
    <n v="4"/>
    <s v="SAVE10"/>
    <x v="0"/>
    <n v="491.72"/>
    <s v="Electronics"/>
    <s v="High"/>
    <n v="120000"/>
    <n v="491.72"/>
    <x v="3"/>
    <d v="2023-10-01T00:00:00"/>
  </r>
  <r>
    <s v="ORD200006"/>
    <d v="2025-06-17T00:00:00"/>
    <s v="C83492"/>
    <x v="5"/>
    <n v="1"/>
    <n v="664.42"/>
    <x v="3"/>
    <x v="2"/>
    <n v="6"/>
    <s v="SAVE10"/>
    <x v="3"/>
    <n v="664.42"/>
    <s v="Electronics"/>
    <s v="High"/>
    <n v="150000"/>
    <n v="664.42"/>
    <x v="5"/>
    <d v="2025-06-01T00:00:00"/>
  </r>
  <r>
    <s v="ORD200007"/>
    <d v="2023-05-12T00:00:00"/>
    <s v="C41460"/>
    <x v="0"/>
    <n v="5"/>
    <n v="149.55000000000001"/>
    <x v="4"/>
    <x v="0"/>
    <n v="9"/>
    <s v="FREESHIP"/>
    <x v="3"/>
    <n v="747.75"/>
    <s v="Electronics"/>
    <s v="Medium"/>
    <n v="90000"/>
    <n v="747.75"/>
    <x v="6"/>
    <d v="2023-05-01T00:00:00"/>
  </r>
  <r>
    <s v="ORD200008"/>
    <d v="2025-04-02T00:00:00"/>
    <s v="C26817"/>
    <x v="1"/>
    <n v="2"/>
    <n v="134.28"/>
    <x v="3"/>
    <x v="1"/>
    <n v="2"/>
    <m/>
    <x v="2"/>
    <n v="268.56"/>
    <s v="Electronics"/>
    <s v="High"/>
    <n v="120000"/>
    <n v="268.56"/>
    <x v="7"/>
    <d v="2025-04-01T00:00:00"/>
  </r>
  <r>
    <s v="ORD200009"/>
    <d v="2023-11-21T00:00:00"/>
    <s v="C31946"/>
    <x v="6"/>
    <n v="4"/>
    <n v="509.38"/>
    <x v="2"/>
    <x v="0"/>
    <n v="6"/>
    <s v="SAVE10"/>
    <x v="4"/>
    <n v="2037.52"/>
    <s v="Furniture"/>
    <s v="High"/>
    <n v="75000"/>
    <n v="2037.52"/>
    <x v="8"/>
    <d v="2023-11-01T00:00:00"/>
  </r>
  <r>
    <s v="ORD200010"/>
    <d v="2023-12-29T00:00:00"/>
    <s v="C43443"/>
    <x v="2"/>
    <n v="5"/>
    <n v="625.97"/>
    <x v="2"/>
    <x v="2"/>
    <n v="9"/>
    <s v="WINTER15"/>
    <x v="0"/>
    <n v="3129.85"/>
    <s v="Electronics"/>
    <s v="Medium"/>
    <n v="100000"/>
    <n v="3129.85"/>
    <x v="9"/>
    <d v="2023-12-01T00:00:00"/>
  </r>
  <r>
    <s v="ORD200011"/>
    <d v="2024-02-17T00:00:00"/>
    <s v="C93861"/>
    <x v="0"/>
    <n v="3"/>
    <n v="49.14"/>
    <x v="1"/>
    <x v="2"/>
    <n v="7"/>
    <s v="SAVE10"/>
    <x v="2"/>
    <n v="147.41999999999999"/>
    <s v="Electronics"/>
    <s v="Medium"/>
    <n v="90000"/>
    <n v="147.41999999999999"/>
    <x v="2"/>
    <d v="2024-02-01T00:00:00"/>
  </r>
  <r>
    <s v="ORD200012"/>
    <d v="2024-10-15T00:00:00"/>
    <s v="C38785"/>
    <x v="0"/>
    <n v="2"/>
    <n v="180.5"/>
    <x v="0"/>
    <x v="4"/>
    <n v="6"/>
    <s v="FREESHIP"/>
    <x v="1"/>
    <n v="361"/>
    <s v="Electronics"/>
    <s v="Medium"/>
    <n v="90000"/>
    <n v="361"/>
    <x v="10"/>
    <d v="2024-10-01T00:00:00"/>
  </r>
  <r>
    <s v="ORD200013"/>
    <d v="2023-08-30T00:00:00"/>
    <s v="C88348"/>
    <x v="5"/>
    <n v="3"/>
    <n v="201.49"/>
    <x v="2"/>
    <x v="2"/>
    <n v="4"/>
    <s v="FREESHIP"/>
    <x v="3"/>
    <n v="604.47"/>
    <s v="Electronics"/>
    <s v="High"/>
    <n v="150000"/>
    <n v="604.47"/>
    <x v="11"/>
    <d v="2023-08-01T00:00:00"/>
  </r>
  <r>
    <s v="ORD200014"/>
    <d v="2023-03-27T00:00:00"/>
    <s v="C98474"/>
    <x v="2"/>
    <n v="2"/>
    <n v="393.33"/>
    <x v="0"/>
    <x v="4"/>
    <n v="3"/>
    <s v="SAVE10"/>
    <x v="0"/>
    <n v="786.66"/>
    <s v="Electronics"/>
    <s v="Medium"/>
    <n v="100000"/>
    <n v="786.66"/>
    <x v="12"/>
    <d v="2023-03-01T00:00:00"/>
  </r>
  <r>
    <s v="ORD200015"/>
    <d v="2023-07-17T00:00:00"/>
    <s v="C39416"/>
    <x v="4"/>
    <n v="1"/>
    <n v="473.96"/>
    <x v="4"/>
    <x v="3"/>
    <n v="3"/>
    <m/>
    <x v="4"/>
    <n v="473.96"/>
    <s v="Electronics"/>
    <s v="Medium"/>
    <n v="80000"/>
    <n v="473.96"/>
    <x v="13"/>
    <d v="2023-07-01T00:00:00"/>
  </r>
  <r>
    <s v="ORD200016"/>
    <d v="2023-01-24T00:00:00"/>
    <s v="C28976"/>
    <x v="4"/>
    <n v="2"/>
    <n v="533.80999999999995"/>
    <x v="2"/>
    <x v="4"/>
    <n v="3"/>
    <s v="FREESHIP"/>
    <x v="2"/>
    <n v="1067.6199999999999"/>
    <s v="Electronics"/>
    <s v="Medium"/>
    <n v="80000"/>
    <n v="1067.6199999999999"/>
    <x v="0"/>
    <d v="2023-01-01T00:00:00"/>
  </r>
  <r>
    <s v="ORD200017"/>
    <d v="2024-03-02T00:00:00"/>
    <s v="C60672"/>
    <x v="2"/>
    <n v="1"/>
    <n v="423.4"/>
    <x v="0"/>
    <x v="0"/>
    <n v="3"/>
    <m/>
    <x v="1"/>
    <n v="423.4"/>
    <s v="Electronics"/>
    <s v="Medium"/>
    <n v="100000"/>
    <n v="423.4"/>
    <x v="14"/>
    <d v="2024-03-01T00:00:00"/>
  </r>
  <r>
    <s v="ORD200018"/>
    <d v="2025-03-26T00:00:00"/>
    <s v="C84329"/>
    <x v="6"/>
    <n v="1"/>
    <n v="431.44"/>
    <x v="3"/>
    <x v="4"/>
    <n v="3"/>
    <s v="SAVE10"/>
    <x v="3"/>
    <n v="431.44"/>
    <s v="Furniture"/>
    <s v="High"/>
    <n v="75000"/>
    <n v="431.44"/>
    <x v="15"/>
    <d v="2025-03-01T00:00:00"/>
  </r>
  <r>
    <s v="ORD200019"/>
    <d v="2023-01-23T00:00:00"/>
    <s v="C14552"/>
    <x v="0"/>
    <n v="5"/>
    <n v="224"/>
    <x v="4"/>
    <x v="2"/>
    <n v="9"/>
    <s v="SAVE10"/>
    <x v="4"/>
    <n v="1120"/>
    <s v="Electronics"/>
    <s v="Medium"/>
    <n v="90000"/>
    <n v="1120"/>
    <x v="0"/>
    <d v="2023-01-01T00:00:00"/>
  </r>
  <r>
    <s v="ORD200020"/>
    <d v="2023-05-08T00:00:00"/>
    <s v="C54829"/>
    <x v="3"/>
    <n v="5"/>
    <n v="62.51"/>
    <x v="4"/>
    <x v="4"/>
    <n v="9"/>
    <s v="WINTER15"/>
    <x v="0"/>
    <n v="312.55"/>
    <s v="Furniture"/>
    <s v="Medium"/>
    <n v="70000"/>
    <n v="312.55"/>
    <x v="6"/>
    <d v="2023-05-01T00:00:00"/>
  </r>
  <r>
    <s v="ORD200021"/>
    <d v="2024-11-17T00:00:00"/>
    <s v="C99023"/>
    <x v="0"/>
    <n v="4"/>
    <n v="342.95"/>
    <x v="4"/>
    <x v="3"/>
    <n v="6"/>
    <m/>
    <x v="4"/>
    <n v="1371.8"/>
    <s v="Electronics"/>
    <s v="Medium"/>
    <n v="90000"/>
    <n v="1371.8"/>
    <x v="16"/>
    <d v="2024-11-01T00:00:00"/>
  </r>
  <r>
    <s v="ORD200022"/>
    <d v="2023-01-29T00:00:00"/>
    <s v="C34416"/>
    <x v="0"/>
    <n v="2"/>
    <n v="49.62"/>
    <x v="1"/>
    <x v="4"/>
    <n v="2"/>
    <s v="SAVE10"/>
    <x v="4"/>
    <n v="99.24"/>
    <s v="Electronics"/>
    <s v="Medium"/>
    <n v="90000"/>
    <n v="99.24"/>
    <x v="0"/>
    <d v="2023-01-01T00:00:00"/>
  </r>
  <r>
    <s v="ORD200023"/>
    <d v="2025-04-09T00:00:00"/>
    <s v="C42372"/>
    <x v="1"/>
    <n v="4"/>
    <n v="273.25"/>
    <x v="0"/>
    <x v="1"/>
    <n v="5"/>
    <s v="FREESHIP"/>
    <x v="1"/>
    <n v="1093"/>
    <s v="Electronics"/>
    <s v="High"/>
    <n v="120000"/>
    <n v="1093"/>
    <x v="7"/>
    <d v="2025-04-01T00:00:00"/>
  </r>
  <r>
    <s v="ORD200024"/>
    <d v="2024-10-30T00:00:00"/>
    <s v="C17470"/>
    <x v="5"/>
    <n v="2"/>
    <n v="230.95"/>
    <x v="1"/>
    <x v="3"/>
    <n v="3"/>
    <s v="WINTER15"/>
    <x v="1"/>
    <n v="461.9"/>
    <s v="Electronics"/>
    <s v="High"/>
    <n v="150000"/>
    <n v="461.9"/>
    <x v="10"/>
    <d v="2024-10-01T00:00:00"/>
  </r>
  <r>
    <s v="ORD200025"/>
    <d v="2024-07-24T00:00:00"/>
    <s v="C42577"/>
    <x v="0"/>
    <n v="1"/>
    <n v="399.98"/>
    <x v="0"/>
    <x v="3"/>
    <n v="3"/>
    <s v="WINTER15"/>
    <x v="2"/>
    <n v="399.98"/>
    <s v="Electronics"/>
    <s v="Medium"/>
    <n v="90000"/>
    <n v="399.98"/>
    <x v="17"/>
    <d v="2024-07-01T00:00:00"/>
  </r>
  <r>
    <s v="ORD200026"/>
    <d v="2024-03-06T00:00:00"/>
    <s v="C21944"/>
    <x v="5"/>
    <n v="5"/>
    <n v="59.55"/>
    <x v="1"/>
    <x v="3"/>
    <n v="6"/>
    <m/>
    <x v="1"/>
    <n v="297.75"/>
    <s v="Electronics"/>
    <s v="High"/>
    <n v="150000"/>
    <n v="297.75"/>
    <x v="14"/>
    <d v="2024-03-01T00:00:00"/>
  </r>
  <r>
    <s v="ORD200027"/>
    <d v="2024-02-22T00:00:00"/>
    <s v="C97593"/>
    <x v="4"/>
    <n v="1"/>
    <n v="472.74"/>
    <x v="1"/>
    <x v="0"/>
    <n v="6"/>
    <s v="WINTER15"/>
    <x v="4"/>
    <n v="472.74"/>
    <s v="Electronics"/>
    <s v="Medium"/>
    <n v="80000"/>
    <n v="472.74"/>
    <x v="2"/>
    <d v="2024-02-01T00:00:00"/>
  </r>
  <r>
    <s v="ORD200028"/>
    <d v="2023-11-21T00:00:00"/>
    <s v="C59823"/>
    <x v="1"/>
    <n v="4"/>
    <n v="160.07"/>
    <x v="1"/>
    <x v="4"/>
    <n v="5"/>
    <m/>
    <x v="2"/>
    <n v="640.28"/>
    <s v="Electronics"/>
    <s v="High"/>
    <n v="120000"/>
    <n v="640.28"/>
    <x v="8"/>
    <d v="2023-11-01T00:00:00"/>
  </r>
  <r>
    <s v="ORD200029"/>
    <d v="2024-09-20T00:00:00"/>
    <s v="C33260"/>
    <x v="6"/>
    <n v="3"/>
    <n v="423.53"/>
    <x v="2"/>
    <x v="3"/>
    <n v="6"/>
    <s v="SAVE10"/>
    <x v="1"/>
    <n v="1270.5899999999999"/>
    <s v="Furniture"/>
    <s v="High"/>
    <n v="75000"/>
    <n v="1270.5899999999999"/>
    <x v="18"/>
    <d v="2024-09-01T00:00:00"/>
  </r>
  <r>
    <s v="ORD200030"/>
    <d v="2025-03-22T00:00:00"/>
    <s v="C44267"/>
    <x v="0"/>
    <n v="2"/>
    <n v="426.7"/>
    <x v="1"/>
    <x v="4"/>
    <n v="5"/>
    <s v="SAVE10"/>
    <x v="1"/>
    <n v="853.4"/>
    <s v="Electronics"/>
    <s v="Medium"/>
    <n v="90000"/>
    <n v="853.4"/>
    <x v="15"/>
    <d v="2025-03-01T00:00:00"/>
  </r>
  <r>
    <s v="ORD200031"/>
    <d v="2023-06-30T00:00:00"/>
    <s v="C26445"/>
    <x v="3"/>
    <n v="3"/>
    <n v="500.08"/>
    <x v="0"/>
    <x v="2"/>
    <n v="6"/>
    <m/>
    <x v="3"/>
    <n v="1500.24"/>
    <s v="Furniture"/>
    <s v="Medium"/>
    <n v="70000"/>
    <n v="1500.24"/>
    <x v="19"/>
    <d v="2023-06-01T00:00:00"/>
  </r>
  <r>
    <s v="ORD200032"/>
    <d v="2023-05-01T00:00:00"/>
    <s v="C12388"/>
    <x v="2"/>
    <n v="5"/>
    <n v="536.72"/>
    <x v="4"/>
    <x v="3"/>
    <n v="10"/>
    <m/>
    <x v="2"/>
    <n v="2683.6"/>
    <s v="Electronics"/>
    <s v="Medium"/>
    <n v="100000"/>
    <n v="2683.6"/>
    <x v="6"/>
    <d v="2023-05-01T00:00:00"/>
  </r>
  <r>
    <s v="ORD200033"/>
    <d v="2023-06-05T00:00:00"/>
    <s v="C52184"/>
    <x v="3"/>
    <n v="1"/>
    <n v="162.77000000000001"/>
    <x v="1"/>
    <x v="1"/>
    <n v="4"/>
    <s v="WINTER15"/>
    <x v="3"/>
    <n v="162.77000000000001"/>
    <s v="Furniture"/>
    <s v="Medium"/>
    <n v="70000"/>
    <n v="162.77000000000001"/>
    <x v="19"/>
    <d v="2023-06-01T00:00:00"/>
  </r>
  <r>
    <s v="ORD200034"/>
    <d v="2023-01-07T00:00:00"/>
    <s v="C67195"/>
    <x v="3"/>
    <n v="4"/>
    <n v="576.52"/>
    <x v="2"/>
    <x v="4"/>
    <n v="5"/>
    <s v="WINTER15"/>
    <x v="3"/>
    <n v="2306.08"/>
    <s v="Furniture"/>
    <s v="Medium"/>
    <n v="70000"/>
    <n v="2306.08"/>
    <x v="0"/>
    <d v="2023-01-01T00:00:00"/>
  </r>
  <r>
    <s v="ORD200035"/>
    <d v="2024-12-07T00:00:00"/>
    <s v="C50304"/>
    <x v="0"/>
    <n v="2"/>
    <n v="465.15"/>
    <x v="1"/>
    <x v="0"/>
    <n v="2"/>
    <s v="SAVE10"/>
    <x v="3"/>
    <n v="930.3"/>
    <s v="Electronics"/>
    <s v="Medium"/>
    <n v="90000"/>
    <n v="930.3"/>
    <x v="20"/>
    <d v="2024-12-01T00:00:00"/>
  </r>
  <r>
    <s v="ORD200036"/>
    <d v="2025-05-08T00:00:00"/>
    <s v="C59337"/>
    <x v="5"/>
    <n v="2"/>
    <n v="534.42999999999995"/>
    <x v="0"/>
    <x v="4"/>
    <n v="5"/>
    <m/>
    <x v="3"/>
    <n v="1068.8599999999999"/>
    <s v="Electronics"/>
    <s v="High"/>
    <n v="150000"/>
    <n v="1068.8599999999999"/>
    <x v="4"/>
    <d v="2025-05-01T00:00:00"/>
  </r>
  <r>
    <s v="ORD200037"/>
    <d v="2024-10-14T00:00:00"/>
    <s v="C10054"/>
    <x v="5"/>
    <n v="2"/>
    <n v="76.739999999999995"/>
    <x v="4"/>
    <x v="2"/>
    <n v="7"/>
    <s v="SAVE10"/>
    <x v="0"/>
    <n v="153.47999999999999"/>
    <s v="Electronics"/>
    <s v="High"/>
    <n v="150000"/>
    <n v="153.47999999999999"/>
    <x v="10"/>
    <d v="2024-10-01T00:00:00"/>
  </r>
  <r>
    <s v="ORD200038"/>
    <d v="2024-12-19T00:00:00"/>
    <s v="C15924"/>
    <x v="5"/>
    <n v="1"/>
    <n v="245.89"/>
    <x v="0"/>
    <x v="3"/>
    <n v="3"/>
    <s v="SAVE10"/>
    <x v="4"/>
    <n v="245.89"/>
    <s v="Electronics"/>
    <s v="High"/>
    <n v="150000"/>
    <n v="245.89"/>
    <x v="20"/>
    <d v="2024-12-01T00:00:00"/>
  </r>
  <r>
    <s v="ORD200039"/>
    <d v="2025-02-27T00:00:00"/>
    <s v="C96664"/>
    <x v="4"/>
    <n v="3"/>
    <n v="256.45999999999998"/>
    <x v="2"/>
    <x v="3"/>
    <n v="4"/>
    <s v="SAVE10"/>
    <x v="1"/>
    <n v="769.37999999999988"/>
    <s v="Electronics"/>
    <s v="Medium"/>
    <n v="80000"/>
    <n v="769.37999999999988"/>
    <x v="21"/>
    <d v="2025-02-01T00:00:00"/>
  </r>
  <r>
    <s v="ORD200040"/>
    <d v="2023-08-20T00:00:00"/>
    <s v="C84766"/>
    <x v="6"/>
    <n v="2"/>
    <n v="344.02"/>
    <x v="1"/>
    <x v="3"/>
    <n v="4"/>
    <s v="FREESHIP"/>
    <x v="0"/>
    <n v="688.04"/>
    <s v="Furniture"/>
    <s v="High"/>
    <n v="75000"/>
    <n v="688.04"/>
    <x v="11"/>
    <d v="2023-08-01T00:00:00"/>
  </r>
  <r>
    <s v="ORD200041"/>
    <d v="2023-12-05T00:00:00"/>
    <s v="C20212"/>
    <x v="0"/>
    <n v="3"/>
    <n v="611.45000000000005"/>
    <x v="3"/>
    <x v="4"/>
    <n v="4"/>
    <s v="FREESHIP"/>
    <x v="0"/>
    <n v="1834.35"/>
    <s v="Electronics"/>
    <s v="Medium"/>
    <n v="90000"/>
    <n v="1834.35"/>
    <x v="9"/>
    <d v="2023-12-01T00:00:00"/>
  </r>
  <r>
    <s v="ORD200042"/>
    <d v="2024-05-06T00:00:00"/>
    <s v="C28712"/>
    <x v="4"/>
    <n v="2"/>
    <n v="151.66"/>
    <x v="4"/>
    <x v="1"/>
    <n v="6"/>
    <m/>
    <x v="0"/>
    <n v="303.32"/>
    <s v="Electronics"/>
    <s v="Medium"/>
    <n v="80000"/>
    <n v="303.32"/>
    <x v="22"/>
    <d v="2024-05-01T00:00:00"/>
  </r>
  <r>
    <s v="ORD200043"/>
    <d v="2023-12-14T00:00:00"/>
    <s v="C60572"/>
    <x v="3"/>
    <n v="3"/>
    <n v="499.21"/>
    <x v="1"/>
    <x v="1"/>
    <n v="8"/>
    <m/>
    <x v="0"/>
    <n v="1497.63"/>
    <s v="Furniture"/>
    <s v="Medium"/>
    <n v="70000"/>
    <n v="1497.63"/>
    <x v="9"/>
    <d v="2023-12-01T00:00:00"/>
  </r>
  <r>
    <s v="ORD200044"/>
    <d v="2025-04-21T00:00:00"/>
    <s v="C73225"/>
    <x v="1"/>
    <n v="2"/>
    <n v="550.17999999999995"/>
    <x v="3"/>
    <x v="2"/>
    <n v="3"/>
    <s v="FREESHIP"/>
    <x v="1"/>
    <n v="1100.3599999999999"/>
    <s v="Electronics"/>
    <s v="High"/>
    <n v="120000"/>
    <n v="1100.3599999999999"/>
    <x v="7"/>
    <d v="2025-04-01T00:00:00"/>
  </r>
  <r>
    <s v="ORD200045"/>
    <d v="2024-02-10T00:00:00"/>
    <s v="C17388"/>
    <x v="3"/>
    <n v="1"/>
    <n v="317.25"/>
    <x v="0"/>
    <x v="2"/>
    <n v="1"/>
    <s v="SAVE10"/>
    <x v="3"/>
    <n v="317.25"/>
    <s v="Furniture"/>
    <s v="Medium"/>
    <n v="70000"/>
    <n v="317.25"/>
    <x v="2"/>
    <d v="2024-02-01T00:00:00"/>
  </r>
  <r>
    <s v="ORD200046"/>
    <d v="2024-06-26T00:00:00"/>
    <s v="C43212"/>
    <x v="0"/>
    <n v="4"/>
    <n v="550.14"/>
    <x v="0"/>
    <x v="4"/>
    <n v="4"/>
    <s v="FREESHIP"/>
    <x v="0"/>
    <n v="2200.56"/>
    <s v="Electronics"/>
    <s v="Medium"/>
    <n v="90000"/>
    <n v="2200.56"/>
    <x v="23"/>
    <d v="2024-06-01T00:00:00"/>
  </r>
  <r>
    <s v="ORD200047"/>
    <d v="2023-07-19T00:00:00"/>
    <s v="C38134"/>
    <x v="6"/>
    <n v="2"/>
    <n v="209.94"/>
    <x v="2"/>
    <x v="2"/>
    <n v="3"/>
    <s v="FREESHIP"/>
    <x v="2"/>
    <n v="419.88"/>
    <s v="Furniture"/>
    <s v="High"/>
    <n v="75000"/>
    <n v="419.88"/>
    <x v="13"/>
    <d v="2023-07-01T00:00:00"/>
  </r>
  <r>
    <s v="ORD200048"/>
    <d v="2023-08-26T00:00:00"/>
    <s v="C12408"/>
    <x v="0"/>
    <n v="2"/>
    <n v="80.77"/>
    <x v="0"/>
    <x v="0"/>
    <n v="4"/>
    <m/>
    <x v="4"/>
    <n v="161.54"/>
    <s v="Electronics"/>
    <s v="Medium"/>
    <n v="90000"/>
    <n v="161.54"/>
    <x v="11"/>
    <d v="2023-08-01T00:00:00"/>
  </r>
  <r>
    <s v="ORD200049"/>
    <d v="2023-10-07T00:00:00"/>
    <s v="C11985"/>
    <x v="4"/>
    <n v="1"/>
    <n v="30.44"/>
    <x v="2"/>
    <x v="0"/>
    <n v="1"/>
    <s v="SAVE10"/>
    <x v="2"/>
    <n v="30.44"/>
    <s v="Electronics"/>
    <s v="Medium"/>
    <n v="80000"/>
    <n v="30.44"/>
    <x v="3"/>
    <d v="2023-10-01T00:00:00"/>
  </r>
  <r>
    <s v="ORD200050"/>
    <d v="2023-07-31T00:00:00"/>
    <s v="C96494"/>
    <x v="2"/>
    <n v="1"/>
    <n v="179.22"/>
    <x v="1"/>
    <x v="1"/>
    <n v="6"/>
    <s v="FREESHIP"/>
    <x v="0"/>
    <n v="179.22"/>
    <s v="Electronics"/>
    <s v="Medium"/>
    <n v="100000"/>
    <n v="179.22"/>
    <x v="13"/>
    <d v="2023-07-01T00:00:00"/>
  </r>
  <r>
    <s v="ORD200051"/>
    <d v="2024-12-30T00:00:00"/>
    <s v="C36778"/>
    <x v="2"/>
    <n v="1"/>
    <n v="388.33"/>
    <x v="4"/>
    <x v="2"/>
    <n v="2"/>
    <s v="SAVE10"/>
    <x v="3"/>
    <n v="388.33"/>
    <s v="Electronics"/>
    <s v="Medium"/>
    <n v="100000"/>
    <n v="388.33"/>
    <x v="20"/>
    <d v="2024-12-01T00:00:00"/>
  </r>
  <r>
    <s v="ORD200052"/>
    <d v="2024-09-08T00:00:00"/>
    <s v="C30513"/>
    <x v="2"/>
    <n v="1"/>
    <n v="586.44000000000005"/>
    <x v="1"/>
    <x v="2"/>
    <n v="5"/>
    <s v="SAVE10"/>
    <x v="3"/>
    <n v="586.44000000000005"/>
    <s v="Electronics"/>
    <s v="Medium"/>
    <n v="100000"/>
    <n v="586.44000000000005"/>
    <x v="18"/>
    <d v="2024-09-01T00:00:00"/>
  </r>
  <r>
    <s v="ORD200053"/>
    <d v="2024-05-18T00:00:00"/>
    <s v="C67551"/>
    <x v="1"/>
    <n v="4"/>
    <n v="488.78"/>
    <x v="1"/>
    <x v="2"/>
    <n v="5"/>
    <s v="FREESHIP"/>
    <x v="4"/>
    <n v="1955.12"/>
    <s v="Electronics"/>
    <s v="High"/>
    <n v="120000"/>
    <n v="1955.12"/>
    <x v="22"/>
    <d v="2024-05-01T00:00:00"/>
  </r>
  <r>
    <s v="ORD200054"/>
    <d v="2025-03-27T00:00:00"/>
    <s v="C48120"/>
    <x v="3"/>
    <n v="1"/>
    <n v="280.25"/>
    <x v="1"/>
    <x v="4"/>
    <n v="5"/>
    <s v="WINTER15"/>
    <x v="2"/>
    <n v="280.25"/>
    <s v="Furniture"/>
    <s v="Medium"/>
    <n v="70000"/>
    <n v="280.25"/>
    <x v="15"/>
    <d v="2025-03-01T00:00:00"/>
  </r>
  <r>
    <s v="ORD200055"/>
    <d v="2025-06-24T00:00:00"/>
    <s v="C95984"/>
    <x v="4"/>
    <n v="3"/>
    <n v="344.4"/>
    <x v="1"/>
    <x v="1"/>
    <n v="3"/>
    <m/>
    <x v="3"/>
    <n v="1033.2"/>
    <s v="Electronics"/>
    <s v="Medium"/>
    <n v="80000"/>
    <n v="1033.2"/>
    <x v="5"/>
    <d v="2025-06-01T00:00:00"/>
  </r>
  <r>
    <s v="ORD200056"/>
    <d v="2023-05-21T00:00:00"/>
    <s v="C54298"/>
    <x v="2"/>
    <n v="3"/>
    <n v="479.21"/>
    <x v="4"/>
    <x v="1"/>
    <n v="5"/>
    <s v="WINTER15"/>
    <x v="1"/>
    <n v="1437.63"/>
    <s v="Electronics"/>
    <s v="Medium"/>
    <n v="100000"/>
    <n v="1437.63"/>
    <x v="6"/>
    <d v="2023-05-01T00:00:00"/>
  </r>
  <r>
    <s v="ORD200057"/>
    <d v="2023-01-22T00:00:00"/>
    <s v="C88036"/>
    <x v="4"/>
    <n v="5"/>
    <n v="314.27"/>
    <x v="4"/>
    <x v="2"/>
    <n v="6"/>
    <s v="SAVE10"/>
    <x v="0"/>
    <n v="1571.35"/>
    <s v="Electronics"/>
    <s v="Medium"/>
    <n v="80000"/>
    <n v="1571.35"/>
    <x v="0"/>
    <d v="2023-01-01T00:00:00"/>
  </r>
  <r>
    <s v="ORD200058"/>
    <d v="2023-01-15T00:00:00"/>
    <s v="C60190"/>
    <x v="1"/>
    <n v="4"/>
    <n v="474.69"/>
    <x v="3"/>
    <x v="1"/>
    <n v="6"/>
    <s v="SAVE10"/>
    <x v="4"/>
    <n v="1898.76"/>
    <s v="Electronics"/>
    <s v="High"/>
    <n v="120000"/>
    <n v="1898.76"/>
    <x v="0"/>
    <d v="2023-01-01T00:00:00"/>
  </r>
  <r>
    <s v="ORD200059"/>
    <d v="2024-09-11T00:00:00"/>
    <s v="C97603"/>
    <x v="3"/>
    <n v="4"/>
    <n v="593.27"/>
    <x v="1"/>
    <x v="0"/>
    <n v="5"/>
    <m/>
    <x v="3"/>
    <n v="2373.08"/>
    <s v="Furniture"/>
    <s v="Medium"/>
    <n v="70000"/>
    <n v="2373.08"/>
    <x v="18"/>
    <d v="2024-09-01T00:00:00"/>
  </r>
  <r>
    <s v="ORD200060"/>
    <d v="2024-08-21T00:00:00"/>
    <s v="C39256"/>
    <x v="6"/>
    <n v="1"/>
    <n v="417.1"/>
    <x v="0"/>
    <x v="2"/>
    <n v="3"/>
    <s v="FREESHIP"/>
    <x v="1"/>
    <n v="417.1"/>
    <s v="Furniture"/>
    <s v="High"/>
    <n v="75000"/>
    <n v="417.1"/>
    <x v="1"/>
    <d v="2024-08-01T00:00:00"/>
  </r>
  <r>
    <s v="ORD200061"/>
    <d v="2024-03-24T00:00:00"/>
    <s v="C61618"/>
    <x v="6"/>
    <n v="4"/>
    <n v="122.2"/>
    <x v="4"/>
    <x v="3"/>
    <n v="7"/>
    <s v="FREESHIP"/>
    <x v="3"/>
    <n v="488.8"/>
    <s v="Furniture"/>
    <s v="High"/>
    <n v="75000"/>
    <n v="488.8"/>
    <x v="14"/>
    <d v="2024-03-01T00:00:00"/>
  </r>
  <r>
    <s v="ORD200062"/>
    <d v="2023-08-22T00:00:00"/>
    <s v="C36497"/>
    <x v="6"/>
    <n v="2"/>
    <n v="43.15"/>
    <x v="0"/>
    <x v="4"/>
    <n v="3"/>
    <s v="WINTER15"/>
    <x v="2"/>
    <n v="86.3"/>
    <s v="Furniture"/>
    <s v="High"/>
    <n v="75000"/>
    <n v="86.3"/>
    <x v="11"/>
    <d v="2023-08-01T00:00:00"/>
  </r>
  <r>
    <s v="ORD200063"/>
    <d v="2025-02-02T00:00:00"/>
    <s v="C96695"/>
    <x v="3"/>
    <n v="1"/>
    <n v="564.86"/>
    <x v="0"/>
    <x v="0"/>
    <n v="6"/>
    <s v="WINTER15"/>
    <x v="1"/>
    <n v="564.86"/>
    <s v="Furniture"/>
    <s v="Medium"/>
    <n v="70000"/>
    <n v="564.86"/>
    <x v="21"/>
    <d v="2025-02-01T00:00:00"/>
  </r>
  <r>
    <s v="ORD200064"/>
    <d v="2025-06-25T00:00:00"/>
    <s v="C49720"/>
    <x v="4"/>
    <n v="3"/>
    <n v="130.61000000000001"/>
    <x v="0"/>
    <x v="1"/>
    <n v="4"/>
    <s v="FREESHIP"/>
    <x v="3"/>
    <n v="391.83"/>
    <s v="Electronics"/>
    <s v="Medium"/>
    <n v="80000"/>
    <n v="391.83"/>
    <x v="5"/>
    <d v="2025-06-01T00:00:00"/>
  </r>
  <r>
    <s v="ORD200065"/>
    <d v="2023-12-30T00:00:00"/>
    <s v="C97735"/>
    <x v="0"/>
    <n v="5"/>
    <n v="81.7"/>
    <x v="2"/>
    <x v="3"/>
    <n v="6"/>
    <m/>
    <x v="0"/>
    <n v="408.5"/>
    <s v="Electronics"/>
    <s v="Medium"/>
    <n v="90000"/>
    <n v="408.5"/>
    <x v="9"/>
    <d v="2023-12-01T00:00:00"/>
  </r>
  <r>
    <s v="ORD200066"/>
    <d v="2024-11-15T00:00:00"/>
    <s v="C18104"/>
    <x v="3"/>
    <n v="5"/>
    <n v="127.18"/>
    <x v="4"/>
    <x v="1"/>
    <n v="9"/>
    <s v="SAVE10"/>
    <x v="1"/>
    <n v="635.90000000000009"/>
    <s v="Furniture"/>
    <s v="Medium"/>
    <n v="70000"/>
    <n v="635.90000000000009"/>
    <x v="16"/>
    <d v="2024-11-01T00:00:00"/>
  </r>
  <r>
    <s v="ORD200067"/>
    <d v="2024-12-09T00:00:00"/>
    <s v="C25587"/>
    <x v="4"/>
    <n v="4"/>
    <n v="12.1"/>
    <x v="0"/>
    <x v="1"/>
    <n v="8"/>
    <m/>
    <x v="4"/>
    <n v="48.4"/>
    <s v="Electronics"/>
    <s v="Medium"/>
    <n v="80000"/>
    <n v="48.4"/>
    <x v="20"/>
    <d v="2024-12-01T00:00:00"/>
  </r>
  <r>
    <s v="ORD200068"/>
    <d v="2023-12-11T00:00:00"/>
    <s v="C41598"/>
    <x v="3"/>
    <n v="3"/>
    <n v="490.92"/>
    <x v="2"/>
    <x v="4"/>
    <n v="5"/>
    <s v="FREESHIP"/>
    <x v="2"/>
    <n v="1472.76"/>
    <s v="Furniture"/>
    <s v="Medium"/>
    <n v="70000"/>
    <n v="1472.76"/>
    <x v="9"/>
    <d v="2023-12-01T00:00:00"/>
  </r>
  <r>
    <s v="ORD200069"/>
    <d v="2023-05-11T00:00:00"/>
    <s v="C43338"/>
    <x v="0"/>
    <n v="3"/>
    <n v="478.65"/>
    <x v="1"/>
    <x v="0"/>
    <n v="4"/>
    <m/>
    <x v="1"/>
    <n v="1435.95"/>
    <s v="Electronics"/>
    <s v="Medium"/>
    <n v="90000"/>
    <n v="1435.95"/>
    <x v="6"/>
    <d v="2023-05-01T00:00:00"/>
  </r>
  <r>
    <s v="ORD200070"/>
    <d v="2023-05-26T00:00:00"/>
    <s v="C25123"/>
    <x v="6"/>
    <n v="1"/>
    <n v="629.21"/>
    <x v="3"/>
    <x v="4"/>
    <n v="2"/>
    <s v="FREESHIP"/>
    <x v="0"/>
    <n v="629.21"/>
    <s v="Furniture"/>
    <s v="High"/>
    <n v="75000"/>
    <n v="629.21"/>
    <x v="6"/>
    <d v="2023-05-01T00:00:00"/>
  </r>
  <r>
    <s v="ORD200071"/>
    <d v="2025-06-10T00:00:00"/>
    <s v="C37454"/>
    <x v="0"/>
    <n v="3"/>
    <n v="434.45"/>
    <x v="2"/>
    <x v="4"/>
    <n v="4"/>
    <m/>
    <x v="1"/>
    <n v="1303.3499999999999"/>
    <s v="Electronics"/>
    <s v="Medium"/>
    <n v="90000"/>
    <n v="1303.3499999999999"/>
    <x v="5"/>
    <d v="2025-06-01T00:00:00"/>
  </r>
  <r>
    <s v="ORD200072"/>
    <d v="2024-12-22T00:00:00"/>
    <s v="C19451"/>
    <x v="2"/>
    <n v="4"/>
    <n v="589.44000000000005"/>
    <x v="3"/>
    <x v="2"/>
    <n v="5"/>
    <m/>
    <x v="3"/>
    <n v="2357.7600000000002"/>
    <s v="Electronics"/>
    <s v="Medium"/>
    <n v="100000"/>
    <n v="2357.7600000000002"/>
    <x v="20"/>
    <d v="2024-12-01T00:00:00"/>
  </r>
  <r>
    <s v="ORD200073"/>
    <d v="2023-05-03T00:00:00"/>
    <s v="C17269"/>
    <x v="0"/>
    <n v="4"/>
    <n v="433.45"/>
    <x v="3"/>
    <x v="1"/>
    <n v="4"/>
    <m/>
    <x v="3"/>
    <n v="1733.8"/>
    <s v="Electronics"/>
    <s v="Medium"/>
    <n v="90000"/>
    <n v="1733.8"/>
    <x v="6"/>
    <d v="2023-05-01T00:00:00"/>
  </r>
  <r>
    <s v="ORD200074"/>
    <d v="2023-06-24T00:00:00"/>
    <s v="C25382"/>
    <x v="1"/>
    <n v="5"/>
    <n v="90.87"/>
    <x v="4"/>
    <x v="4"/>
    <n v="5"/>
    <m/>
    <x v="0"/>
    <n v="454.35"/>
    <s v="Electronics"/>
    <s v="High"/>
    <n v="120000"/>
    <n v="454.35"/>
    <x v="19"/>
    <d v="2023-06-01T00:00:00"/>
  </r>
  <r>
    <s v="ORD200075"/>
    <d v="2023-09-26T00:00:00"/>
    <s v="C80651"/>
    <x v="2"/>
    <n v="3"/>
    <n v="398.17"/>
    <x v="0"/>
    <x v="3"/>
    <n v="5"/>
    <s v="SAVE10"/>
    <x v="2"/>
    <n v="1194.51"/>
    <s v="Electronics"/>
    <s v="Medium"/>
    <n v="100000"/>
    <n v="1194.51"/>
    <x v="24"/>
    <d v="2023-09-01T00:00:00"/>
  </r>
  <r>
    <s v="ORD200076"/>
    <d v="2024-03-31T00:00:00"/>
    <s v="C58638"/>
    <x v="5"/>
    <n v="4"/>
    <n v="382.88"/>
    <x v="4"/>
    <x v="1"/>
    <n v="6"/>
    <s v="WINTER15"/>
    <x v="2"/>
    <n v="1531.52"/>
    <s v="Electronics"/>
    <s v="High"/>
    <n v="150000"/>
    <n v="1531.52"/>
    <x v="14"/>
    <d v="2024-03-01T00:00:00"/>
  </r>
  <r>
    <s v="ORD200077"/>
    <d v="2024-05-24T00:00:00"/>
    <s v="C50121"/>
    <x v="1"/>
    <n v="1"/>
    <n v="583.17999999999995"/>
    <x v="2"/>
    <x v="2"/>
    <n v="5"/>
    <m/>
    <x v="4"/>
    <n v="583.17999999999995"/>
    <s v="Electronics"/>
    <s v="High"/>
    <n v="120000"/>
    <n v="583.17999999999995"/>
    <x v="22"/>
    <d v="2024-05-01T00:00:00"/>
  </r>
  <r>
    <s v="ORD200078"/>
    <d v="2024-08-06T00:00:00"/>
    <s v="C32029"/>
    <x v="4"/>
    <n v="4"/>
    <n v="175.36"/>
    <x v="0"/>
    <x v="3"/>
    <n v="4"/>
    <s v="FREESHIP"/>
    <x v="0"/>
    <n v="701.44"/>
    <s v="Electronics"/>
    <s v="Medium"/>
    <n v="80000"/>
    <n v="701.44"/>
    <x v="1"/>
    <d v="2024-08-01T00:00:00"/>
  </r>
  <r>
    <s v="ORD200079"/>
    <d v="2025-03-10T00:00:00"/>
    <s v="C76700"/>
    <x v="2"/>
    <n v="2"/>
    <n v="311.91000000000003"/>
    <x v="1"/>
    <x v="0"/>
    <n v="2"/>
    <m/>
    <x v="3"/>
    <n v="623.82000000000005"/>
    <s v="Electronics"/>
    <s v="Medium"/>
    <n v="100000"/>
    <n v="623.82000000000005"/>
    <x v="15"/>
    <d v="2025-03-01T00:00:00"/>
  </r>
  <r>
    <s v="ORD200080"/>
    <d v="2023-06-27T00:00:00"/>
    <s v="C29041"/>
    <x v="1"/>
    <n v="3"/>
    <n v="589.55999999999995"/>
    <x v="1"/>
    <x v="2"/>
    <n v="6"/>
    <m/>
    <x v="3"/>
    <n v="1768.68"/>
    <s v="Electronics"/>
    <s v="High"/>
    <n v="120000"/>
    <n v="1768.68"/>
    <x v="19"/>
    <d v="2023-06-01T00:00:00"/>
  </r>
  <r>
    <s v="ORD200081"/>
    <d v="2023-06-08T00:00:00"/>
    <s v="C29314"/>
    <x v="0"/>
    <n v="2"/>
    <n v="394.3"/>
    <x v="4"/>
    <x v="0"/>
    <n v="6"/>
    <s v="FREESHIP"/>
    <x v="2"/>
    <n v="788.6"/>
    <s v="Electronics"/>
    <s v="Medium"/>
    <n v="90000"/>
    <n v="788.6"/>
    <x v="19"/>
    <d v="2023-06-01T00:00:00"/>
  </r>
  <r>
    <s v="ORD200082"/>
    <d v="2024-01-05T00:00:00"/>
    <s v="C65799"/>
    <x v="2"/>
    <n v="4"/>
    <n v="565.20000000000005"/>
    <x v="0"/>
    <x v="0"/>
    <n v="9"/>
    <s v="SAVE10"/>
    <x v="4"/>
    <n v="2260.8000000000002"/>
    <s v="Electronics"/>
    <s v="Medium"/>
    <n v="100000"/>
    <n v="2260.8000000000002"/>
    <x v="25"/>
    <d v="2024-01-01T00:00:00"/>
  </r>
  <r>
    <s v="ORD200083"/>
    <d v="2023-08-22T00:00:00"/>
    <s v="C15681"/>
    <x v="5"/>
    <n v="4"/>
    <n v="540.41"/>
    <x v="2"/>
    <x v="1"/>
    <n v="6"/>
    <m/>
    <x v="1"/>
    <n v="2161.64"/>
    <s v="Electronics"/>
    <s v="High"/>
    <n v="150000"/>
    <n v="2161.64"/>
    <x v="11"/>
    <d v="2023-08-01T00:00:00"/>
  </r>
  <r>
    <s v="ORD200084"/>
    <d v="2023-08-28T00:00:00"/>
    <s v="C64160"/>
    <x v="0"/>
    <n v="2"/>
    <n v="165.49"/>
    <x v="1"/>
    <x v="0"/>
    <n v="4"/>
    <s v="WINTER15"/>
    <x v="0"/>
    <n v="330.98"/>
    <s v="Electronics"/>
    <s v="Medium"/>
    <n v="90000"/>
    <n v="330.98"/>
    <x v="11"/>
    <d v="2023-08-01T00:00:00"/>
  </r>
  <r>
    <s v="ORD200085"/>
    <d v="2024-09-09T00:00:00"/>
    <s v="C14553"/>
    <x v="2"/>
    <n v="3"/>
    <n v="146.72999999999999"/>
    <x v="4"/>
    <x v="3"/>
    <n v="8"/>
    <s v="FREESHIP"/>
    <x v="2"/>
    <n v="440.18999999999988"/>
    <s v="Electronics"/>
    <s v="Medium"/>
    <n v="100000"/>
    <n v="440.18999999999988"/>
    <x v="18"/>
    <d v="2024-09-01T00:00:00"/>
  </r>
  <r>
    <s v="ORD200086"/>
    <d v="2024-06-19T00:00:00"/>
    <s v="C88205"/>
    <x v="4"/>
    <n v="5"/>
    <n v="643.03"/>
    <x v="1"/>
    <x v="1"/>
    <n v="5"/>
    <s v="FREESHIP"/>
    <x v="1"/>
    <n v="3215.15"/>
    <s v="Electronics"/>
    <s v="Medium"/>
    <n v="80000"/>
    <n v="3215.15"/>
    <x v="23"/>
    <d v="2024-06-01T00:00:00"/>
  </r>
  <r>
    <s v="ORD200087"/>
    <d v="2024-10-10T00:00:00"/>
    <s v="C91245"/>
    <x v="2"/>
    <n v="3"/>
    <n v="225.11"/>
    <x v="4"/>
    <x v="0"/>
    <n v="4"/>
    <s v="SAVE10"/>
    <x v="3"/>
    <n v="675.33"/>
    <s v="Electronics"/>
    <s v="Medium"/>
    <n v="100000"/>
    <n v="675.33"/>
    <x v="10"/>
    <d v="2024-10-01T00:00:00"/>
  </r>
  <r>
    <s v="ORD200088"/>
    <d v="2025-06-05T00:00:00"/>
    <s v="C75439"/>
    <x v="6"/>
    <n v="3"/>
    <n v="114.81"/>
    <x v="3"/>
    <x v="1"/>
    <n v="7"/>
    <m/>
    <x v="4"/>
    <n v="344.43"/>
    <s v="Furniture"/>
    <s v="High"/>
    <n v="75000"/>
    <n v="344.43"/>
    <x v="5"/>
    <d v="2025-06-01T00:00:00"/>
  </r>
  <r>
    <s v="ORD200089"/>
    <d v="2025-02-25T00:00:00"/>
    <s v="C17181"/>
    <x v="4"/>
    <n v="5"/>
    <n v="455.33"/>
    <x v="2"/>
    <x v="1"/>
    <n v="8"/>
    <s v="FREESHIP"/>
    <x v="4"/>
    <n v="2276.65"/>
    <s v="Electronics"/>
    <s v="Medium"/>
    <n v="80000"/>
    <n v="2276.65"/>
    <x v="21"/>
    <d v="2025-02-01T00:00:00"/>
  </r>
  <r>
    <s v="ORD200090"/>
    <d v="2023-09-18T00:00:00"/>
    <s v="C36540"/>
    <x v="3"/>
    <n v="4"/>
    <n v="182.08"/>
    <x v="3"/>
    <x v="3"/>
    <n v="4"/>
    <s v="SAVE10"/>
    <x v="2"/>
    <n v="728.32"/>
    <s v="Furniture"/>
    <s v="Medium"/>
    <n v="70000"/>
    <n v="728.32"/>
    <x v="24"/>
    <d v="2023-09-01T00:00:00"/>
  </r>
  <r>
    <s v="ORD200091"/>
    <d v="2023-03-15T00:00:00"/>
    <s v="C98216"/>
    <x v="5"/>
    <n v="5"/>
    <n v="492.75"/>
    <x v="4"/>
    <x v="0"/>
    <n v="6"/>
    <s v="WINTER15"/>
    <x v="1"/>
    <n v="2463.75"/>
    <s v="Electronics"/>
    <s v="High"/>
    <n v="150000"/>
    <n v="2463.75"/>
    <x v="12"/>
    <d v="2023-03-01T00:00:00"/>
  </r>
  <r>
    <s v="ORD200092"/>
    <d v="2024-06-10T00:00:00"/>
    <s v="C29568"/>
    <x v="4"/>
    <n v="4"/>
    <n v="48.61"/>
    <x v="1"/>
    <x v="0"/>
    <n v="7"/>
    <s v="FREESHIP"/>
    <x v="3"/>
    <n v="194.44"/>
    <s v="Electronics"/>
    <s v="Medium"/>
    <n v="80000"/>
    <n v="194.44"/>
    <x v="23"/>
    <d v="2024-06-01T00:00:00"/>
  </r>
  <r>
    <s v="ORD200093"/>
    <d v="2023-01-14T00:00:00"/>
    <s v="C97262"/>
    <x v="6"/>
    <n v="4"/>
    <n v="431.01"/>
    <x v="2"/>
    <x v="2"/>
    <n v="7"/>
    <m/>
    <x v="1"/>
    <n v="1724.04"/>
    <s v="Furniture"/>
    <s v="High"/>
    <n v="75000"/>
    <n v="1724.04"/>
    <x v="0"/>
    <d v="2023-01-01T00:00:00"/>
  </r>
  <r>
    <s v="ORD200094"/>
    <d v="2023-02-11T00:00:00"/>
    <s v="C79821"/>
    <x v="3"/>
    <n v="1"/>
    <n v="531.17999999999995"/>
    <x v="3"/>
    <x v="2"/>
    <n v="6"/>
    <s v="WINTER15"/>
    <x v="0"/>
    <n v="531.17999999999995"/>
    <s v="Furniture"/>
    <s v="Medium"/>
    <n v="70000"/>
    <n v="531.17999999999995"/>
    <x v="26"/>
    <d v="2023-02-01T00:00:00"/>
  </r>
  <r>
    <s v="ORD200095"/>
    <d v="2023-03-24T00:00:00"/>
    <s v="C76761"/>
    <x v="4"/>
    <n v="4"/>
    <n v="117.51"/>
    <x v="0"/>
    <x v="2"/>
    <n v="7"/>
    <m/>
    <x v="1"/>
    <n v="470.04"/>
    <s v="Electronics"/>
    <s v="Medium"/>
    <n v="80000"/>
    <n v="470.04"/>
    <x v="12"/>
    <d v="2023-03-01T00:00:00"/>
  </r>
  <r>
    <s v="ORD200096"/>
    <d v="2024-06-01T00:00:00"/>
    <s v="C93007"/>
    <x v="1"/>
    <n v="2"/>
    <n v="232.83"/>
    <x v="3"/>
    <x v="3"/>
    <n v="7"/>
    <m/>
    <x v="0"/>
    <n v="465.66"/>
    <s v="Electronics"/>
    <s v="High"/>
    <n v="120000"/>
    <n v="465.66"/>
    <x v="23"/>
    <d v="2024-06-01T00:00:00"/>
  </r>
  <r>
    <s v="ORD200097"/>
    <d v="2025-01-21T00:00:00"/>
    <s v="C15624"/>
    <x v="2"/>
    <n v="5"/>
    <n v="619.52"/>
    <x v="0"/>
    <x v="4"/>
    <n v="9"/>
    <m/>
    <x v="2"/>
    <n v="3097.6"/>
    <s v="Electronics"/>
    <s v="Medium"/>
    <n v="100000"/>
    <n v="3097.6"/>
    <x v="27"/>
    <d v="2025-01-01T00:00:00"/>
  </r>
  <r>
    <s v="ORD200098"/>
    <d v="2023-01-14T00:00:00"/>
    <s v="C70921"/>
    <x v="4"/>
    <n v="2"/>
    <n v="228.54"/>
    <x v="0"/>
    <x v="4"/>
    <n v="3"/>
    <m/>
    <x v="2"/>
    <n v="457.08"/>
    <s v="Electronics"/>
    <s v="Medium"/>
    <n v="80000"/>
    <n v="457.08"/>
    <x v="0"/>
    <d v="2023-01-01T00:00:00"/>
  </r>
  <r>
    <s v="ORD200099"/>
    <d v="2025-04-12T00:00:00"/>
    <s v="C30477"/>
    <x v="4"/>
    <n v="1"/>
    <n v="201.58"/>
    <x v="0"/>
    <x v="1"/>
    <n v="2"/>
    <s v="WINTER15"/>
    <x v="2"/>
    <n v="201.58"/>
    <s v="Electronics"/>
    <s v="Medium"/>
    <n v="80000"/>
    <n v="201.58"/>
    <x v="7"/>
    <d v="2025-04-01T00:00:00"/>
  </r>
  <r>
    <s v="ORD200100"/>
    <d v="2023-02-17T00:00:00"/>
    <s v="C74866"/>
    <x v="1"/>
    <n v="3"/>
    <n v="664.79"/>
    <x v="1"/>
    <x v="3"/>
    <n v="6"/>
    <m/>
    <x v="3"/>
    <n v="1994.37"/>
    <s v="Electronics"/>
    <s v="High"/>
    <n v="120000"/>
    <n v="1994.37"/>
    <x v="26"/>
    <d v="2023-02-01T00:00:00"/>
  </r>
  <r>
    <s v="ORD200101"/>
    <d v="2023-11-25T00:00:00"/>
    <s v="C15283"/>
    <x v="4"/>
    <n v="1"/>
    <n v="381.02"/>
    <x v="4"/>
    <x v="0"/>
    <n v="6"/>
    <m/>
    <x v="4"/>
    <n v="381.02"/>
    <s v="Electronics"/>
    <s v="Medium"/>
    <n v="80000"/>
    <n v="381.02"/>
    <x v="8"/>
    <d v="2023-11-01T00:00:00"/>
  </r>
  <r>
    <s v="ORD200102"/>
    <d v="2023-03-08T00:00:00"/>
    <s v="C18037"/>
    <x v="5"/>
    <n v="2"/>
    <n v="70.34"/>
    <x v="3"/>
    <x v="1"/>
    <n v="3"/>
    <s v="FREESHIP"/>
    <x v="2"/>
    <n v="140.68"/>
    <s v="Electronics"/>
    <s v="High"/>
    <n v="150000"/>
    <n v="140.68"/>
    <x v="12"/>
    <d v="2023-03-01T00:00:00"/>
  </r>
  <r>
    <s v="ORD200103"/>
    <d v="2025-01-25T00:00:00"/>
    <s v="C62656"/>
    <x v="1"/>
    <n v="4"/>
    <n v="218.43"/>
    <x v="2"/>
    <x v="1"/>
    <n v="9"/>
    <s v="SAVE10"/>
    <x v="2"/>
    <n v="873.72"/>
    <s v="Electronics"/>
    <s v="High"/>
    <n v="120000"/>
    <n v="873.72"/>
    <x v="27"/>
    <d v="2025-01-01T00:00:00"/>
  </r>
  <r>
    <s v="ORD200104"/>
    <d v="2024-07-30T00:00:00"/>
    <s v="C65744"/>
    <x v="1"/>
    <n v="1"/>
    <n v="582.04"/>
    <x v="3"/>
    <x v="3"/>
    <n v="1"/>
    <s v="FREESHIP"/>
    <x v="2"/>
    <n v="582.04"/>
    <s v="Electronics"/>
    <s v="High"/>
    <n v="120000"/>
    <n v="582.04"/>
    <x v="17"/>
    <d v="2024-07-01T00:00:00"/>
  </r>
  <r>
    <s v="ORD200105"/>
    <d v="2024-10-24T00:00:00"/>
    <s v="C72290"/>
    <x v="4"/>
    <n v="3"/>
    <n v="185.4"/>
    <x v="3"/>
    <x v="1"/>
    <n v="7"/>
    <m/>
    <x v="3"/>
    <n v="556.20000000000005"/>
    <s v="Electronics"/>
    <s v="Medium"/>
    <n v="80000"/>
    <n v="556.20000000000005"/>
    <x v="10"/>
    <d v="2024-10-01T00:00:00"/>
  </r>
  <r>
    <s v="ORD200106"/>
    <d v="2023-09-08T00:00:00"/>
    <s v="C73514"/>
    <x v="6"/>
    <n v="3"/>
    <n v="465.05"/>
    <x v="2"/>
    <x v="1"/>
    <n v="3"/>
    <s v="SAVE10"/>
    <x v="2"/>
    <n v="1395.15"/>
    <s v="Furniture"/>
    <s v="High"/>
    <n v="75000"/>
    <n v="1395.15"/>
    <x v="24"/>
    <d v="2023-09-01T00:00:00"/>
  </r>
  <r>
    <s v="ORD200107"/>
    <d v="2023-03-27T00:00:00"/>
    <s v="C16775"/>
    <x v="4"/>
    <n v="5"/>
    <n v="670.75"/>
    <x v="3"/>
    <x v="0"/>
    <n v="8"/>
    <s v="FREESHIP"/>
    <x v="0"/>
    <n v="3353.75"/>
    <s v="Electronics"/>
    <s v="Medium"/>
    <n v="80000"/>
    <n v="3353.75"/>
    <x v="12"/>
    <d v="2023-03-01T00:00:00"/>
  </r>
  <r>
    <s v="ORD200108"/>
    <d v="2024-12-28T00:00:00"/>
    <s v="C33099"/>
    <x v="5"/>
    <n v="5"/>
    <n v="48.38"/>
    <x v="3"/>
    <x v="3"/>
    <n v="9"/>
    <s v="WINTER15"/>
    <x v="2"/>
    <n v="241.9"/>
    <s v="Electronics"/>
    <s v="High"/>
    <n v="150000"/>
    <n v="241.9"/>
    <x v="20"/>
    <d v="2024-12-01T00:00:00"/>
  </r>
  <r>
    <s v="ORD200109"/>
    <d v="2023-09-17T00:00:00"/>
    <s v="C51157"/>
    <x v="6"/>
    <n v="3"/>
    <n v="592.87"/>
    <x v="3"/>
    <x v="0"/>
    <n v="3"/>
    <s v="FREESHIP"/>
    <x v="1"/>
    <n v="1778.61"/>
    <s v="Furniture"/>
    <s v="High"/>
    <n v="75000"/>
    <n v="1778.61"/>
    <x v="24"/>
    <d v="2023-09-01T00:00:00"/>
  </r>
  <r>
    <s v="ORD200110"/>
    <d v="2024-04-21T00:00:00"/>
    <s v="C74562"/>
    <x v="2"/>
    <n v="1"/>
    <n v="220.77"/>
    <x v="3"/>
    <x v="4"/>
    <n v="5"/>
    <s v="FREESHIP"/>
    <x v="0"/>
    <n v="220.77"/>
    <s v="Electronics"/>
    <s v="Medium"/>
    <n v="100000"/>
    <n v="220.77"/>
    <x v="28"/>
    <d v="2024-04-01T00:00:00"/>
  </r>
  <r>
    <s v="ORD200111"/>
    <d v="2025-05-07T00:00:00"/>
    <s v="C95271"/>
    <x v="6"/>
    <n v="3"/>
    <n v="309.22000000000003"/>
    <x v="1"/>
    <x v="1"/>
    <n v="7"/>
    <s v="FREESHIP"/>
    <x v="4"/>
    <n v="927.66000000000008"/>
    <s v="Furniture"/>
    <s v="High"/>
    <n v="75000"/>
    <n v="927.66000000000008"/>
    <x v="4"/>
    <d v="2025-05-01T00:00:00"/>
  </r>
  <r>
    <s v="ORD200112"/>
    <d v="2023-01-01T00:00:00"/>
    <s v="C81366"/>
    <x v="0"/>
    <n v="1"/>
    <n v="410.6"/>
    <x v="1"/>
    <x v="1"/>
    <n v="2"/>
    <s v="WINTER15"/>
    <x v="1"/>
    <n v="410.6"/>
    <s v="Electronics"/>
    <s v="Medium"/>
    <n v="90000"/>
    <n v="410.6"/>
    <x v="0"/>
    <d v="2023-01-01T00:00:00"/>
  </r>
  <r>
    <s v="ORD200113"/>
    <d v="2024-01-17T00:00:00"/>
    <s v="C65905"/>
    <x v="5"/>
    <n v="5"/>
    <n v="190.08"/>
    <x v="4"/>
    <x v="0"/>
    <n v="9"/>
    <s v="FREESHIP"/>
    <x v="0"/>
    <n v="950.40000000000009"/>
    <s v="Electronics"/>
    <s v="High"/>
    <n v="150000"/>
    <n v="950.40000000000009"/>
    <x v="25"/>
    <d v="2024-01-01T00:00:00"/>
  </r>
  <r>
    <s v="ORD200114"/>
    <d v="2025-01-27T00:00:00"/>
    <s v="C77272"/>
    <x v="0"/>
    <n v="5"/>
    <n v="498.48"/>
    <x v="1"/>
    <x v="4"/>
    <n v="8"/>
    <s v="SAVE10"/>
    <x v="4"/>
    <n v="2492.4"/>
    <s v="Electronics"/>
    <s v="Medium"/>
    <n v="90000"/>
    <n v="2492.4"/>
    <x v="27"/>
    <d v="2025-01-01T00:00:00"/>
  </r>
  <r>
    <s v="ORD200115"/>
    <d v="2023-11-27T00:00:00"/>
    <s v="C32580"/>
    <x v="1"/>
    <n v="5"/>
    <n v="374.99"/>
    <x v="1"/>
    <x v="0"/>
    <n v="9"/>
    <s v="SAVE10"/>
    <x v="3"/>
    <n v="1874.95"/>
    <s v="Electronics"/>
    <s v="High"/>
    <n v="120000"/>
    <n v="1874.95"/>
    <x v="8"/>
    <d v="2023-11-01T00:00:00"/>
  </r>
  <r>
    <s v="ORD200116"/>
    <d v="2023-03-19T00:00:00"/>
    <s v="C47761"/>
    <x v="4"/>
    <n v="4"/>
    <n v="291.35000000000002"/>
    <x v="2"/>
    <x v="1"/>
    <n v="6"/>
    <s v="WINTER15"/>
    <x v="3"/>
    <n v="1165.4000000000001"/>
    <s v="Electronics"/>
    <s v="Medium"/>
    <n v="80000"/>
    <n v="1165.4000000000001"/>
    <x v="12"/>
    <d v="2023-03-01T00:00:00"/>
  </r>
  <r>
    <s v="ORD200117"/>
    <d v="2023-03-08T00:00:00"/>
    <s v="C49187"/>
    <x v="2"/>
    <n v="1"/>
    <n v="535.5"/>
    <x v="3"/>
    <x v="1"/>
    <n v="5"/>
    <s v="WINTER15"/>
    <x v="1"/>
    <n v="535.5"/>
    <s v="Electronics"/>
    <s v="Medium"/>
    <n v="100000"/>
    <n v="535.5"/>
    <x v="12"/>
    <d v="2023-03-01T00:00:00"/>
  </r>
  <r>
    <s v="ORD200118"/>
    <d v="2023-10-09T00:00:00"/>
    <s v="C27898"/>
    <x v="4"/>
    <n v="5"/>
    <n v="502.71"/>
    <x v="3"/>
    <x v="0"/>
    <n v="7"/>
    <s v="FREESHIP"/>
    <x v="4"/>
    <n v="2513.5500000000002"/>
    <s v="Electronics"/>
    <s v="Medium"/>
    <n v="80000"/>
    <n v="2513.5500000000002"/>
    <x v="3"/>
    <d v="2023-10-01T00:00:00"/>
  </r>
  <r>
    <s v="ORD200119"/>
    <d v="2025-06-11T00:00:00"/>
    <s v="C14683"/>
    <x v="6"/>
    <n v="2"/>
    <n v="534.66999999999996"/>
    <x v="0"/>
    <x v="0"/>
    <n v="7"/>
    <s v="FREESHIP"/>
    <x v="1"/>
    <n v="1069.3399999999999"/>
    <s v="Furniture"/>
    <s v="High"/>
    <n v="75000"/>
    <n v="1069.3399999999999"/>
    <x v="5"/>
    <d v="2025-06-01T00:00:00"/>
  </r>
  <r>
    <s v="ORD200120"/>
    <d v="2023-04-11T00:00:00"/>
    <s v="C58108"/>
    <x v="2"/>
    <n v="4"/>
    <n v="629.34"/>
    <x v="4"/>
    <x v="1"/>
    <n v="4"/>
    <s v="WINTER15"/>
    <x v="0"/>
    <n v="2517.36"/>
    <s v="Electronics"/>
    <s v="Medium"/>
    <n v="100000"/>
    <n v="2517.36"/>
    <x v="29"/>
    <d v="2023-04-01T00:00:00"/>
  </r>
  <r>
    <s v="ORD200121"/>
    <d v="2023-11-30T00:00:00"/>
    <s v="C89822"/>
    <x v="6"/>
    <n v="1"/>
    <n v="410.78"/>
    <x v="4"/>
    <x v="1"/>
    <n v="1"/>
    <s v="FREESHIP"/>
    <x v="0"/>
    <n v="410.78"/>
    <s v="Furniture"/>
    <s v="High"/>
    <n v="75000"/>
    <n v="410.78"/>
    <x v="8"/>
    <d v="2023-11-01T00:00:00"/>
  </r>
  <r>
    <s v="ORD200122"/>
    <d v="2024-04-15T00:00:00"/>
    <s v="C96787"/>
    <x v="5"/>
    <n v="2"/>
    <n v="533.02"/>
    <x v="3"/>
    <x v="0"/>
    <n v="2"/>
    <m/>
    <x v="3"/>
    <n v="1066.04"/>
    <s v="Electronics"/>
    <s v="High"/>
    <n v="150000"/>
    <n v="1066.04"/>
    <x v="28"/>
    <d v="2024-04-01T00:00:00"/>
  </r>
  <r>
    <s v="ORD200123"/>
    <d v="2023-07-06T00:00:00"/>
    <s v="C86064"/>
    <x v="6"/>
    <n v="3"/>
    <n v="278.04000000000002"/>
    <x v="1"/>
    <x v="3"/>
    <n v="5"/>
    <m/>
    <x v="0"/>
    <n v="834.12000000000012"/>
    <s v="Furniture"/>
    <s v="High"/>
    <n v="75000"/>
    <n v="834.12000000000012"/>
    <x v="13"/>
    <d v="2023-07-01T00:00:00"/>
  </r>
  <r>
    <s v="ORD200124"/>
    <d v="2024-07-28T00:00:00"/>
    <s v="C97148"/>
    <x v="4"/>
    <n v="4"/>
    <n v="283.79000000000002"/>
    <x v="1"/>
    <x v="4"/>
    <n v="8"/>
    <m/>
    <x v="4"/>
    <n v="1135.1600000000001"/>
    <s v="Electronics"/>
    <s v="Medium"/>
    <n v="80000"/>
    <n v="1135.1600000000001"/>
    <x v="17"/>
    <d v="2024-07-01T00:00:00"/>
  </r>
  <r>
    <s v="ORD200125"/>
    <d v="2024-11-06T00:00:00"/>
    <s v="C91099"/>
    <x v="1"/>
    <n v="2"/>
    <n v="512.65"/>
    <x v="2"/>
    <x v="0"/>
    <n v="5"/>
    <s v="SAVE10"/>
    <x v="2"/>
    <n v="1025.3"/>
    <s v="Electronics"/>
    <s v="High"/>
    <n v="120000"/>
    <n v="1025.3"/>
    <x v="16"/>
    <d v="2024-11-01T00:00:00"/>
  </r>
  <r>
    <s v="ORD200126"/>
    <d v="2025-05-03T00:00:00"/>
    <s v="C55606"/>
    <x v="6"/>
    <n v="4"/>
    <n v="275.5"/>
    <x v="3"/>
    <x v="0"/>
    <n v="8"/>
    <s v="FREESHIP"/>
    <x v="4"/>
    <n v="1102"/>
    <s v="Furniture"/>
    <s v="High"/>
    <n v="75000"/>
    <n v="1102"/>
    <x v="4"/>
    <d v="2025-05-01T00:00:00"/>
  </r>
  <r>
    <s v="ORD200127"/>
    <d v="2023-08-10T00:00:00"/>
    <s v="C71486"/>
    <x v="6"/>
    <n v="3"/>
    <n v="469.32"/>
    <x v="0"/>
    <x v="0"/>
    <n v="3"/>
    <m/>
    <x v="4"/>
    <n v="1407.96"/>
    <s v="Furniture"/>
    <s v="High"/>
    <n v="75000"/>
    <n v="1407.96"/>
    <x v="11"/>
    <d v="2023-08-01T00:00:00"/>
  </r>
  <r>
    <s v="ORD200128"/>
    <d v="2023-02-17T00:00:00"/>
    <s v="C86408"/>
    <x v="2"/>
    <n v="4"/>
    <n v="21.07"/>
    <x v="3"/>
    <x v="3"/>
    <n v="4"/>
    <s v="FREESHIP"/>
    <x v="4"/>
    <n v="84.28"/>
    <s v="Electronics"/>
    <s v="Medium"/>
    <n v="100000"/>
    <n v="84.28"/>
    <x v="26"/>
    <d v="2023-02-01T00:00:00"/>
  </r>
  <r>
    <s v="ORD200129"/>
    <d v="2023-10-27T00:00:00"/>
    <s v="C52751"/>
    <x v="5"/>
    <n v="4"/>
    <n v="263.93"/>
    <x v="0"/>
    <x v="0"/>
    <n v="4"/>
    <s v="FREESHIP"/>
    <x v="3"/>
    <n v="1055.72"/>
    <s v="Electronics"/>
    <s v="High"/>
    <n v="150000"/>
    <n v="1055.72"/>
    <x v="3"/>
    <d v="2023-10-01T00:00:00"/>
  </r>
  <r>
    <s v="ORD200130"/>
    <d v="2025-01-22T00:00:00"/>
    <s v="C29059"/>
    <x v="6"/>
    <n v="3"/>
    <n v="501.3"/>
    <x v="1"/>
    <x v="1"/>
    <n v="3"/>
    <s v="WINTER15"/>
    <x v="3"/>
    <n v="1503.9"/>
    <s v="Furniture"/>
    <s v="High"/>
    <n v="75000"/>
    <n v="1503.9"/>
    <x v="27"/>
    <d v="2025-01-01T00:00:00"/>
  </r>
  <r>
    <s v="ORD200131"/>
    <d v="2023-01-08T00:00:00"/>
    <s v="C72862"/>
    <x v="2"/>
    <n v="1"/>
    <n v="84.8"/>
    <x v="3"/>
    <x v="4"/>
    <n v="5"/>
    <m/>
    <x v="0"/>
    <n v="84.8"/>
    <s v="Electronics"/>
    <s v="Medium"/>
    <n v="100000"/>
    <n v="84.8"/>
    <x v="0"/>
    <d v="2023-01-01T00:00:00"/>
  </r>
  <r>
    <s v="ORD200132"/>
    <d v="2023-03-28T00:00:00"/>
    <s v="C96257"/>
    <x v="2"/>
    <n v="4"/>
    <n v="450.75"/>
    <x v="2"/>
    <x v="0"/>
    <n v="6"/>
    <s v="WINTER15"/>
    <x v="2"/>
    <n v="1803"/>
    <s v="Electronics"/>
    <s v="Medium"/>
    <n v="100000"/>
    <n v="1803"/>
    <x v="12"/>
    <d v="2023-03-01T00:00:00"/>
  </r>
  <r>
    <s v="ORD200133"/>
    <d v="2025-06-20T00:00:00"/>
    <s v="C87432"/>
    <x v="3"/>
    <n v="4"/>
    <n v="302.05"/>
    <x v="0"/>
    <x v="1"/>
    <n v="6"/>
    <s v="SAVE10"/>
    <x v="4"/>
    <n v="1208.2"/>
    <s v="Furniture"/>
    <s v="Medium"/>
    <n v="70000"/>
    <n v="1208.2"/>
    <x v="5"/>
    <d v="2025-06-01T00:00:00"/>
  </r>
  <r>
    <s v="ORD200134"/>
    <d v="2025-06-23T00:00:00"/>
    <s v="C16253"/>
    <x v="5"/>
    <n v="2"/>
    <n v="199.7"/>
    <x v="4"/>
    <x v="4"/>
    <n v="4"/>
    <m/>
    <x v="2"/>
    <n v="399.4"/>
    <s v="Electronics"/>
    <s v="High"/>
    <n v="150000"/>
    <n v="399.4"/>
    <x v="5"/>
    <d v="2025-06-01T00:00:00"/>
  </r>
  <r>
    <s v="ORD200135"/>
    <d v="2023-08-04T00:00:00"/>
    <s v="C79909"/>
    <x v="4"/>
    <n v="2"/>
    <n v="68.81"/>
    <x v="3"/>
    <x v="0"/>
    <n v="5"/>
    <s v="SAVE10"/>
    <x v="1"/>
    <n v="137.62"/>
    <s v="Electronics"/>
    <s v="Medium"/>
    <n v="80000"/>
    <n v="137.62"/>
    <x v="11"/>
    <d v="2023-08-01T00:00:00"/>
  </r>
  <r>
    <s v="ORD200136"/>
    <d v="2024-04-27T00:00:00"/>
    <s v="C73370"/>
    <x v="5"/>
    <n v="1"/>
    <n v="44.35"/>
    <x v="3"/>
    <x v="1"/>
    <n v="1"/>
    <s v="SAVE10"/>
    <x v="0"/>
    <n v="44.35"/>
    <s v="Electronics"/>
    <s v="High"/>
    <n v="150000"/>
    <n v="44.35"/>
    <x v="28"/>
    <d v="2024-04-01T00:00:00"/>
  </r>
  <r>
    <s v="ORD200137"/>
    <d v="2024-11-26T00:00:00"/>
    <s v="C50682"/>
    <x v="0"/>
    <n v="2"/>
    <n v="250.98"/>
    <x v="2"/>
    <x v="3"/>
    <n v="5"/>
    <m/>
    <x v="4"/>
    <n v="501.96"/>
    <s v="Electronics"/>
    <s v="Medium"/>
    <n v="90000"/>
    <n v="501.96"/>
    <x v="16"/>
    <d v="2024-11-01T00:00:00"/>
  </r>
  <r>
    <s v="ORD200138"/>
    <d v="2023-12-21T00:00:00"/>
    <s v="C21905"/>
    <x v="2"/>
    <n v="1"/>
    <n v="298.06"/>
    <x v="0"/>
    <x v="4"/>
    <n v="3"/>
    <s v="WINTER15"/>
    <x v="4"/>
    <n v="298.06"/>
    <s v="Electronics"/>
    <s v="Medium"/>
    <n v="100000"/>
    <n v="298.06"/>
    <x v="9"/>
    <d v="2023-12-01T00:00:00"/>
  </r>
  <r>
    <s v="ORD200139"/>
    <d v="2023-04-10T00:00:00"/>
    <s v="C61440"/>
    <x v="1"/>
    <n v="1"/>
    <n v="583.9"/>
    <x v="4"/>
    <x v="2"/>
    <n v="1"/>
    <m/>
    <x v="2"/>
    <n v="583.9"/>
    <s v="Electronics"/>
    <s v="High"/>
    <n v="120000"/>
    <n v="583.9"/>
    <x v="29"/>
    <d v="2023-04-01T00:00:00"/>
  </r>
  <r>
    <s v="ORD200140"/>
    <d v="2025-05-31T00:00:00"/>
    <s v="C33110"/>
    <x v="3"/>
    <n v="3"/>
    <n v="528.14"/>
    <x v="1"/>
    <x v="3"/>
    <n v="3"/>
    <s v="FREESHIP"/>
    <x v="2"/>
    <n v="1584.42"/>
    <s v="Furniture"/>
    <s v="Medium"/>
    <n v="70000"/>
    <n v="1584.42"/>
    <x v="4"/>
    <d v="2025-05-01T00:00:00"/>
  </r>
  <r>
    <s v="ORD200141"/>
    <d v="2023-11-18T00:00:00"/>
    <s v="C80004"/>
    <x v="4"/>
    <n v="3"/>
    <n v="684.14"/>
    <x v="4"/>
    <x v="1"/>
    <n v="3"/>
    <s v="WINTER15"/>
    <x v="0"/>
    <n v="2052.42"/>
    <s v="Electronics"/>
    <s v="Medium"/>
    <n v="80000"/>
    <n v="2052.42"/>
    <x v="8"/>
    <d v="2023-11-01T00:00:00"/>
  </r>
  <r>
    <s v="ORD200142"/>
    <d v="2023-09-06T00:00:00"/>
    <s v="C86374"/>
    <x v="6"/>
    <n v="5"/>
    <n v="272.77"/>
    <x v="4"/>
    <x v="4"/>
    <n v="7"/>
    <s v="WINTER15"/>
    <x v="2"/>
    <n v="1363.85"/>
    <s v="Furniture"/>
    <s v="High"/>
    <n v="75000"/>
    <n v="1363.85"/>
    <x v="24"/>
    <d v="2023-09-01T00:00:00"/>
  </r>
  <r>
    <s v="ORD200143"/>
    <d v="2024-06-13T00:00:00"/>
    <s v="C66521"/>
    <x v="3"/>
    <n v="4"/>
    <n v="400.07"/>
    <x v="1"/>
    <x v="0"/>
    <n v="5"/>
    <m/>
    <x v="1"/>
    <n v="1600.28"/>
    <s v="Furniture"/>
    <s v="Medium"/>
    <n v="70000"/>
    <n v="1600.28"/>
    <x v="23"/>
    <d v="2024-06-01T00:00:00"/>
  </r>
  <r>
    <s v="ORD200144"/>
    <d v="2023-08-04T00:00:00"/>
    <s v="C63365"/>
    <x v="6"/>
    <n v="5"/>
    <n v="219.78"/>
    <x v="2"/>
    <x v="4"/>
    <n v="8"/>
    <m/>
    <x v="3"/>
    <n v="1098.9000000000001"/>
    <s v="Furniture"/>
    <s v="High"/>
    <n v="75000"/>
    <n v="1098.9000000000001"/>
    <x v="11"/>
    <d v="2023-08-01T00:00:00"/>
  </r>
  <r>
    <s v="ORD200145"/>
    <d v="2024-03-02T00:00:00"/>
    <s v="C85929"/>
    <x v="4"/>
    <n v="3"/>
    <n v="146.91"/>
    <x v="2"/>
    <x v="3"/>
    <n v="6"/>
    <s v="FREESHIP"/>
    <x v="4"/>
    <n v="440.73"/>
    <s v="Electronics"/>
    <s v="Medium"/>
    <n v="80000"/>
    <n v="440.73"/>
    <x v="14"/>
    <d v="2024-03-01T00:00:00"/>
  </r>
  <r>
    <s v="ORD200146"/>
    <d v="2025-04-30T00:00:00"/>
    <s v="C84645"/>
    <x v="2"/>
    <n v="2"/>
    <n v="411.49"/>
    <x v="2"/>
    <x v="2"/>
    <n v="4"/>
    <m/>
    <x v="0"/>
    <n v="822.98"/>
    <s v="Electronics"/>
    <s v="Medium"/>
    <n v="100000"/>
    <n v="822.98"/>
    <x v="7"/>
    <d v="2025-04-01T00:00:00"/>
  </r>
  <r>
    <s v="ORD200147"/>
    <d v="2025-05-06T00:00:00"/>
    <s v="C46316"/>
    <x v="5"/>
    <n v="2"/>
    <n v="465.18"/>
    <x v="2"/>
    <x v="1"/>
    <n v="2"/>
    <s v="SAVE10"/>
    <x v="4"/>
    <n v="930.36"/>
    <s v="Electronics"/>
    <s v="High"/>
    <n v="150000"/>
    <n v="930.36"/>
    <x v="4"/>
    <d v="2025-05-01T00:00:00"/>
  </r>
  <r>
    <s v="ORD200148"/>
    <d v="2024-12-15T00:00:00"/>
    <s v="C35100"/>
    <x v="1"/>
    <n v="2"/>
    <n v="319.91000000000003"/>
    <x v="2"/>
    <x v="1"/>
    <n v="3"/>
    <s v="WINTER15"/>
    <x v="4"/>
    <n v="639.82000000000005"/>
    <s v="Electronics"/>
    <s v="High"/>
    <n v="120000"/>
    <n v="639.82000000000005"/>
    <x v="20"/>
    <d v="2024-12-01T00:00:00"/>
  </r>
  <r>
    <s v="ORD200149"/>
    <d v="2023-12-27T00:00:00"/>
    <s v="C39671"/>
    <x v="5"/>
    <n v="1"/>
    <n v="217.56"/>
    <x v="0"/>
    <x v="3"/>
    <n v="3"/>
    <m/>
    <x v="3"/>
    <n v="217.56"/>
    <s v="Electronics"/>
    <s v="High"/>
    <n v="150000"/>
    <n v="217.56"/>
    <x v="9"/>
    <d v="2023-12-01T00:00:00"/>
  </r>
  <r>
    <s v="ORD200150"/>
    <d v="2023-12-13T00:00:00"/>
    <s v="C25503"/>
    <x v="1"/>
    <n v="2"/>
    <n v="105.57"/>
    <x v="0"/>
    <x v="2"/>
    <n v="5"/>
    <s v="WINTER15"/>
    <x v="4"/>
    <n v="211.14"/>
    <s v="Electronics"/>
    <s v="High"/>
    <n v="120000"/>
    <n v="211.14"/>
    <x v="9"/>
    <d v="2023-12-01T00:00:00"/>
  </r>
  <r>
    <s v="ORD200151"/>
    <d v="2023-12-01T00:00:00"/>
    <s v="C32960"/>
    <x v="4"/>
    <n v="5"/>
    <n v="444.76"/>
    <x v="0"/>
    <x v="2"/>
    <n v="7"/>
    <m/>
    <x v="2"/>
    <n v="2223.8000000000002"/>
    <s v="Electronics"/>
    <s v="Medium"/>
    <n v="80000"/>
    <n v="2223.8000000000002"/>
    <x v="9"/>
    <d v="2023-12-01T00:00:00"/>
  </r>
  <r>
    <s v="ORD200152"/>
    <d v="2025-01-02T00:00:00"/>
    <s v="C77736"/>
    <x v="3"/>
    <n v="2"/>
    <n v="399.04"/>
    <x v="4"/>
    <x v="1"/>
    <n v="3"/>
    <s v="FREESHIP"/>
    <x v="1"/>
    <n v="798.08"/>
    <s v="Furniture"/>
    <s v="Medium"/>
    <n v="70000"/>
    <n v="798.08"/>
    <x v="27"/>
    <d v="2025-01-01T00:00:00"/>
  </r>
  <r>
    <s v="ORD200153"/>
    <d v="2024-12-18T00:00:00"/>
    <s v="C71570"/>
    <x v="3"/>
    <n v="4"/>
    <n v="534.48"/>
    <x v="1"/>
    <x v="2"/>
    <n v="9"/>
    <s v="WINTER15"/>
    <x v="0"/>
    <n v="2137.92"/>
    <s v="Furniture"/>
    <s v="Medium"/>
    <n v="70000"/>
    <n v="2137.92"/>
    <x v="20"/>
    <d v="2024-12-01T00:00:00"/>
  </r>
  <r>
    <s v="ORD200154"/>
    <d v="2023-07-20T00:00:00"/>
    <s v="C73587"/>
    <x v="1"/>
    <n v="4"/>
    <n v="408.21"/>
    <x v="2"/>
    <x v="4"/>
    <n v="9"/>
    <m/>
    <x v="0"/>
    <n v="1632.84"/>
    <s v="Electronics"/>
    <s v="High"/>
    <n v="120000"/>
    <n v="1632.84"/>
    <x v="13"/>
    <d v="2023-07-01T00:00:00"/>
  </r>
  <r>
    <s v="ORD200155"/>
    <d v="2023-02-27T00:00:00"/>
    <s v="C62740"/>
    <x v="1"/>
    <n v="1"/>
    <n v="424.4"/>
    <x v="1"/>
    <x v="0"/>
    <n v="6"/>
    <s v="WINTER15"/>
    <x v="1"/>
    <n v="424.4"/>
    <s v="Electronics"/>
    <s v="High"/>
    <n v="120000"/>
    <n v="424.4"/>
    <x v="26"/>
    <d v="2023-02-01T00:00:00"/>
  </r>
  <r>
    <s v="ORD200156"/>
    <d v="2024-11-08T00:00:00"/>
    <s v="C58808"/>
    <x v="3"/>
    <n v="2"/>
    <n v="269.83"/>
    <x v="1"/>
    <x v="3"/>
    <n v="4"/>
    <s v="SAVE10"/>
    <x v="2"/>
    <n v="539.66"/>
    <s v="Furniture"/>
    <s v="Medium"/>
    <n v="70000"/>
    <n v="539.66"/>
    <x v="16"/>
    <d v="2024-11-01T00:00:00"/>
  </r>
  <r>
    <s v="ORD200157"/>
    <d v="2025-02-21T00:00:00"/>
    <s v="C50422"/>
    <x v="0"/>
    <n v="2"/>
    <n v="564.58000000000004"/>
    <x v="1"/>
    <x v="2"/>
    <n v="4"/>
    <s v="WINTER15"/>
    <x v="3"/>
    <n v="1129.1600000000001"/>
    <s v="Electronics"/>
    <s v="Medium"/>
    <n v="90000"/>
    <n v="1129.1600000000001"/>
    <x v="21"/>
    <d v="2025-02-01T00:00:00"/>
  </r>
  <r>
    <s v="ORD200158"/>
    <d v="2024-05-16T00:00:00"/>
    <s v="C23334"/>
    <x v="2"/>
    <n v="1"/>
    <n v="331.06"/>
    <x v="2"/>
    <x v="4"/>
    <n v="5"/>
    <s v="WINTER15"/>
    <x v="0"/>
    <n v="331.06"/>
    <s v="Electronics"/>
    <s v="Medium"/>
    <n v="100000"/>
    <n v="331.06"/>
    <x v="22"/>
    <d v="2024-05-01T00:00:00"/>
  </r>
  <r>
    <s v="ORD200159"/>
    <d v="2023-10-31T00:00:00"/>
    <s v="C48965"/>
    <x v="4"/>
    <n v="1"/>
    <n v="299.35000000000002"/>
    <x v="2"/>
    <x v="1"/>
    <n v="5"/>
    <s v="WINTER15"/>
    <x v="2"/>
    <n v="299.35000000000002"/>
    <s v="Electronics"/>
    <s v="Medium"/>
    <n v="80000"/>
    <n v="299.35000000000002"/>
    <x v="3"/>
    <d v="2023-10-01T00:00:00"/>
  </r>
  <r>
    <s v="ORD200160"/>
    <d v="2023-02-17T00:00:00"/>
    <s v="C38669"/>
    <x v="0"/>
    <n v="4"/>
    <n v="101.32"/>
    <x v="4"/>
    <x v="4"/>
    <n v="7"/>
    <m/>
    <x v="1"/>
    <n v="405.28"/>
    <s v="Electronics"/>
    <s v="Medium"/>
    <n v="90000"/>
    <n v="405.28"/>
    <x v="26"/>
    <d v="2023-02-01T00:00:00"/>
  </r>
  <r>
    <s v="ORD200161"/>
    <d v="2024-03-29T00:00:00"/>
    <s v="C35091"/>
    <x v="0"/>
    <n v="1"/>
    <n v="211.14"/>
    <x v="2"/>
    <x v="1"/>
    <n v="1"/>
    <s v="SAVE10"/>
    <x v="3"/>
    <n v="211.14"/>
    <s v="Electronics"/>
    <s v="Medium"/>
    <n v="90000"/>
    <n v="211.14"/>
    <x v="14"/>
    <d v="2024-03-01T00:00:00"/>
  </r>
  <r>
    <s v="ORD200162"/>
    <d v="2023-07-27T00:00:00"/>
    <s v="C82313"/>
    <x v="3"/>
    <n v="3"/>
    <n v="65.86"/>
    <x v="1"/>
    <x v="4"/>
    <n v="8"/>
    <s v="WINTER15"/>
    <x v="4"/>
    <n v="197.58"/>
    <s v="Furniture"/>
    <s v="Medium"/>
    <n v="70000"/>
    <n v="197.58"/>
    <x v="13"/>
    <d v="2023-07-01T00:00:00"/>
  </r>
  <r>
    <s v="ORD200163"/>
    <d v="2025-06-24T00:00:00"/>
    <s v="C99589"/>
    <x v="2"/>
    <n v="1"/>
    <n v="641.39"/>
    <x v="1"/>
    <x v="1"/>
    <n v="1"/>
    <m/>
    <x v="1"/>
    <n v="641.39"/>
    <s v="Electronics"/>
    <s v="Medium"/>
    <n v="100000"/>
    <n v="641.39"/>
    <x v="5"/>
    <d v="2025-06-01T00:00:00"/>
  </r>
  <r>
    <s v="ORD200164"/>
    <d v="2023-12-28T00:00:00"/>
    <s v="C70566"/>
    <x v="6"/>
    <n v="5"/>
    <n v="536.58000000000004"/>
    <x v="3"/>
    <x v="4"/>
    <n v="5"/>
    <s v="SAVE10"/>
    <x v="4"/>
    <n v="2682.9"/>
    <s v="Furniture"/>
    <s v="High"/>
    <n v="75000"/>
    <n v="2682.9"/>
    <x v="9"/>
    <d v="2023-12-01T00:00:00"/>
  </r>
  <r>
    <s v="ORD200165"/>
    <d v="2024-09-14T00:00:00"/>
    <s v="C60355"/>
    <x v="0"/>
    <n v="2"/>
    <n v="500.29"/>
    <x v="1"/>
    <x v="2"/>
    <n v="7"/>
    <s v="WINTER15"/>
    <x v="4"/>
    <n v="1000.58"/>
    <s v="Electronics"/>
    <s v="Medium"/>
    <n v="90000"/>
    <n v="1000.58"/>
    <x v="18"/>
    <d v="2024-09-01T00:00:00"/>
  </r>
  <r>
    <s v="ORD200166"/>
    <d v="2025-03-04T00:00:00"/>
    <s v="C28889"/>
    <x v="3"/>
    <n v="3"/>
    <n v="86.29"/>
    <x v="4"/>
    <x v="3"/>
    <n v="6"/>
    <s v="WINTER15"/>
    <x v="0"/>
    <n v="258.87"/>
    <s v="Furniture"/>
    <s v="Medium"/>
    <n v="70000"/>
    <n v="258.87"/>
    <x v="15"/>
    <d v="2025-03-01T00:00:00"/>
  </r>
  <r>
    <s v="ORD200167"/>
    <d v="2023-05-27T00:00:00"/>
    <s v="C88304"/>
    <x v="3"/>
    <n v="2"/>
    <n v="384.14"/>
    <x v="1"/>
    <x v="2"/>
    <n v="2"/>
    <s v="WINTER15"/>
    <x v="2"/>
    <n v="768.28"/>
    <s v="Furniture"/>
    <s v="Medium"/>
    <n v="70000"/>
    <n v="768.28"/>
    <x v="6"/>
    <d v="2023-05-01T00:00:00"/>
  </r>
  <r>
    <s v="ORD200168"/>
    <d v="2025-01-04T00:00:00"/>
    <s v="C49517"/>
    <x v="4"/>
    <n v="1"/>
    <n v="594.96"/>
    <x v="4"/>
    <x v="2"/>
    <n v="6"/>
    <m/>
    <x v="3"/>
    <n v="594.96"/>
    <s v="Electronics"/>
    <s v="Medium"/>
    <n v="80000"/>
    <n v="594.96"/>
    <x v="27"/>
    <d v="2025-01-01T00:00:00"/>
  </r>
  <r>
    <s v="ORD200169"/>
    <d v="2024-04-07T00:00:00"/>
    <s v="C35785"/>
    <x v="4"/>
    <n v="1"/>
    <n v="427.82"/>
    <x v="1"/>
    <x v="3"/>
    <n v="2"/>
    <s v="WINTER15"/>
    <x v="2"/>
    <n v="427.82"/>
    <s v="Electronics"/>
    <s v="Medium"/>
    <n v="80000"/>
    <n v="427.82"/>
    <x v="28"/>
    <d v="2024-04-01T00:00:00"/>
  </r>
  <r>
    <s v="ORD200170"/>
    <d v="2025-04-04T00:00:00"/>
    <s v="C80223"/>
    <x v="6"/>
    <n v="4"/>
    <n v="662.94"/>
    <x v="4"/>
    <x v="1"/>
    <n v="8"/>
    <s v="SAVE10"/>
    <x v="0"/>
    <n v="2651.76"/>
    <s v="Furniture"/>
    <s v="High"/>
    <n v="75000"/>
    <n v="2651.76"/>
    <x v="7"/>
    <d v="2025-04-01T00:00:00"/>
  </r>
  <r>
    <s v="ORD200171"/>
    <d v="2023-08-15T00:00:00"/>
    <s v="C20448"/>
    <x v="2"/>
    <n v="2"/>
    <n v="148.22"/>
    <x v="2"/>
    <x v="3"/>
    <n v="7"/>
    <s v="WINTER15"/>
    <x v="0"/>
    <n v="296.44"/>
    <s v="Electronics"/>
    <s v="Medium"/>
    <n v="100000"/>
    <n v="296.44"/>
    <x v="11"/>
    <d v="2023-08-01T00:00:00"/>
  </r>
  <r>
    <s v="ORD200172"/>
    <d v="2025-04-06T00:00:00"/>
    <s v="C34134"/>
    <x v="4"/>
    <n v="1"/>
    <n v="254.12"/>
    <x v="1"/>
    <x v="3"/>
    <n v="1"/>
    <s v="WINTER15"/>
    <x v="2"/>
    <n v="254.12"/>
    <s v="Electronics"/>
    <s v="Medium"/>
    <n v="80000"/>
    <n v="254.12"/>
    <x v="7"/>
    <d v="2025-04-01T00:00:00"/>
  </r>
  <r>
    <s v="ORD200173"/>
    <d v="2024-03-24T00:00:00"/>
    <s v="C95901"/>
    <x v="1"/>
    <n v="3"/>
    <n v="664.46"/>
    <x v="1"/>
    <x v="3"/>
    <n v="4"/>
    <s v="FREESHIP"/>
    <x v="4"/>
    <n v="1993.38"/>
    <s v="Electronics"/>
    <s v="High"/>
    <n v="120000"/>
    <n v="1993.38"/>
    <x v="14"/>
    <d v="2024-03-01T00:00:00"/>
  </r>
  <r>
    <s v="ORD200174"/>
    <d v="2024-04-16T00:00:00"/>
    <s v="C51145"/>
    <x v="4"/>
    <n v="4"/>
    <n v="600.80999999999995"/>
    <x v="0"/>
    <x v="3"/>
    <n v="9"/>
    <s v="SAVE10"/>
    <x v="2"/>
    <n v="2403.2399999999998"/>
    <s v="Electronics"/>
    <s v="Medium"/>
    <n v="80000"/>
    <n v="2403.2399999999998"/>
    <x v="28"/>
    <d v="2024-04-01T00:00:00"/>
  </r>
  <r>
    <s v="ORD200175"/>
    <d v="2025-02-08T00:00:00"/>
    <s v="C78170"/>
    <x v="3"/>
    <n v="5"/>
    <n v="68.34"/>
    <x v="0"/>
    <x v="4"/>
    <n v="6"/>
    <s v="WINTER15"/>
    <x v="1"/>
    <n v="341.7"/>
    <s v="Furniture"/>
    <s v="Medium"/>
    <n v="70000"/>
    <n v="341.7"/>
    <x v="21"/>
    <d v="2025-02-01T00:00:00"/>
  </r>
  <r>
    <s v="ORD200176"/>
    <d v="2025-06-28T00:00:00"/>
    <s v="C80151"/>
    <x v="2"/>
    <n v="4"/>
    <n v="430.83"/>
    <x v="3"/>
    <x v="4"/>
    <n v="8"/>
    <s v="WINTER15"/>
    <x v="1"/>
    <n v="1723.32"/>
    <s v="Electronics"/>
    <s v="Medium"/>
    <n v="100000"/>
    <n v="1723.32"/>
    <x v="5"/>
    <d v="2025-06-01T00:00:00"/>
  </r>
  <r>
    <s v="ORD200177"/>
    <d v="2023-08-05T00:00:00"/>
    <s v="C55632"/>
    <x v="3"/>
    <n v="5"/>
    <n v="431.69"/>
    <x v="2"/>
    <x v="4"/>
    <n v="10"/>
    <m/>
    <x v="3"/>
    <n v="2158.4499999999998"/>
    <s v="Furniture"/>
    <s v="Medium"/>
    <n v="70000"/>
    <n v="2158.4499999999998"/>
    <x v="11"/>
    <d v="2023-08-01T00:00:00"/>
  </r>
  <r>
    <s v="ORD200178"/>
    <d v="2024-04-11T00:00:00"/>
    <s v="C53070"/>
    <x v="3"/>
    <n v="4"/>
    <n v="512.05999999999995"/>
    <x v="1"/>
    <x v="3"/>
    <n v="5"/>
    <s v="SAVE10"/>
    <x v="4"/>
    <n v="2048.2399999999998"/>
    <s v="Furniture"/>
    <s v="Medium"/>
    <n v="70000"/>
    <n v="2048.2399999999998"/>
    <x v="28"/>
    <d v="2024-04-01T00:00:00"/>
  </r>
  <r>
    <s v="ORD200179"/>
    <d v="2024-11-24T00:00:00"/>
    <s v="C27401"/>
    <x v="5"/>
    <n v="3"/>
    <n v="539.91"/>
    <x v="2"/>
    <x v="3"/>
    <n v="8"/>
    <m/>
    <x v="2"/>
    <n v="1619.73"/>
    <s v="Electronics"/>
    <s v="High"/>
    <n v="150000"/>
    <n v="1619.73"/>
    <x v="16"/>
    <d v="2024-11-01T00:00:00"/>
  </r>
  <r>
    <s v="ORD200180"/>
    <d v="2023-03-18T00:00:00"/>
    <s v="C87216"/>
    <x v="2"/>
    <n v="5"/>
    <n v="316.07"/>
    <x v="4"/>
    <x v="2"/>
    <n v="10"/>
    <m/>
    <x v="4"/>
    <n v="1580.35"/>
    <s v="Electronics"/>
    <s v="Medium"/>
    <n v="100000"/>
    <n v="1580.35"/>
    <x v="12"/>
    <d v="2023-03-01T00:00:00"/>
  </r>
  <r>
    <s v="ORD200181"/>
    <d v="2024-08-31T00:00:00"/>
    <s v="C38966"/>
    <x v="4"/>
    <n v="5"/>
    <n v="404.39"/>
    <x v="1"/>
    <x v="0"/>
    <n v="10"/>
    <m/>
    <x v="1"/>
    <n v="2021.95"/>
    <s v="Electronics"/>
    <s v="Medium"/>
    <n v="80000"/>
    <n v="2021.95"/>
    <x v="1"/>
    <d v="2024-08-01T00:00:00"/>
  </r>
  <r>
    <s v="ORD200182"/>
    <d v="2025-03-19T00:00:00"/>
    <s v="C16612"/>
    <x v="6"/>
    <n v="1"/>
    <n v="600.54"/>
    <x v="0"/>
    <x v="4"/>
    <n v="4"/>
    <s v="WINTER15"/>
    <x v="4"/>
    <n v="600.54"/>
    <s v="Furniture"/>
    <s v="High"/>
    <n v="75000"/>
    <n v="600.54"/>
    <x v="15"/>
    <d v="2025-03-01T00:00:00"/>
  </r>
  <r>
    <s v="ORD200183"/>
    <d v="2024-04-18T00:00:00"/>
    <s v="C39246"/>
    <x v="0"/>
    <n v="5"/>
    <n v="186.28"/>
    <x v="0"/>
    <x v="3"/>
    <n v="8"/>
    <s v="SAVE10"/>
    <x v="2"/>
    <n v="931.4"/>
    <s v="Electronics"/>
    <s v="Medium"/>
    <n v="90000"/>
    <n v="931.4"/>
    <x v="28"/>
    <d v="2024-04-01T00:00:00"/>
  </r>
  <r>
    <s v="ORD200184"/>
    <d v="2024-04-04T00:00:00"/>
    <s v="C65180"/>
    <x v="2"/>
    <n v="4"/>
    <n v="214.54"/>
    <x v="3"/>
    <x v="1"/>
    <n v="7"/>
    <m/>
    <x v="1"/>
    <n v="858.16"/>
    <s v="Electronics"/>
    <s v="Medium"/>
    <n v="100000"/>
    <n v="858.16"/>
    <x v="28"/>
    <d v="2024-04-01T00:00:00"/>
  </r>
  <r>
    <s v="ORD200185"/>
    <d v="2025-02-02T00:00:00"/>
    <s v="C46877"/>
    <x v="5"/>
    <n v="1"/>
    <n v="210.7"/>
    <x v="1"/>
    <x v="0"/>
    <n v="2"/>
    <s v="WINTER15"/>
    <x v="1"/>
    <n v="210.7"/>
    <s v="Electronics"/>
    <s v="High"/>
    <n v="150000"/>
    <n v="210.7"/>
    <x v="21"/>
    <d v="2025-02-01T00:00:00"/>
  </r>
  <r>
    <s v="ORD200186"/>
    <d v="2023-12-07T00:00:00"/>
    <s v="C30334"/>
    <x v="1"/>
    <n v="2"/>
    <n v="133.55000000000001"/>
    <x v="4"/>
    <x v="4"/>
    <n v="7"/>
    <s v="FREESHIP"/>
    <x v="3"/>
    <n v="267.10000000000002"/>
    <s v="Electronics"/>
    <s v="High"/>
    <n v="120000"/>
    <n v="267.10000000000002"/>
    <x v="9"/>
    <d v="2023-12-01T00:00:00"/>
  </r>
  <r>
    <s v="ORD200187"/>
    <d v="2023-02-08T00:00:00"/>
    <s v="C21227"/>
    <x v="3"/>
    <n v="1"/>
    <n v="590.87"/>
    <x v="3"/>
    <x v="2"/>
    <n v="6"/>
    <s v="FREESHIP"/>
    <x v="1"/>
    <n v="590.87"/>
    <s v="Furniture"/>
    <s v="Medium"/>
    <n v="70000"/>
    <n v="590.87"/>
    <x v="26"/>
    <d v="2023-02-01T00:00:00"/>
  </r>
  <r>
    <s v="ORD200188"/>
    <d v="2025-03-15T00:00:00"/>
    <s v="C97715"/>
    <x v="3"/>
    <n v="2"/>
    <n v="363.91"/>
    <x v="3"/>
    <x v="0"/>
    <n v="2"/>
    <s v="FREESHIP"/>
    <x v="1"/>
    <n v="727.82"/>
    <s v="Furniture"/>
    <s v="Medium"/>
    <n v="70000"/>
    <n v="727.82"/>
    <x v="15"/>
    <d v="2025-03-01T00:00:00"/>
  </r>
  <r>
    <s v="ORD200189"/>
    <d v="2023-07-05T00:00:00"/>
    <s v="C48939"/>
    <x v="4"/>
    <n v="5"/>
    <n v="429.45"/>
    <x v="3"/>
    <x v="1"/>
    <n v="5"/>
    <s v="WINTER15"/>
    <x v="2"/>
    <n v="2147.25"/>
    <s v="Electronics"/>
    <s v="Medium"/>
    <n v="80000"/>
    <n v="2147.25"/>
    <x v="13"/>
    <d v="2023-07-01T00:00:00"/>
  </r>
  <r>
    <s v="ORD200190"/>
    <d v="2024-08-31T00:00:00"/>
    <s v="C35483"/>
    <x v="4"/>
    <n v="3"/>
    <n v="223.7"/>
    <x v="4"/>
    <x v="2"/>
    <n v="3"/>
    <s v="SAVE10"/>
    <x v="2"/>
    <n v="671.09999999999991"/>
    <s v="Electronics"/>
    <s v="Medium"/>
    <n v="80000"/>
    <n v="671.09999999999991"/>
    <x v="1"/>
    <d v="2024-08-01T00:00:00"/>
  </r>
  <r>
    <s v="ORD200191"/>
    <d v="2025-03-08T00:00:00"/>
    <s v="C51494"/>
    <x v="5"/>
    <n v="2"/>
    <n v="488.87"/>
    <x v="1"/>
    <x v="1"/>
    <n v="4"/>
    <s v="FREESHIP"/>
    <x v="4"/>
    <n v="977.74"/>
    <s v="Electronics"/>
    <s v="High"/>
    <n v="150000"/>
    <n v="977.74"/>
    <x v="15"/>
    <d v="2025-03-01T00:00:00"/>
  </r>
  <r>
    <s v="ORD200192"/>
    <d v="2023-08-11T00:00:00"/>
    <s v="C58410"/>
    <x v="6"/>
    <n v="1"/>
    <n v="645.46"/>
    <x v="3"/>
    <x v="1"/>
    <n v="5"/>
    <s v="SAVE10"/>
    <x v="4"/>
    <n v="645.46"/>
    <s v="Furniture"/>
    <s v="High"/>
    <n v="75000"/>
    <n v="645.46"/>
    <x v="11"/>
    <d v="2023-08-01T00:00:00"/>
  </r>
  <r>
    <s v="ORD200193"/>
    <d v="2023-07-21T00:00:00"/>
    <s v="C11644"/>
    <x v="4"/>
    <n v="1"/>
    <n v="46.66"/>
    <x v="4"/>
    <x v="1"/>
    <n v="6"/>
    <m/>
    <x v="4"/>
    <n v="46.66"/>
    <s v="Electronics"/>
    <s v="Medium"/>
    <n v="80000"/>
    <n v="46.66"/>
    <x v="13"/>
    <d v="2023-07-01T00:00:00"/>
  </r>
  <r>
    <s v="ORD200194"/>
    <d v="2024-06-08T00:00:00"/>
    <s v="C53501"/>
    <x v="0"/>
    <n v="1"/>
    <n v="249.57"/>
    <x v="4"/>
    <x v="0"/>
    <n v="3"/>
    <s v="FREESHIP"/>
    <x v="4"/>
    <n v="249.57"/>
    <s v="Electronics"/>
    <s v="Medium"/>
    <n v="90000"/>
    <n v="249.57"/>
    <x v="23"/>
    <d v="2024-06-01T00:00:00"/>
  </r>
  <r>
    <s v="ORD200195"/>
    <d v="2024-04-22T00:00:00"/>
    <s v="C63619"/>
    <x v="3"/>
    <n v="3"/>
    <n v="619.21"/>
    <x v="0"/>
    <x v="1"/>
    <n v="6"/>
    <m/>
    <x v="2"/>
    <n v="1857.63"/>
    <s v="Furniture"/>
    <s v="Medium"/>
    <n v="70000"/>
    <n v="1857.63"/>
    <x v="28"/>
    <d v="2024-04-01T00:00:00"/>
  </r>
  <r>
    <s v="ORD200196"/>
    <d v="2025-01-24T00:00:00"/>
    <s v="C40882"/>
    <x v="6"/>
    <n v="4"/>
    <n v="217.13"/>
    <x v="4"/>
    <x v="3"/>
    <n v="8"/>
    <s v="WINTER15"/>
    <x v="2"/>
    <n v="868.52"/>
    <s v="Furniture"/>
    <s v="High"/>
    <n v="75000"/>
    <n v="868.52"/>
    <x v="27"/>
    <d v="2025-01-01T00:00:00"/>
  </r>
  <r>
    <s v="ORD200197"/>
    <d v="2023-08-27T00:00:00"/>
    <s v="C80135"/>
    <x v="5"/>
    <n v="5"/>
    <n v="221.51"/>
    <x v="4"/>
    <x v="2"/>
    <n v="5"/>
    <s v="WINTER15"/>
    <x v="1"/>
    <n v="1107.55"/>
    <s v="Electronics"/>
    <s v="High"/>
    <n v="150000"/>
    <n v="1107.55"/>
    <x v="11"/>
    <d v="2023-08-01T00:00:00"/>
  </r>
  <r>
    <s v="ORD200198"/>
    <d v="2024-06-11T00:00:00"/>
    <s v="C37594"/>
    <x v="5"/>
    <n v="4"/>
    <n v="340.3"/>
    <x v="4"/>
    <x v="1"/>
    <n v="8"/>
    <s v="SAVE10"/>
    <x v="1"/>
    <n v="1361.2"/>
    <s v="Electronics"/>
    <s v="High"/>
    <n v="150000"/>
    <n v="1361.2"/>
    <x v="23"/>
    <d v="2024-06-01T00:00:00"/>
  </r>
  <r>
    <s v="ORD200199"/>
    <d v="2025-01-23T00:00:00"/>
    <s v="C87524"/>
    <x v="1"/>
    <n v="1"/>
    <n v="625"/>
    <x v="1"/>
    <x v="2"/>
    <n v="5"/>
    <s v="WINTER15"/>
    <x v="4"/>
    <n v="625"/>
    <s v="Electronics"/>
    <s v="High"/>
    <n v="120000"/>
    <n v="625"/>
    <x v="27"/>
    <d v="2025-01-01T00:00:00"/>
  </r>
  <r>
    <s v="ORD200200"/>
    <d v="2025-06-07T00:00:00"/>
    <s v="C97681"/>
    <x v="2"/>
    <n v="5"/>
    <n v="433.26"/>
    <x v="2"/>
    <x v="3"/>
    <n v="9"/>
    <s v="SAVE10"/>
    <x v="4"/>
    <n v="2166.3000000000002"/>
    <s v="Electronics"/>
    <s v="Medium"/>
    <n v="100000"/>
    <n v="2166.3000000000002"/>
    <x v="5"/>
    <d v="2025-06-01T00:00:00"/>
  </r>
  <r>
    <s v="ORD200201"/>
    <d v="2023-06-18T00:00:00"/>
    <s v="C10126"/>
    <x v="0"/>
    <n v="2"/>
    <n v="674.9"/>
    <x v="1"/>
    <x v="0"/>
    <n v="4"/>
    <s v="SAVE10"/>
    <x v="3"/>
    <n v="1349.8"/>
    <s v="Electronics"/>
    <s v="Medium"/>
    <n v="90000"/>
    <n v="1349.8"/>
    <x v="19"/>
    <d v="2023-06-01T00:00:00"/>
  </r>
  <r>
    <s v="ORD200202"/>
    <d v="2025-02-06T00:00:00"/>
    <s v="C36938"/>
    <x v="0"/>
    <n v="3"/>
    <n v="253.98"/>
    <x v="2"/>
    <x v="1"/>
    <n v="3"/>
    <s v="FREESHIP"/>
    <x v="2"/>
    <n v="761.93999999999994"/>
    <s v="Electronics"/>
    <s v="Medium"/>
    <n v="90000"/>
    <n v="761.93999999999994"/>
    <x v="21"/>
    <d v="2025-02-01T00:00:00"/>
  </r>
  <r>
    <s v="ORD200203"/>
    <d v="2025-01-21T00:00:00"/>
    <s v="C99173"/>
    <x v="4"/>
    <n v="3"/>
    <n v="356.84"/>
    <x v="1"/>
    <x v="0"/>
    <n v="5"/>
    <s v="SAVE10"/>
    <x v="0"/>
    <n v="1070.52"/>
    <s v="Electronics"/>
    <s v="Medium"/>
    <n v="80000"/>
    <n v="1070.52"/>
    <x v="27"/>
    <d v="2025-01-01T00:00:00"/>
  </r>
  <r>
    <s v="ORD200204"/>
    <d v="2023-09-05T00:00:00"/>
    <s v="C99775"/>
    <x v="5"/>
    <n v="4"/>
    <n v="413.71"/>
    <x v="3"/>
    <x v="1"/>
    <n v="9"/>
    <s v="FREESHIP"/>
    <x v="3"/>
    <n v="1654.84"/>
    <s v="Electronics"/>
    <s v="High"/>
    <n v="150000"/>
    <n v="1654.84"/>
    <x v="24"/>
    <d v="2023-09-01T00:00:00"/>
  </r>
  <r>
    <s v="ORD200205"/>
    <d v="2023-03-04T00:00:00"/>
    <s v="C19266"/>
    <x v="6"/>
    <n v="3"/>
    <n v="147.38999999999999"/>
    <x v="0"/>
    <x v="2"/>
    <n v="3"/>
    <m/>
    <x v="2"/>
    <n v="442.17"/>
    <s v="Furniture"/>
    <s v="High"/>
    <n v="75000"/>
    <n v="442.17"/>
    <x v="12"/>
    <d v="2023-03-01T00:00:00"/>
  </r>
  <r>
    <s v="ORD200206"/>
    <d v="2024-04-16T00:00:00"/>
    <s v="C31072"/>
    <x v="5"/>
    <n v="4"/>
    <n v="229.1"/>
    <x v="3"/>
    <x v="2"/>
    <n v="8"/>
    <s v="WINTER15"/>
    <x v="2"/>
    <n v="916.4"/>
    <s v="Electronics"/>
    <s v="High"/>
    <n v="150000"/>
    <n v="916.4"/>
    <x v="28"/>
    <d v="2024-04-01T00:00:00"/>
  </r>
  <r>
    <s v="ORD200207"/>
    <d v="2025-03-18T00:00:00"/>
    <s v="C54595"/>
    <x v="1"/>
    <n v="1"/>
    <n v="121.96"/>
    <x v="0"/>
    <x v="3"/>
    <n v="3"/>
    <m/>
    <x v="4"/>
    <n v="121.96"/>
    <s v="Electronics"/>
    <s v="High"/>
    <n v="120000"/>
    <n v="121.96"/>
    <x v="15"/>
    <d v="2025-03-01T00:00:00"/>
  </r>
  <r>
    <s v="ORD200208"/>
    <d v="2024-10-08T00:00:00"/>
    <s v="C87777"/>
    <x v="6"/>
    <n v="2"/>
    <n v="408.32"/>
    <x v="1"/>
    <x v="0"/>
    <n v="3"/>
    <s v="FREESHIP"/>
    <x v="3"/>
    <n v="816.64"/>
    <s v="Furniture"/>
    <s v="High"/>
    <n v="75000"/>
    <n v="816.64"/>
    <x v="10"/>
    <d v="2024-10-01T00:00:00"/>
  </r>
  <r>
    <s v="ORD200209"/>
    <d v="2023-08-29T00:00:00"/>
    <s v="C35854"/>
    <x v="2"/>
    <n v="5"/>
    <n v="187.97"/>
    <x v="4"/>
    <x v="2"/>
    <n v="9"/>
    <s v="SAVE10"/>
    <x v="4"/>
    <n v="939.85"/>
    <s v="Electronics"/>
    <s v="Medium"/>
    <n v="100000"/>
    <n v="939.85"/>
    <x v="11"/>
    <d v="2023-08-01T00:00:00"/>
  </r>
  <r>
    <s v="ORD200210"/>
    <d v="2024-12-05T00:00:00"/>
    <s v="C93821"/>
    <x v="3"/>
    <n v="3"/>
    <n v="358.48"/>
    <x v="3"/>
    <x v="3"/>
    <n v="7"/>
    <s v="FREESHIP"/>
    <x v="3"/>
    <n v="1075.44"/>
    <s v="Furniture"/>
    <s v="Medium"/>
    <n v="70000"/>
    <n v="1075.44"/>
    <x v="20"/>
    <d v="2024-12-01T00:00:00"/>
  </r>
  <r>
    <s v="ORD200211"/>
    <d v="2025-01-03T00:00:00"/>
    <s v="C54390"/>
    <x v="4"/>
    <n v="3"/>
    <n v="193.58"/>
    <x v="3"/>
    <x v="4"/>
    <n v="7"/>
    <s v="FREESHIP"/>
    <x v="2"/>
    <n v="580.74"/>
    <s v="Electronics"/>
    <s v="Medium"/>
    <n v="80000"/>
    <n v="580.74"/>
    <x v="27"/>
    <d v="2025-01-01T00:00:00"/>
  </r>
  <r>
    <s v="ORD200212"/>
    <d v="2023-06-20T00:00:00"/>
    <s v="C53215"/>
    <x v="0"/>
    <n v="1"/>
    <n v="265.38"/>
    <x v="2"/>
    <x v="1"/>
    <n v="6"/>
    <s v="WINTER15"/>
    <x v="2"/>
    <n v="265.38"/>
    <s v="Electronics"/>
    <s v="Medium"/>
    <n v="90000"/>
    <n v="265.38"/>
    <x v="19"/>
    <d v="2023-06-01T00:00:00"/>
  </r>
  <r>
    <s v="ORD200213"/>
    <d v="2023-04-20T00:00:00"/>
    <s v="C71122"/>
    <x v="5"/>
    <n v="1"/>
    <n v="634.4"/>
    <x v="4"/>
    <x v="1"/>
    <n v="6"/>
    <s v="SAVE10"/>
    <x v="2"/>
    <n v="634.4"/>
    <s v="Electronics"/>
    <s v="High"/>
    <n v="150000"/>
    <n v="634.4"/>
    <x v="29"/>
    <d v="2023-04-01T00:00:00"/>
  </r>
  <r>
    <s v="ORD200214"/>
    <d v="2024-08-21T00:00:00"/>
    <s v="C29483"/>
    <x v="6"/>
    <n v="4"/>
    <n v="305.72000000000003"/>
    <x v="1"/>
    <x v="3"/>
    <n v="5"/>
    <m/>
    <x v="3"/>
    <n v="1222.8800000000001"/>
    <s v="Furniture"/>
    <s v="High"/>
    <n v="75000"/>
    <n v="1222.8800000000001"/>
    <x v="1"/>
    <d v="2024-08-01T00:00:00"/>
  </r>
  <r>
    <s v="ORD200215"/>
    <d v="2023-08-10T00:00:00"/>
    <s v="C26767"/>
    <x v="4"/>
    <n v="1"/>
    <n v="303.60000000000002"/>
    <x v="4"/>
    <x v="0"/>
    <n v="5"/>
    <s v="FREESHIP"/>
    <x v="3"/>
    <n v="303.60000000000002"/>
    <s v="Electronics"/>
    <s v="Medium"/>
    <n v="80000"/>
    <n v="303.60000000000002"/>
    <x v="11"/>
    <d v="2023-08-01T00:00:00"/>
  </r>
  <r>
    <s v="ORD200216"/>
    <d v="2025-04-15T00:00:00"/>
    <s v="C70492"/>
    <x v="0"/>
    <n v="4"/>
    <n v="496"/>
    <x v="1"/>
    <x v="1"/>
    <n v="8"/>
    <s v="WINTER15"/>
    <x v="4"/>
    <n v="1984"/>
    <s v="Electronics"/>
    <s v="Medium"/>
    <n v="90000"/>
    <n v="1984"/>
    <x v="7"/>
    <d v="2025-04-01T00:00:00"/>
  </r>
  <r>
    <s v="ORD200217"/>
    <d v="2024-05-20T00:00:00"/>
    <s v="C61549"/>
    <x v="6"/>
    <n v="4"/>
    <n v="321.51"/>
    <x v="4"/>
    <x v="2"/>
    <n v="9"/>
    <m/>
    <x v="4"/>
    <n v="1286.04"/>
    <s v="Furniture"/>
    <s v="High"/>
    <n v="75000"/>
    <n v="1286.04"/>
    <x v="22"/>
    <d v="2024-05-01T00:00:00"/>
  </r>
  <r>
    <s v="ORD200218"/>
    <d v="2023-04-28T00:00:00"/>
    <s v="C11665"/>
    <x v="2"/>
    <n v="3"/>
    <n v="112.46"/>
    <x v="3"/>
    <x v="0"/>
    <n v="6"/>
    <s v="SAVE10"/>
    <x v="0"/>
    <n v="337.38"/>
    <s v="Electronics"/>
    <s v="Medium"/>
    <n v="100000"/>
    <n v="337.38"/>
    <x v="29"/>
    <d v="2023-04-01T00:00:00"/>
  </r>
  <r>
    <s v="ORD200219"/>
    <d v="2025-05-02T00:00:00"/>
    <s v="C48946"/>
    <x v="5"/>
    <n v="5"/>
    <n v="61.97"/>
    <x v="4"/>
    <x v="3"/>
    <n v="6"/>
    <s v="SAVE10"/>
    <x v="2"/>
    <n v="309.85000000000002"/>
    <s v="Electronics"/>
    <s v="High"/>
    <n v="150000"/>
    <n v="309.85000000000002"/>
    <x v="4"/>
    <d v="2025-05-01T00:00:00"/>
  </r>
  <r>
    <s v="ORD200220"/>
    <d v="2023-07-18T00:00:00"/>
    <s v="C79506"/>
    <x v="5"/>
    <n v="2"/>
    <n v="373.17"/>
    <x v="2"/>
    <x v="4"/>
    <n v="6"/>
    <s v="SAVE10"/>
    <x v="1"/>
    <n v="746.34"/>
    <s v="Electronics"/>
    <s v="High"/>
    <n v="150000"/>
    <n v="746.34"/>
    <x v="13"/>
    <d v="2023-07-01T00:00:00"/>
  </r>
  <r>
    <s v="ORD200221"/>
    <d v="2024-02-23T00:00:00"/>
    <s v="C93473"/>
    <x v="2"/>
    <n v="5"/>
    <n v="639.37"/>
    <x v="0"/>
    <x v="4"/>
    <n v="6"/>
    <s v="SAVE10"/>
    <x v="4"/>
    <n v="3196.85"/>
    <s v="Electronics"/>
    <s v="Medium"/>
    <n v="100000"/>
    <n v="3196.85"/>
    <x v="2"/>
    <d v="2024-02-01T00:00:00"/>
  </r>
  <r>
    <s v="ORD200222"/>
    <d v="2023-05-04T00:00:00"/>
    <s v="C43124"/>
    <x v="3"/>
    <n v="4"/>
    <n v="693.36"/>
    <x v="1"/>
    <x v="0"/>
    <n v="8"/>
    <m/>
    <x v="0"/>
    <n v="2773.44"/>
    <s v="Furniture"/>
    <s v="Medium"/>
    <n v="70000"/>
    <n v="2773.44"/>
    <x v="6"/>
    <d v="2023-05-01T00:00:00"/>
  </r>
  <r>
    <s v="ORD200223"/>
    <d v="2024-09-11T00:00:00"/>
    <s v="C22783"/>
    <x v="1"/>
    <n v="4"/>
    <n v="692.91"/>
    <x v="2"/>
    <x v="4"/>
    <n v="9"/>
    <s v="SAVE10"/>
    <x v="0"/>
    <n v="2771.64"/>
    <s v="Electronics"/>
    <s v="High"/>
    <n v="120000"/>
    <n v="2771.64"/>
    <x v="18"/>
    <d v="2024-09-01T00:00:00"/>
  </r>
  <r>
    <s v="ORD200224"/>
    <d v="2023-09-23T00:00:00"/>
    <s v="C18567"/>
    <x v="4"/>
    <n v="4"/>
    <n v="91.46"/>
    <x v="4"/>
    <x v="1"/>
    <n v="9"/>
    <s v="SAVE10"/>
    <x v="1"/>
    <n v="365.84"/>
    <s v="Electronics"/>
    <s v="Medium"/>
    <n v="80000"/>
    <n v="365.84"/>
    <x v="24"/>
    <d v="2023-09-01T00:00:00"/>
  </r>
  <r>
    <s v="ORD200225"/>
    <d v="2024-03-13T00:00:00"/>
    <s v="C99879"/>
    <x v="1"/>
    <n v="3"/>
    <n v="273.95999999999998"/>
    <x v="0"/>
    <x v="2"/>
    <n v="8"/>
    <s v="SAVE10"/>
    <x v="4"/>
    <n v="821.87999999999988"/>
    <s v="Electronics"/>
    <s v="High"/>
    <n v="120000"/>
    <n v="821.87999999999988"/>
    <x v="14"/>
    <d v="2024-03-01T00:00:00"/>
  </r>
  <r>
    <s v="ORD200226"/>
    <d v="2025-06-27T00:00:00"/>
    <s v="C31501"/>
    <x v="6"/>
    <n v="3"/>
    <n v="588.04999999999995"/>
    <x v="3"/>
    <x v="3"/>
    <n v="8"/>
    <m/>
    <x v="0"/>
    <n v="1764.15"/>
    <s v="Furniture"/>
    <s v="High"/>
    <n v="75000"/>
    <n v="1764.15"/>
    <x v="5"/>
    <d v="2025-06-01T00:00:00"/>
  </r>
  <r>
    <s v="ORD200227"/>
    <d v="2023-11-02T00:00:00"/>
    <s v="C93220"/>
    <x v="0"/>
    <n v="2"/>
    <n v="365.17"/>
    <x v="1"/>
    <x v="1"/>
    <n v="4"/>
    <s v="FREESHIP"/>
    <x v="3"/>
    <n v="730.34"/>
    <s v="Electronics"/>
    <s v="Medium"/>
    <n v="90000"/>
    <n v="730.34"/>
    <x v="8"/>
    <d v="2023-11-01T00:00:00"/>
  </r>
  <r>
    <s v="ORD200228"/>
    <d v="2023-05-17T00:00:00"/>
    <s v="C57867"/>
    <x v="3"/>
    <n v="4"/>
    <n v="385.92"/>
    <x v="2"/>
    <x v="1"/>
    <n v="8"/>
    <m/>
    <x v="0"/>
    <n v="1543.68"/>
    <s v="Furniture"/>
    <s v="Medium"/>
    <n v="70000"/>
    <n v="1543.68"/>
    <x v="6"/>
    <d v="2023-05-01T00:00:00"/>
  </r>
  <r>
    <s v="ORD200229"/>
    <d v="2025-03-28T00:00:00"/>
    <s v="C62622"/>
    <x v="2"/>
    <n v="1"/>
    <n v="562.61"/>
    <x v="2"/>
    <x v="3"/>
    <n v="3"/>
    <s v="WINTER15"/>
    <x v="3"/>
    <n v="562.61"/>
    <s v="Electronics"/>
    <s v="Medium"/>
    <n v="100000"/>
    <n v="562.61"/>
    <x v="15"/>
    <d v="2025-03-01T00:00:00"/>
  </r>
  <r>
    <s v="ORD200230"/>
    <d v="2023-12-16T00:00:00"/>
    <s v="C94595"/>
    <x v="6"/>
    <n v="4"/>
    <n v="61.91"/>
    <x v="3"/>
    <x v="3"/>
    <n v="6"/>
    <s v="WINTER15"/>
    <x v="2"/>
    <n v="247.64"/>
    <s v="Furniture"/>
    <s v="High"/>
    <n v="75000"/>
    <n v="247.64"/>
    <x v="9"/>
    <d v="2023-12-01T00:00:00"/>
  </r>
  <r>
    <s v="ORD200231"/>
    <d v="2023-11-05T00:00:00"/>
    <s v="C30955"/>
    <x v="1"/>
    <n v="4"/>
    <n v="41.9"/>
    <x v="3"/>
    <x v="4"/>
    <n v="9"/>
    <s v="FREESHIP"/>
    <x v="0"/>
    <n v="167.6"/>
    <s v="Electronics"/>
    <s v="High"/>
    <n v="120000"/>
    <n v="167.6"/>
    <x v="8"/>
    <d v="2023-11-01T00:00:00"/>
  </r>
  <r>
    <s v="ORD200232"/>
    <d v="2023-05-19T00:00:00"/>
    <s v="C20731"/>
    <x v="4"/>
    <n v="4"/>
    <n v="444.44"/>
    <x v="0"/>
    <x v="1"/>
    <n v="8"/>
    <s v="WINTER15"/>
    <x v="4"/>
    <n v="1777.76"/>
    <s v="Electronics"/>
    <s v="Medium"/>
    <n v="80000"/>
    <n v="1777.76"/>
    <x v="6"/>
    <d v="2023-05-01T00:00:00"/>
  </r>
  <r>
    <s v="ORD200233"/>
    <d v="2024-08-24T00:00:00"/>
    <s v="C30168"/>
    <x v="1"/>
    <n v="3"/>
    <n v="311.33"/>
    <x v="4"/>
    <x v="1"/>
    <n v="3"/>
    <s v="WINTER15"/>
    <x v="0"/>
    <n v="933.99"/>
    <s v="Electronics"/>
    <s v="High"/>
    <n v="120000"/>
    <n v="933.99"/>
    <x v="1"/>
    <d v="2024-08-01T00:00:00"/>
  </r>
  <r>
    <s v="ORD200234"/>
    <d v="2024-11-26T00:00:00"/>
    <s v="C79842"/>
    <x v="4"/>
    <n v="4"/>
    <n v="236.41"/>
    <x v="0"/>
    <x v="4"/>
    <n v="7"/>
    <s v="SAVE10"/>
    <x v="4"/>
    <n v="945.64"/>
    <s v="Electronics"/>
    <s v="Medium"/>
    <n v="80000"/>
    <n v="945.64"/>
    <x v="16"/>
    <d v="2024-11-01T00:00:00"/>
  </r>
  <r>
    <s v="ORD200235"/>
    <d v="2023-02-20T00:00:00"/>
    <s v="C32854"/>
    <x v="6"/>
    <n v="1"/>
    <n v="65.45"/>
    <x v="4"/>
    <x v="4"/>
    <n v="2"/>
    <s v="WINTER15"/>
    <x v="4"/>
    <n v="65.45"/>
    <s v="Furniture"/>
    <s v="High"/>
    <n v="75000"/>
    <n v="65.45"/>
    <x v="26"/>
    <d v="2023-02-01T00:00:00"/>
  </r>
  <r>
    <s v="ORD200236"/>
    <d v="2023-01-01T00:00:00"/>
    <s v="C14847"/>
    <x v="0"/>
    <n v="1"/>
    <n v="318.81"/>
    <x v="0"/>
    <x v="4"/>
    <n v="3"/>
    <s v="WINTER15"/>
    <x v="2"/>
    <n v="318.81"/>
    <s v="Electronics"/>
    <s v="Medium"/>
    <n v="90000"/>
    <n v="318.81"/>
    <x v="0"/>
    <d v="2023-01-01T00:00:00"/>
  </r>
  <r>
    <s v="ORD200237"/>
    <d v="2024-03-14T00:00:00"/>
    <s v="C88645"/>
    <x v="0"/>
    <n v="3"/>
    <n v="583.72"/>
    <x v="2"/>
    <x v="0"/>
    <n v="5"/>
    <s v="FREESHIP"/>
    <x v="3"/>
    <n v="1751.16"/>
    <s v="Electronics"/>
    <s v="Medium"/>
    <n v="90000"/>
    <n v="1751.16"/>
    <x v="14"/>
    <d v="2024-03-01T00:00:00"/>
  </r>
  <r>
    <s v="ORD200238"/>
    <d v="2024-12-13T00:00:00"/>
    <s v="C66149"/>
    <x v="6"/>
    <n v="4"/>
    <n v="384.32"/>
    <x v="2"/>
    <x v="4"/>
    <n v="6"/>
    <s v="WINTER15"/>
    <x v="4"/>
    <n v="1537.28"/>
    <s v="Furniture"/>
    <s v="High"/>
    <n v="75000"/>
    <n v="1537.28"/>
    <x v="20"/>
    <d v="2024-12-01T00:00:00"/>
  </r>
  <r>
    <s v="ORD200239"/>
    <d v="2024-12-11T00:00:00"/>
    <s v="C20256"/>
    <x v="2"/>
    <n v="3"/>
    <n v="538.74"/>
    <x v="1"/>
    <x v="0"/>
    <n v="6"/>
    <s v="FREESHIP"/>
    <x v="2"/>
    <n v="1616.22"/>
    <s v="Electronics"/>
    <s v="Medium"/>
    <n v="100000"/>
    <n v="1616.22"/>
    <x v="20"/>
    <d v="2024-12-01T00:00:00"/>
  </r>
  <r>
    <s v="ORD200240"/>
    <d v="2023-07-12T00:00:00"/>
    <s v="C14983"/>
    <x v="2"/>
    <n v="1"/>
    <n v="17.239999999999998"/>
    <x v="1"/>
    <x v="4"/>
    <n v="2"/>
    <s v="FREESHIP"/>
    <x v="0"/>
    <n v="17.239999999999998"/>
    <s v="Electronics"/>
    <s v="Medium"/>
    <n v="100000"/>
    <n v="17.239999999999998"/>
    <x v="13"/>
    <d v="2023-07-01T00:00:00"/>
  </r>
  <r>
    <s v="ORD200241"/>
    <d v="2023-05-16T00:00:00"/>
    <s v="C20817"/>
    <x v="3"/>
    <n v="5"/>
    <n v="615.66999999999996"/>
    <x v="1"/>
    <x v="4"/>
    <n v="6"/>
    <s v="SAVE10"/>
    <x v="2"/>
    <n v="3078.35"/>
    <s v="Furniture"/>
    <s v="Medium"/>
    <n v="70000"/>
    <n v="3078.35"/>
    <x v="6"/>
    <d v="2023-05-01T00:00:00"/>
  </r>
  <r>
    <s v="ORD200242"/>
    <d v="2023-05-09T00:00:00"/>
    <s v="C94921"/>
    <x v="4"/>
    <n v="2"/>
    <n v="219.1"/>
    <x v="1"/>
    <x v="4"/>
    <n v="4"/>
    <s v="SAVE10"/>
    <x v="1"/>
    <n v="438.2"/>
    <s v="Electronics"/>
    <s v="Medium"/>
    <n v="80000"/>
    <n v="438.2"/>
    <x v="6"/>
    <d v="2023-05-01T00:00:00"/>
  </r>
  <r>
    <s v="ORD200243"/>
    <d v="2025-05-09T00:00:00"/>
    <s v="C54725"/>
    <x v="3"/>
    <n v="2"/>
    <n v="144.66"/>
    <x v="1"/>
    <x v="1"/>
    <n v="7"/>
    <s v="FREESHIP"/>
    <x v="4"/>
    <n v="289.32"/>
    <s v="Furniture"/>
    <s v="Medium"/>
    <n v="70000"/>
    <n v="289.32"/>
    <x v="4"/>
    <d v="2025-05-01T00:00:00"/>
  </r>
  <r>
    <s v="ORD200244"/>
    <d v="2023-02-16T00:00:00"/>
    <s v="C98096"/>
    <x v="6"/>
    <n v="2"/>
    <n v="317.77"/>
    <x v="0"/>
    <x v="1"/>
    <n v="4"/>
    <s v="WINTER15"/>
    <x v="3"/>
    <n v="635.54"/>
    <s v="Furniture"/>
    <s v="High"/>
    <n v="75000"/>
    <n v="635.54"/>
    <x v="26"/>
    <d v="2023-02-01T00:00:00"/>
  </r>
  <r>
    <s v="ORD200245"/>
    <d v="2025-04-20T00:00:00"/>
    <s v="C12667"/>
    <x v="5"/>
    <n v="1"/>
    <n v="223.3"/>
    <x v="1"/>
    <x v="2"/>
    <n v="1"/>
    <m/>
    <x v="3"/>
    <n v="223.3"/>
    <s v="Electronics"/>
    <s v="High"/>
    <n v="150000"/>
    <n v="223.3"/>
    <x v="7"/>
    <d v="2025-04-01T00:00:00"/>
  </r>
  <r>
    <s v="ORD200246"/>
    <d v="2024-08-30T00:00:00"/>
    <s v="C55354"/>
    <x v="6"/>
    <n v="2"/>
    <n v="342.11"/>
    <x v="3"/>
    <x v="0"/>
    <n v="2"/>
    <s v="WINTER15"/>
    <x v="0"/>
    <n v="684.22"/>
    <s v="Furniture"/>
    <s v="High"/>
    <n v="75000"/>
    <n v="684.22"/>
    <x v="1"/>
    <d v="2024-08-01T00:00:00"/>
  </r>
  <r>
    <s v="ORD200247"/>
    <d v="2023-07-20T00:00:00"/>
    <s v="C14600"/>
    <x v="4"/>
    <n v="2"/>
    <n v="220.9"/>
    <x v="3"/>
    <x v="0"/>
    <n v="4"/>
    <m/>
    <x v="2"/>
    <n v="441.8"/>
    <s v="Electronics"/>
    <s v="Medium"/>
    <n v="80000"/>
    <n v="441.8"/>
    <x v="13"/>
    <d v="2023-07-01T00:00:00"/>
  </r>
  <r>
    <s v="ORD200248"/>
    <d v="2023-07-02T00:00:00"/>
    <s v="C97187"/>
    <x v="5"/>
    <n v="1"/>
    <n v="670.54"/>
    <x v="4"/>
    <x v="0"/>
    <n v="6"/>
    <s v="FREESHIP"/>
    <x v="1"/>
    <n v="670.54"/>
    <s v="Electronics"/>
    <s v="High"/>
    <n v="150000"/>
    <n v="670.54"/>
    <x v="13"/>
    <d v="2023-07-01T00:00:00"/>
  </r>
  <r>
    <s v="ORD200249"/>
    <d v="2024-02-07T00:00:00"/>
    <s v="C39106"/>
    <x v="4"/>
    <n v="1"/>
    <n v="546.19000000000005"/>
    <x v="4"/>
    <x v="4"/>
    <n v="5"/>
    <s v="FREESHIP"/>
    <x v="1"/>
    <n v="546.19000000000005"/>
    <s v="Electronics"/>
    <s v="Medium"/>
    <n v="80000"/>
    <n v="546.19000000000005"/>
    <x v="2"/>
    <d v="2024-02-01T00:00:00"/>
  </r>
  <r>
    <s v="ORD200250"/>
    <d v="2023-04-05T00:00:00"/>
    <s v="C93379"/>
    <x v="6"/>
    <n v="3"/>
    <n v="42.95"/>
    <x v="3"/>
    <x v="2"/>
    <n v="8"/>
    <s v="SAVE10"/>
    <x v="2"/>
    <n v="128.85"/>
    <s v="Furniture"/>
    <s v="High"/>
    <n v="75000"/>
    <n v="128.85"/>
    <x v="29"/>
    <d v="2023-04-01T00:00:00"/>
  </r>
  <r>
    <s v="ORD200251"/>
    <d v="2025-05-15T00:00:00"/>
    <s v="C93175"/>
    <x v="0"/>
    <n v="4"/>
    <n v="14.69"/>
    <x v="4"/>
    <x v="1"/>
    <n v="9"/>
    <m/>
    <x v="2"/>
    <n v="58.76"/>
    <s v="Electronics"/>
    <s v="Medium"/>
    <n v="90000"/>
    <n v="58.76"/>
    <x v="4"/>
    <d v="2025-05-01T00:00:00"/>
  </r>
  <r>
    <s v="ORD200252"/>
    <d v="2024-09-20T00:00:00"/>
    <s v="C19648"/>
    <x v="1"/>
    <n v="4"/>
    <n v="668.36"/>
    <x v="3"/>
    <x v="1"/>
    <n v="5"/>
    <s v="FREESHIP"/>
    <x v="3"/>
    <n v="2673.44"/>
    <s v="Electronics"/>
    <s v="High"/>
    <n v="120000"/>
    <n v="2673.44"/>
    <x v="18"/>
    <d v="2024-09-01T00:00:00"/>
  </r>
  <r>
    <s v="ORD200253"/>
    <d v="2024-03-23T00:00:00"/>
    <s v="C14891"/>
    <x v="3"/>
    <n v="4"/>
    <n v="413.74"/>
    <x v="3"/>
    <x v="2"/>
    <n v="7"/>
    <s v="FREESHIP"/>
    <x v="0"/>
    <n v="1654.96"/>
    <s v="Furniture"/>
    <s v="Medium"/>
    <n v="70000"/>
    <n v="1654.96"/>
    <x v="14"/>
    <d v="2024-03-01T00:00:00"/>
  </r>
  <r>
    <s v="ORD200254"/>
    <d v="2023-12-26T00:00:00"/>
    <s v="C10866"/>
    <x v="0"/>
    <n v="3"/>
    <n v="263.19"/>
    <x v="1"/>
    <x v="3"/>
    <n v="5"/>
    <m/>
    <x v="0"/>
    <n v="789.56999999999994"/>
    <s v="Electronics"/>
    <s v="Medium"/>
    <n v="90000"/>
    <n v="789.56999999999994"/>
    <x v="9"/>
    <d v="2023-12-01T00:00:00"/>
  </r>
  <r>
    <s v="ORD200255"/>
    <d v="2024-05-13T00:00:00"/>
    <s v="C47283"/>
    <x v="0"/>
    <n v="1"/>
    <n v="263.95999999999998"/>
    <x v="3"/>
    <x v="2"/>
    <n v="2"/>
    <s v="SAVE10"/>
    <x v="4"/>
    <n v="263.95999999999998"/>
    <s v="Electronics"/>
    <s v="Medium"/>
    <n v="90000"/>
    <n v="263.95999999999998"/>
    <x v="22"/>
    <d v="2024-05-01T00:00:00"/>
  </r>
  <r>
    <s v="ORD200256"/>
    <d v="2025-06-30T00:00:00"/>
    <s v="C94323"/>
    <x v="3"/>
    <n v="5"/>
    <n v="75.81"/>
    <x v="3"/>
    <x v="2"/>
    <n v="10"/>
    <s v="WINTER15"/>
    <x v="0"/>
    <n v="379.05"/>
    <s v="Furniture"/>
    <s v="Medium"/>
    <n v="70000"/>
    <n v="379.05"/>
    <x v="5"/>
    <d v="2025-06-01T00:00:00"/>
  </r>
  <r>
    <s v="ORD200257"/>
    <d v="2024-04-23T00:00:00"/>
    <s v="C89732"/>
    <x v="1"/>
    <n v="1"/>
    <n v="406.22"/>
    <x v="2"/>
    <x v="1"/>
    <n v="5"/>
    <s v="SAVE10"/>
    <x v="1"/>
    <n v="406.22"/>
    <s v="Electronics"/>
    <s v="High"/>
    <n v="120000"/>
    <n v="406.22"/>
    <x v="28"/>
    <d v="2024-04-01T00:00:00"/>
  </r>
  <r>
    <s v="ORD200258"/>
    <d v="2024-02-26T00:00:00"/>
    <s v="C87764"/>
    <x v="2"/>
    <n v="2"/>
    <n v="103.41"/>
    <x v="1"/>
    <x v="0"/>
    <n v="2"/>
    <s v="FREESHIP"/>
    <x v="1"/>
    <n v="206.82"/>
    <s v="Electronics"/>
    <s v="Medium"/>
    <n v="100000"/>
    <n v="206.82"/>
    <x v="2"/>
    <d v="2024-02-01T00:00:00"/>
  </r>
  <r>
    <s v="ORD200259"/>
    <d v="2023-06-11T00:00:00"/>
    <s v="C20977"/>
    <x v="3"/>
    <n v="4"/>
    <n v="435.12"/>
    <x v="2"/>
    <x v="3"/>
    <n v="9"/>
    <s v="SAVE10"/>
    <x v="0"/>
    <n v="1740.48"/>
    <s v="Furniture"/>
    <s v="Medium"/>
    <n v="70000"/>
    <n v="1740.48"/>
    <x v="19"/>
    <d v="2023-06-01T00:00:00"/>
  </r>
  <r>
    <s v="ORD200260"/>
    <d v="2023-05-17T00:00:00"/>
    <s v="C12245"/>
    <x v="0"/>
    <n v="2"/>
    <n v="407.79"/>
    <x v="0"/>
    <x v="0"/>
    <n v="3"/>
    <m/>
    <x v="4"/>
    <n v="815.58"/>
    <s v="Electronics"/>
    <s v="Medium"/>
    <n v="90000"/>
    <n v="815.58"/>
    <x v="6"/>
    <d v="2023-05-01T00:00:00"/>
  </r>
  <r>
    <s v="ORD200261"/>
    <d v="2025-05-28T00:00:00"/>
    <s v="C68976"/>
    <x v="1"/>
    <n v="5"/>
    <n v="173.65"/>
    <x v="3"/>
    <x v="3"/>
    <n v="9"/>
    <s v="SAVE10"/>
    <x v="2"/>
    <n v="868.25"/>
    <s v="Electronics"/>
    <s v="High"/>
    <n v="120000"/>
    <n v="868.25"/>
    <x v="4"/>
    <d v="2025-05-01T00:00:00"/>
  </r>
  <r>
    <s v="ORD200262"/>
    <d v="2023-01-10T00:00:00"/>
    <s v="C69476"/>
    <x v="1"/>
    <n v="4"/>
    <n v="249.07"/>
    <x v="2"/>
    <x v="2"/>
    <n v="5"/>
    <s v="WINTER15"/>
    <x v="1"/>
    <n v="996.28"/>
    <s v="Electronics"/>
    <s v="High"/>
    <n v="120000"/>
    <n v="996.28"/>
    <x v="0"/>
    <d v="2023-01-01T00:00:00"/>
  </r>
  <r>
    <s v="ORD200263"/>
    <d v="2023-03-25T00:00:00"/>
    <s v="C71040"/>
    <x v="1"/>
    <n v="4"/>
    <n v="434.85"/>
    <x v="2"/>
    <x v="4"/>
    <n v="4"/>
    <s v="WINTER15"/>
    <x v="4"/>
    <n v="1739.4"/>
    <s v="Electronics"/>
    <s v="High"/>
    <n v="120000"/>
    <n v="1739.4"/>
    <x v="12"/>
    <d v="2023-03-01T00:00:00"/>
  </r>
  <r>
    <s v="ORD200264"/>
    <d v="2024-08-03T00:00:00"/>
    <s v="C71035"/>
    <x v="2"/>
    <n v="1"/>
    <n v="436.77"/>
    <x v="4"/>
    <x v="2"/>
    <n v="5"/>
    <s v="FREESHIP"/>
    <x v="4"/>
    <n v="436.77"/>
    <s v="Electronics"/>
    <s v="Medium"/>
    <n v="100000"/>
    <n v="436.77"/>
    <x v="1"/>
    <d v="2024-08-01T00:00:00"/>
  </r>
  <r>
    <s v="ORD200265"/>
    <d v="2023-12-22T00:00:00"/>
    <s v="C20752"/>
    <x v="4"/>
    <n v="1"/>
    <n v="572.13"/>
    <x v="0"/>
    <x v="1"/>
    <n v="4"/>
    <s v="SAVE10"/>
    <x v="4"/>
    <n v="572.13"/>
    <s v="Electronics"/>
    <s v="Medium"/>
    <n v="80000"/>
    <n v="572.13"/>
    <x v="9"/>
    <d v="2023-12-01T00:00:00"/>
  </r>
  <r>
    <s v="ORD200266"/>
    <d v="2024-06-08T00:00:00"/>
    <s v="C38840"/>
    <x v="3"/>
    <n v="4"/>
    <n v="583.07000000000005"/>
    <x v="2"/>
    <x v="1"/>
    <n v="6"/>
    <s v="FREESHIP"/>
    <x v="1"/>
    <n v="2332.2800000000002"/>
    <s v="Furniture"/>
    <s v="Medium"/>
    <n v="70000"/>
    <n v="2332.2800000000002"/>
    <x v="23"/>
    <d v="2024-06-01T00:00:00"/>
  </r>
  <r>
    <s v="ORD200267"/>
    <d v="2025-04-17T00:00:00"/>
    <s v="C84480"/>
    <x v="3"/>
    <n v="5"/>
    <n v="468.51"/>
    <x v="0"/>
    <x v="3"/>
    <n v="9"/>
    <m/>
    <x v="3"/>
    <n v="2342.5500000000002"/>
    <s v="Furniture"/>
    <s v="Medium"/>
    <n v="70000"/>
    <n v="2342.5500000000002"/>
    <x v="7"/>
    <d v="2025-04-01T00:00:00"/>
  </r>
  <r>
    <s v="ORD200268"/>
    <d v="2023-08-11T00:00:00"/>
    <s v="C37032"/>
    <x v="1"/>
    <n v="2"/>
    <n v="423.88"/>
    <x v="0"/>
    <x v="3"/>
    <n v="7"/>
    <s v="SAVE10"/>
    <x v="1"/>
    <n v="847.76"/>
    <s v="Electronics"/>
    <s v="High"/>
    <n v="120000"/>
    <n v="847.76"/>
    <x v="11"/>
    <d v="2023-08-01T00:00:00"/>
  </r>
  <r>
    <s v="ORD200269"/>
    <d v="2023-11-25T00:00:00"/>
    <s v="C48942"/>
    <x v="2"/>
    <n v="4"/>
    <n v="663.67"/>
    <x v="2"/>
    <x v="4"/>
    <n v="7"/>
    <s v="FREESHIP"/>
    <x v="4"/>
    <n v="2654.68"/>
    <s v="Electronics"/>
    <s v="Medium"/>
    <n v="100000"/>
    <n v="2654.68"/>
    <x v="8"/>
    <d v="2023-11-01T00:00:00"/>
  </r>
  <r>
    <s v="ORD200270"/>
    <d v="2023-06-04T00:00:00"/>
    <s v="C13540"/>
    <x v="4"/>
    <n v="4"/>
    <n v="309.91000000000003"/>
    <x v="0"/>
    <x v="0"/>
    <n v="5"/>
    <s v="WINTER15"/>
    <x v="4"/>
    <n v="1239.6400000000001"/>
    <s v="Electronics"/>
    <s v="Medium"/>
    <n v="80000"/>
    <n v="1239.6400000000001"/>
    <x v="19"/>
    <d v="2023-06-01T00:00:00"/>
  </r>
  <r>
    <s v="ORD200271"/>
    <d v="2023-03-28T00:00:00"/>
    <s v="C59572"/>
    <x v="0"/>
    <n v="1"/>
    <n v="542.07000000000005"/>
    <x v="4"/>
    <x v="0"/>
    <n v="6"/>
    <s v="WINTER15"/>
    <x v="1"/>
    <n v="542.07000000000005"/>
    <s v="Electronics"/>
    <s v="Medium"/>
    <n v="90000"/>
    <n v="542.07000000000005"/>
    <x v="12"/>
    <d v="2023-03-01T00:00:00"/>
  </r>
  <r>
    <s v="ORD200272"/>
    <d v="2023-09-19T00:00:00"/>
    <s v="C29758"/>
    <x v="3"/>
    <n v="2"/>
    <n v="399.32"/>
    <x v="1"/>
    <x v="4"/>
    <n v="6"/>
    <s v="WINTER15"/>
    <x v="0"/>
    <n v="798.64"/>
    <s v="Furniture"/>
    <s v="Medium"/>
    <n v="70000"/>
    <n v="798.64"/>
    <x v="24"/>
    <d v="2023-09-01T00:00:00"/>
  </r>
  <r>
    <s v="ORD200273"/>
    <d v="2024-10-27T00:00:00"/>
    <s v="C11849"/>
    <x v="2"/>
    <n v="2"/>
    <n v="238.25"/>
    <x v="1"/>
    <x v="1"/>
    <n v="7"/>
    <s v="FREESHIP"/>
    <x v="2"/>
    <n v="476.5"/>
    <s v="Electronics"/>
    <s v="Medium"/>
    <n v="100000"/>
    <n v="476.5"/>
    <x v="10"/>
    <d v="2024-10-01T00:00:00"/>
  </r>
  <r>
    <s v="ORD200274"/>
    <d v="2023-02-04T00:00:00"/>
    <s v="C50967"/>
    <x v="1"/>
    <n v="2"/>
    <n v="182.4"/>
    <x v="3"/>
    <x v="1"/>
    <n v="5"/>
    <s v="SAVE10"/>
    <x v="1"/>
    <n v="364.8"/>
    <s v="Electronics"/>
    <s v="High"/>
    <n v="120000"/>
    <n v="364.8"/>
    <x v="26"/>
    <d v="2023-02-01T00:00:00"/>
  </r>
  <r>
    <s v="ORD200275"/>
    <d v="2023-11-04T00:00:00"/>
    <s v="C80735"/>
    <x v="3"/>
    <n v="2"/>
    <n v="65.069999999999993"/>
    <x v="2"/>
    <x v="1"/>
    <n v="4"/>
    <s v="SAVE10"/>
    <x v="4"/>
    <n v="130.13999999999999"/>
    <s v="Furniture"/>
    <s v="Medium"/>
    <n v="70000"/>
    <n v="130.13999999999999"/>
    <x v="8"/>
    <d v="2023-11-01T00:00:00"/>
  </r>
  <r>
    <s v="ORD200276"/>
    <d v="2025-03-29T00:00:00"/>
    <s v="C99050"/>
    <x v="4"/>
    <n v="2"/>
    <n v="600.57000000000005"/>
    <x v="0"/>
    <x v="2"/>
    <n v="3"/>
    <s v="WINTER15"/>
    <x v="0"/>
    <n v="1201.1400000000001"/>
    <s v="Electronics"/>
    <s v="Medium"/>
    <n v="80000"/>
    <n v="1201.1400000000001"/>
    <x v="15"/>
    <d v="2025-03-01T00:00:00"/>
  </r>
  <r>
    <s v="ORD200277"/>
    <d v="2024-09-09T00:00:00"/>
    <s v="C11210"/>
    <x v="3"/>
    <n v="5"/>
    <n v="90.92"/>
    <x v="2"/>
    <x v="3"/>
    <n v="9"/>
    <s v="SAVE10"/>
    <x v="3"/>
    <n v="454.6"/>
    <s v="Furniture"/>
    <s v="Medium"/>
    <n v="70000"/>
    <n v="454.6"/>
    <x v="18"/>
    <d v="2024-09-01T00:00:00"/>
  </r>
  <r>
    <s v="ORD200278"/>
    <d v="2024-11-18T00:00:00"/>
    <s v="C46015"/>
    <x v="5"/>
    <n v="5"/>
    <n v="362.46"/>
    <x v="4"/>
    <x v="3"/>
    <n v="6"/>
    <s v="FREESHIP"/>
    <x v="0"/>
    <n v="1812.3"/>
    <s v="Electronics"/>
    <s v="High"/>
    <n v="150000"/>
    <n v="1812.3"/>
    <x v="16"/>
    <d v="2024-11-01T00:00:00"/>
  </r>
  <r>
    <s v="ORD200279"/>
    <d v="2023-10-20T00:00:00"/>
    <s v="C69167"/>
    <x v="3"/>
    <n v="3"/>
    <n v="55.01"/>
    <x v="1"/>
    <x v="4"/>
    <n v="7"/>
    <s v="WINTER15"/>
    <x v="2"/>
    <n v="165.03"/>
    <s v="Furniture"/>
    <s v="Medium"/>
    <n v="70000"/>
    <n v="165.03"/>
    <x v="3"/>
    <d v="2023-10-01T00:00:00"/>
  </r>
  <r>
    <s v="ORD200280"/>
    <d v="2023-03-27T00:00:00"/>
    <s v="C55388"/>
    <x v="2"/>
    <n v="3"/>
    <n v="404.62"/>
    <x v="3"/>
    <x v="3"/>
    <n v="6"/>
    <s v="FREESHIP"/>
    <x v="0"/>
    <n v="1213.8599999999999"/>
    <s v="Electronics"/>
    <s v="Medium"/>
    <n v="100000"/>
    <n v="1213.8599999999999"/>
    <x v="12"/>
    <d v="2023-03-01T00:00:00"/>
  </r>
  <r>
    <s v="ORD200281"/>
    <d v="2023-07-27T00:00:00"/>
    <s v="C87181"/>
    <x v="6"/>
    <n v="4"/>
    <n v="654.79"/>
    <x v="4"/>
    <x v="4"/>
    <n v="9"/>
    <m/>
    <x v="1"/>
    <n v="2619.16"/>
    <s v="Furniture"/>
    <s v="High"/>
    <n v="75000"/>
    <n v="2619.16"/>
    <x v="13"/>
    <d v="2023-07-01T00:00:00"/>
  </r>
  <r>
    <s v="ORD200282"/>
    <d v="2025-04-22T00:00:00"/>
    <s v="C30411"/>
    <x v="4"/>
    <n v="4"/>
    <n v="637.79"/>
    <x v="3"/>
    <x v="1"/>
    <n v="9"/>
    <s v="FREESHIP"/>
    <x v="4"/>
    <n v="2551.16"/>
    <s v="Electronics"/>
    <s v="Medium"/>
    <n v="80000"/>
    <n v="2551.16"/>
    <x v="7"/>
    <d v="2025-04-01T00:00:00"/>
  </r>
  <r>
    <s v="ORD200283"/>
    <d v="2025-02-28T00:00:00"/>
    <s v="C39638"/>
    <x v="5"/>
    <n v="4"/>
    <n v="540.33000000000004"/>
    <x v="4"/>
    <x v="0"/>
    <n v="6"/>
    <m/>
    <x v="4"/>
    <n v="2161.3200000000002"/>
    <s v="Electronics"/>
    <s v="High"/>
    <n v="150000"/>
    <n v="2161.3200000000002"/>
    <x v="21"/>
    <d v="2025-02-01T00:00:00"/>
  </r>
  <r>
    <s v="ORD200284"/>
    <d v="2023-02-16T00:00:00"/>
    <s v="C27203"/>
    <x v="5"/>
    <n v="5"/>
    <n v="208.17"/>
    <x v="2"/>
    <x v="2"/>
    <n v="6"/>
    <s v="SAVE10"/>
    <x v="3"/>
    <n v="1040.8499999999999"/>
    <s v="Electronics"/>
    <s v="High"/>
    <n v="150000"/>
    <n v="1040.8499999999999"/>
    <x v="26"/>
    <d v="2023-02-01T00:00:00"/>
  </r>
  <r>
    <s v="ORD200285"/>
    <d v="2025-06-10T00:00:00"/>
    <s v="C67583"/>
    <x v="1"/>
    <n v="1"/>
    <n v="338.31"/>
    <x v="1"/>
    <x v="3"/>
    <n v="3"/>
    <m/>
    <x v="4"/>
    <n v="338.31"/>
    <s v="Electronics"/>
    <s v="High"/>
    <n v="120000"/>
    <n v="338.31"/>
    <x v="5"/>
    <d v="2025-06-01T00:00:00"/>
  </r>
  <r>
    <s v="ORD200286"/>
    <d v="2025-04-07T00:00:00"/>
    <s v="C70554"/>
    <x v="0"/>
    <n v="3"/>
    <n v="139.44999999999999"/>
    <x v="3"/>
    <x v="2"/>
    <n v="8"/>
    <s v="WINTER15"/>
    <x v="4"/>
    <n v="418.35"/>
    <s v="Electronics"/>
    <s v="Medium"/>
    <n v="90000"/>
    <n v="418.35"/>
    <x v="7"/>
    <d v="2025-04-01T00:00:00"/>
  </r>
  <r>
    <s v="ORD200287"/>
    <d v="2023-11-24T00:00:00"/>
    <s v="C70437"/>
    <x v="3"/>
    <n v="4"/>
    <n v="655.17999999999995"/>
    <x v="1"/>
    <x v="0"/>
    <n v="5"/>
    <m/>
    <x v="3"/>
    <n v="2620.7199999999998"/>
    <s v="Furniture"/>
    <s v="Medium"/>
    <n v="70000"/>
    <n v="2620.7199999999998"/>
    <x v="8"/>
    <d v="2023-11-01T00:00:00"/>
  </r>
  <r>
    <s v="ORD200288"/>
    <d v="2023-03-12T00:00:00"/>
    <s v="C97643"/>
    <x v="5"/>
    <n v="4"/>
    <n v="512.75"/>
    <x v="0"/>
    <x v="2"/>
    <n v="8"/>
    <s v="WINTER15"/>
    <x v="4"/>
    <n v="2051"/>
    <s v="Electronics"/>
    <s v="High"/>
    <n v="150000"/>
    <n v="2051"/>
    <x v="12"/>
    <d v="2023-03-01T00:00:00"/>
  </r>
  <r>
    <s v="ORD200289"/>
    <d v="2023-07-26T00:00:00"/>
    <s v="C17136"/>
    <x v="3"/>
    <n v="4"/>
    <n v="160.49"/>
    <x v="2"/>
    <x v="0"/>
    <n v="8"/>
    <s v="WINTER15"/>
    <x v="1"/>
    <n v="641.96"/>
    <s v="Furniture"/>
    <s v="Medium"/>
    <n v="70000"/>
    <n v="641.96"/>
    <x v="13"/>
    <d v="2023-07-01T00:00:00"/>
  </r>
  <r>
    <s v="ORD200290"/>
    <d v="2023-05-05T00:00:00"/>
    <s v="C24901"/>
    <x v="3"/>
    <n v="3"/>
    <n v="99.9"/>
    <x v="4"/>
    <x v="3"/>
    <n v="8"/>
    <s v="FREESHIP"/>
    <x v="3"/>
    <n v="299.7"/>
    <s v="Furniture"/>
    <s v="Medium"/>
    <n v="70000"/>
    <n v="299.7"/>
    <x v="6"/>
    <d v="2023-05-01T00:00:00"/>
  </r>
  <r>
    <s v="ORD200291"/>
    <d v="2024-05-12T00:00:00"/>
    <s v="C61521"/>
    <x v="1"/>
    <n v="2"/>
    <n v="345.01"/>
    <x v="2"/>
    <x v="3"/>
    <n v="6"/>
    <s v="FREESHIP"/>
    <x v="4"/>
    <n v="690.02"/>
    <s v="Electronics"/>
    <s v="High"/>
    <n v="120000"/>
    <n v="690.02"/>
    <x v="22"/>
    <d v="2024-05-01T00:00:00"/>
  </r>
  <r>
    <s v="ORD200292"/>
    <d v="2025-01-15T00:00:00"/>
    <s v="C39639"/>
    <x v="0"/>
    <n v="1"/>
    <n v="65.95"/>
    <x v="2"/>
    <x v="3"/>
    <n v="5"/>
    <m/>
    <x v="3"/>
    <n v="65.95"/>
    <s v="Electronics"/>
    <s v="Medium"/>
    <n v="90000"/>
    <n v="65.95"/>
    <x v="27"/>
    <d v="2025-01-01T00:00:00"/>
  </r>
  <r>
    <s v="ORD200293"/>
    <d v="2023-02-16T00:00:00"/>
    <s v="C33220"/>
    <x v="2"/>
    <n v="4"/>
    <n v="463.04"/>
    <x v="3"/>
    <x v="2"/>
    <n v="9"/>
    <m/>
    <x v="0"/>
    <n v="1852.16"/>
    <s v="Electronics"/>
    <s v="Medium"/>
    <n v="100000"/>
    <n v="1852.16"/>
    <x v="26"/>
    <d v="2023-02-01T00:00:00"/>
  </r>
  <r>
    <s v="ORD200294"/>
    <d v="2025-04-01T00:00:00"/>
    <s v="C65414"/>
    <x v="1"/>
    <n v="2"/>
    <n v="297.70999999999998"/>
    <x v="1"/>
    <x v="0"/>
    <n v="7"/>
    <s v="SAVE10"/>
    <x v="1"/>
    <n v="595.41999999999996"/>
    <s v="Electronics"/>
    <s v="High"/>
    <n v="120000"/>
    <n v="595.41999999999996"/>
    <x v="7"/>
    <d v="2025-04-01T00:00:00"/>
  </r>
  <r>
    <s v="ORD200295"/>
    <d v="2023-01-25T00:00:00"/>
    <s v="C49009"/>
    <x v="4"/>
    <n v="5"/>
    <n v="107.48"/>
    <x v="0"/>
    <x v="1"/>
    <n v="9"/>
    <s v="FREESHIP"/>
    <x v="2"/>
    <n v="537.4"/>
    <s v="Electronics"/>
    <s v="Medium"/>
    <n v="80000"/>
    <n v="537.4"/>
    <x v="0"/>
    <d v="2023-01-01T00:00:00"/>
  </r>
  <r>
    <s v="ORD200296"/>
    <d v="2024-06-19T00:00:00"/>
    <s v="C48453"/>
    <x v="6"/>
    <n v="5"/>
    <n v="638.79999999999995"/>
    <x v="0"/>
    <x v="1"/>
    <n v="10"/>
    <s v="WINTER15"/>
    <x v="1"/>
    <n v="3194"/>
    <s v="Furniture"/>
    <s v="High"/>
    <n v="75000"/>
    <n v="3194"/>
    <x v="23"/>
    <d v="2024-06-01T00:00:00"/>
  </r>
  <r>
    <s v="ORD200297"/>
    <d v="2023-02-22T00:00:00"/>
    <s v="C68078"/>
    <x v="6"/>
    <n v="2"/>
    <n v="493.88"/>
    <x v="2"/>
    <x v="2"/>
    <n v="7"/>
    <s v="SAVE10"/>
    <x v="0"/>
    <n v="987.76"/>
    <s v="Furniture"/>
    <s v="High"/>
    <n v="75000"/>
    <n v="987.76"/>
    <x v="26"/>
    <d v="2023-02-01T00:00:00"/>
  </r>
  <r>
    <s v="ORD200298"/>
    <d v="2023-12-19T00:00:00"/>
    <s v="C19402"/>
    <x v="4"/>
    <n v="4"/>
    <n v="301.17"/>
    <x v="1"/>
    <x v="1"/>
    <n v="6"/>
    <m/>
    <x v="2"/>
    <n v="1204.68"/>
    <s v="Electronics"/>
    <s v="Medium"/>
    <n v="80000"/>
    <n v="1204.68"/>
    <x v="9"/>
    <d v="2023-12-01T00:00:00"/>
  </r>
  <r>
    <s v="ORD200299"/>
    <d v="2024-01-20T00:00:00"/>
    <s v="C30711"/>
    <x v="0"/>
    <n v="1"/>
    <n v="278.66000000000003"/>
    <x v="3"/>
    <x v="1"/>
    <n v="2"/>
    <s v="FREESHIP"/>
    <x v="0"/>
    <n v="278.66000000000003"/>
    <s v="Electronics"/>
    <s v="Medium"/>
    <n v="90000"/>
    <n v="278.66000000000003"/>
    <x v="25"/>
    <d v="2024-01-01T00:00:00"/>
  </r>
  <r>
    <s v="ORD200300"/>
    <d v="2024-09-02T00:00:00"/>
    <s v="C39000"/>
    <x v="1"/>
    <n v="1"/>
    <n v="287.45999999999998"/>
    <x v="0"/>
    <x v="2"/>
    <n v="3"/>
    <s v="FREESHIP"/>
    <x v="3"/>
    <n v="287.45999999999998"/>
    <s v="Electronics"/>
    <s v="High"/>
    <n v="120000"/>
    <n v="287.45999999999998"/>
    <x v="18"/>
    <d v="2024-09-01T00:00:00"/>
  </r>
  <r>
    <s v="ORD200301"/>
    <d v="2023-05-11T00:00:00"/>
    <s v="C31105"/>
    <x v="3"/>
    <n v="1"/>
    <n v="583.99"/>
    <x v="4"/>
    <x v="1"/>
    <n v="2"/>
    <s v="SAVE10"/>
    <x v="2"/>
    <n v="583.99"/>
    <s v="Furniture"/>
    <s v="Medium"/>
    <n v="70000"/>
    <n v="583.99"/>
    <x v="6"/>
    <d v="2023-05-01T00:00:00"/>
  </r>
  <r>
    <s v="ORD200302"/>
    <d v="2023-05-16T00:00:00"/>
    <s v="C29432"/>
    <x v="3"/>
    <n v="3"/>
    <n v="468.74"/>
    <x v="4"/>
    <x v="4"/>
    <n v="4"/>
    <s v="FREESHIP"/>
    <x v="0"/>
    <n v="1406.22"/>
    <s v="Furniture"/>
    <s v="Medium"/>
    <n v="70000"/>
    <n v="1406.22"/>
    <x v="6"/>
    <d v="2023-05-01T00:00:00"/>
  </r>
  <r>
    <s v="ORD200303"/>
    <d v="2024-12-07T00:00:00"/>
    <s v="C48531"/>
    <x v="2"/>
    <n v="1"/>
    <n v="30.54"/>
    <x v="0"/>
    <x v="2"/>
    <n v="1"/>
    <m/>
    <x v="4"/>
    <n v="30.54"/>
    <s v="Electronics"/>
    <s v="Medium"/>
    <n v="100000"/>
    <n v="30.54"/>
    <x v="20"/>
    <d v="2024-12-01T00:00:00"/>
  </r>
  <r>
    <s v="ORD200304"/>
    <d v="2024-10-18T00:00:00"/>
    <s v="C86762"/>
    <x v="0"/>
    <n v="5"/>
    <n v="408.73"/>
    <x v="3"/>
    <x v="3"/>
    <n v="10"/>
    <s v="FREESHIP"/>
    <x v="0"/>
    <n v="2043.65"/>
    <s v="Electronics"/>
    <s v="Medium"/>
    <n v="90000"/>
    <n v="2043.65"/>
    <x v="10"/>
    <d v="2024-10-01T00:00:00"/>
  </r>
  <r>
    <s v="ORD200305"/>
    <d v="2023-11-25T00:00:00"/>
    <s v="C63822"/>
    <x v="5"/>
    <n v="4"/>
    <n v="126.89"/>
    <x v="4"/>
    <x v="4"/>
    <n v="9"/>
    <s v="FREESHIP"/>
    <x v="0"/>
    <n v="507.56"/>
    <s v="Electronics"/>
    <s v="High"/>
    <n v="150000"/>
    <n v="507.56"/>
    <x v="8"/>
    <d v="2023-11-01T00:00:00"/>
  </r>
  <r>
    <s v="ORD200306"/>
    <d v="2024-06-07T00:00:00"/>
    <s v="C70495"/>
    <x v="4"/>
    <n v="2"/>
    <n v="57.07"/>
    <x v="0"/>
    <x v="2"/>
    <n v="3"/>
    <s v="SAVE10"/>
    <x v="0"/>
    <n v="114.14"/>
    <s v="Electronics"/>
    <s v="Medium"/>
    <n v="80000"/>
    <n v="114.14"/>
    <x v="23"/>
    <d v="2024-06-01T00:00:00"/>
  </r>
  <r>
    <s v="ORD200307"/>
    <d v="2023-07-01T00:00:00"/>
    <s v="C92407"/>
    <x v="5"/>
    <n v="3"/>
    <n v="557.41"/>
    <x v="1"/>
    <x v="3"/>
    <n v="4"/>
    <m/>
    <x v="2"/>
    <n v="1672.23"/>
    <s v="Electronics"/>
    <s v="High"/>
    <n v="150000"/>
    <n v="1672.23"/>
    <x v="13"/>
    <d v="2023-07-01T00:00:00"/>
  </r>
  <r>
    <s v="ORD200308"/>
    <d v="2023-12-11T00:00:00"/>
    <s v="C75888"/>
    <x v="4"/>
    <n v="3"/>
    <n v="448.9"/>
    <x v="0"/>
    <x v="2"/>
    <n v="7"/>
    <s v="SAVE10"/>
    <x v="0"/>
    <n v="1346.7"/>
    <s v="Electronics"/>
    <s v="Medium"/>
    <n v="80000"/>
    <n v="1346.7"/>
    <x v="9"/>
    <d v="2023-12-01T00:00:00"/>
  </r>
  <r>
    <s v="ORD200309"/>
    <d v="2023-10-03T00:00:00"/>
    <s v="C63153"/>
    <x v="3"/>
    <n v="4"/>
    <n v="549.76"/>
    <x v="0"/>
    <x v="3"/>
    <n v="4"/>
    <s v="FREESHIP"/>
    <x v="3"/>
    <n v="2199.04"/>
    <s v="Furniture"/>
    <s v="Medium"/>
    <n v="70000"/>
    <n v="2199.04"/>
    <x v="3"/>
    <d v="2023-10-01T00:00:00"/>
  </r>
  <r>
    <s v="ORD200310"/>
    <d v="2024-02-24T00:00:00"/>
    <s v="C85863"/>
    <x v="4"/>
    <n v="3"/>
    <n v="132.47999999999999"/>
    <x v="1"/>
    <x v="0"/>
    <n v="4"/>
    <m/>
    <x v="1"/>
    <n v="397.43999999999988"/>
    <s v="Electronics"/>
    <s v="Medium"/>
    <n v="80000"/>
    <n v="397.43999999999988"/>
    <x v="2"/>
    <d v="2024-02-01T00:00:00"/>
  </r>
  <r>
    <s v="ORD200311"/>
    <d v="2025-05-17T00:00:00"/>
    <s v="C71698"/>
    <x v="6"/>
    <n v="5"/>
    <n v="489.37"/>
    <x v="1"/>
    <x v="2"/>
    <n v="8"/>
    <m/>
    <x v="0"/>
    <n v="2446.85"/>
    <s v="Furniture"/>
    <s v="High"/>
    <n v="75000"/>
    <n v="2446.85"/>
    <x v="4"/>
    <d v="2025-05-01T00:00:00"/>
  </r>
  <r>
    <s v="ORD200312"/>
    <d v="2025-05-24T00:00:00"/>
    <s v="C35397"/>
    <x v="4"/>
    <n v="5"/>
    <n v="66.31"/>
    <x v="3"/>
    <x v="4"/>
    <n v="7"/>
    <s v="FREESHIP"/>
    <x v="1"/>
    <n v="331.55"/>
    <s v="Electronics"/>
    <s v="Medium"/>
    <n v="80000"/>
    <n v="331.55"/>
    <x v="4"/>
    <d v="2025-05-01T00:00:00"/>
  </r>
  <r>
    <s v="ORD200313"/>
    <d v="2023-07-09T00:00:00"/>
    <s v="C67687"/>
    <x v="3"/>
    <n v="2"/>
    <n v="434.3"/>
    <x v="4"/>
    <x v="3"/>
    <n v="7"/>
    <s v="SAVE10"/>
    <x v="0"/>
    <n v="868.6"/>
    <s v="Furniture"/>
    <s v="Medium"/>
    <n v="70000"/>
    <n v="868.6"/>
    <x v="13"/>
    <d v="2023-07-01T00:00:00"/>
  </r>
  <r>
    <s v="ORD200314"/>
    <d v="2023-10-04T00:00:00"/>
    <s v="C29931"/>
    <x v="6"/>
    <n v="4"/>
    <n v="153.09"/>
    <x v="1"/>
    <x v="3"/>
    <n v="4"/>
    <s v="FREESHIP"/>
    <x v="1"/>
    <n v="612.36"/>
    <s v="Furniture"/>
    <s v="High"/>
    <n v="75000"/>
    <n v="612.36"/>
    <x v="3"/>
    <d v="2023-10-01T00:00:00"/>
  </r>
  <r>
    <s v="ORD200315"/>
    <d v="2025-05-12T00:00:00"/>
    <s v="C59139"/>
    <x v="2"/>
    <n v="5"/>
    <n v="91.67"/>
    <x v="1"/>
    <x v="1"/>
    <n v="9"/>
    <s v="FREESHIP"/>
    <x v="2"/>
    <n v="458.35"/>
    <s v="Electronics"/>
    <s v="Medium"/>
    <n v="100000"/>
    <n v="458.35"/>
    <x v="4"/>
    <d v="2025-05-01T00:00:00"/>
  </r>
  <r>
    <s v="ORD200316"/>
    <d v="2023-10-02T00:00:00"/>
    <s v="C66078"/>
    <x v="6"/>
    <n v="4"/>
    <n v="275.27999999999997"/>
    <x v="3"/>
    <x v="0"/>
    <n v="9"/>
    <s v="WINTER15"/>
    <x v="3"/>
    <n v="1101.1199999999999"/>
    <s v="Furniture"/>
    <s v="High"/>
    <n v="75000"/>
    <n v="1101.1199999999999"/>
    <x v="3"/>
    <d v="2023-10-01T00:00:00"/>
  </r>
  <r>
    <s v="ORD200317"/>
    <d v="2023-04-10T00:00:00"/>
    <s v="C88370"/>
    <x v="0"/>
    <n v="2"/>
    <n v="139.94999999999999"/>
    <x v="1"/>
    <x v="2"/>
    <n v="5"/>
    <m/>
    <x v="0"/>
    <n v="279.89999999999998"/>
    <s v="Electronics"/>
    <s v="Medium"/>
    <n v="90000"/>
    <n v="279.89999999999998"/>
    <x v="29"/>
    <d v="2023-04-01T00:00:00"/>
  </r>
  <r>
    <s v="ORD200318"/>
    <d v="2024-07-27T00:00:00"/>
    <s v="C93375"/>
    <x v="3"/>
    <n v="3"/>
    <n v="148.72"/>
    <x v="0"/>
    <x v="1"/>
    <n v="7"/>
    <s v="SAVE10"/>
    <x v="4"/>
    <n v="446.16"/>
    <s v="Furniture"/>
    <s v="Medium"/>
    <n v="70000"/>
    <n v="446.16"/>
    <x v="17"/>
    <d v="2024-07-01T00:00:00"/>
  </r>
  <r>
    <s v="ORD200319"/>
    <d v="2023-12-02T00:00:00"/>
    <s v="C53049"/>
    <x v="5"/>
    <n v="2"/>
    <n v="563.05999999999995"/>
    <x v="4"/>
    <x v="2"/>
    <n v="6"/>
    <m/>
    <x v="0"/>
    <n v="1126.1199999999999"/>
    <s v="Electronics"/>
    <s v="High"/>
    <n v="150000"/>
    <n v="1126.1199999999999"/>
    <x v="9"/>
    <d v="2023-12-01T00:00:00"/>
  </r>
  <r>
    <s v="ORD200320"/>
    <d v="2024-12-19T00:00:00"/>
    <s v="C55590"/>
    <x v="4"/>
    <n v="1"/>
    <n v="625.51"/>
    <x v="2"/>
    <x v="0"/>
    <n v="1"/>
    <s v="FREESHIP"/>
    <x v="3"/>
    <n v="625.51"/>
    <s v="Electronics"/>
    <s v="Medium"/>
    <n v="80000"/>
    <n v="625.51"/>
    <x v="20"/>
    <d v="2024-12-01T00:00:00"/>
  </r>
  <r>
    <s v="ORD200321"/>
    <d v="2023-08-09T00:00:00"/>
    <s v="C47086"/>
    <x v="1"/>
    <n v="4"/>
    <n v="152.29"/>
    <x v="0"/>
    <x v="1"/>
    <n v="6"/>
    <s v="WINTER15"/>
    <x v="4"/>
    <n v="609.16"/>
    <s v="Electronics"/>
    <s v="High"/>
    <n v="120000"/>
    <n v="609.16"/>
    <x v="11"/>
    <d v="2023-08-01T00:00:00"/>
  </r>
  <r>
    <s v="ORD200322"/>
    <d v="2024-06-14T00:00:00"/>
    <s v="C48646"/>
    <x v="1"/>
    <n v="5"/>
    <n v="231.82"/>
    <x v="0"/>
    <x v="3"/>
    <n v="6"/>
    <s v="SAVE10"/>
    <x v="3"/>
    <n v="1159.0999999999999"/>
    <s v="Electronics"/>
    <s v="High"/>
    <n v="120000"/>
    <n v="1159.0999999999999"/>
    <x v="23"/>
    <d v="2024-06-01T00:00:00"/>
  </r>
  <r>
    <s v="ORD200323"/>
    <d v="2025-01-26T00:00:00"/>
    <s v="C29416"/>
    <x v="5"/>
    <n v="1"/>
    <n v="150.16999999999999"/>
    <x v="0"/>
    <x v="2"/>
    <n v="1"/>
    <s v="SAVE10"/>
    <x v="1"/>
    <n v="150.16999999999999"/>
    <s v="Electronics"/>
    <s v="High"/>
    <n v="150000"/>
    <n v="150.16999999999999"/>
    <x v="27"/>
    <d v="2025-01-01T00:00:00"/>
  </r>
  <r>
    <s v="ORD200324"/>
    <d v="2024-06-13T00:00:00"/>
    <s v="C13525"/>
    <x v="2"/>
    <n v="3"/>
    <n v="70.930000000000007"/>
    <x v="0"/>
    <x v="2"/>
    <n v="5"/>
    <m/>
    <x v="1"/>
    <n v="212.79"/>
    <s v="Electronics"/>
    <s v="Medium"/>
    <n v="100000"/>
    <n v="212.79"/>
    <x v="23"/>
    <d v="2024-06-01T00:00:00"/>
  </r>
  <r>
    <s v="ORD200325"/>
    <d v="2023-06-29T00:00:00"/>
    <s v="C53545"/>
    <x v="6"/>
    <n v="3"/>
    <n v="361.39"/>
    <x v="2"/>
    <x v="0"/>
    <n v="8"/>
    <m/>
    <x v="1"/>
    <n v="1084.17"/>
    <s v="Furniture"/>
    <s v="High"/>
    <n v="75000"/>
    <n v="1084.17"/>
    <x v="19"/>
    <d v="2023-06-01T00:00:00"/>
  </r>
  <r>
    <s v="ORD200326"/>
    <d v="2024-07-01T00:00:00"/>
    <s v="C65986"/>
    <x v="5"/>
    <n v="5"/>
    <n v="670.48"/>
    <x v="3"/>
    <x v="2"/>
    <n v="5"/>
    <s v="SAVE10"/>
    <x v="3"/>
    <n v="3352.4"/>
    <s v="Electronics"/>
    <s v="High"/>
    <n v="150000"/>
    <n v="3352.4"/>
    <x v="17"/>
    <d v="2024-07-01T00:00:00"/>
  </r>
  <r>
    <s v="ORD200327"/>
    <d v="2023-07-25T00:00:00"/>
    <s v="C17302"/>
    <x v="1"/>
    <n v="1"/>
    <n v="359.99"/>
    <x v="3"/>
    <x v="1"/>
    <n v="5"/>
    <s v="SAVE10"/>
    <x v="2"/>
    <n v="359.99"/>
    <s v="Electronics"/>
    <s v="High"/>
    <n v="120000"/>
    <n v="359.99"/>
    <x v="13"/>
    <d v="2023-07-01T00:00:00"/>
  </r>
  <r>
    <s v="ORD200328"/>
    <d v="2023-02-28T00:00:00"/>
    <s v="C18404"/>
    <x v="2"/>
    <n v="5"/>
    <n v="674.04"/>
    <x v="1"/>
    <x v="1"/>
    <n v="7"/>
    <s v="SAVE10"/>
    <x v="4"/>
    <n v="3370.2"/>
    <s v="Electronics"/>
    <s v="Medium"/>
    <n v="100000"/>
    <n v="3370.2"/>
    <x v="26"/>
    <d v="2023-02-01T00:00:00"/>
  </r>
  <r>
    <s v="ORD200329"/>
    <d v="2024-12-25T00:00:00"/>
    <s v="C88371"/>
    <x v="3"/>
    <n v="4"/>
    <n v="283.16000000000003"/>
    <x v="2"/>
    <x v="0"/>
    <n v="6"/>
    <m/>
    <x v="4"/>
    <n v="1132.6400000000001"/>
    <s v="Furniture"/>
    <s v="Medium"/>
    <n v="70000"/>
    <n v="1132.6400000000001"/>
    <x v="20"/>
    <d v="2024-12-01T00:00:00"/>
  </r>
  <r>
    <s v="ORD200330"/>
    <d v="2024-06-02T00:00:00"/>
    <s v="C38068"/>
    <x v="6"/>
    <n v="5"/>
    <n v="260.52999999999997"/>
    <x v="3"/>
    <x v="4"/>
    <n v="5"/>
    <s v="SAVE10"/>
    <x v="0"/>
    <n v="1302.6500000000001"/>
    <s v="Furniture"/>
    <s v="High"/>
    <n v="75000"/>
    <n v="1302.6500000000001"/>
    <x v="23"/>
    <d v="2024-06-01T00:00:00"/>
  </r>
  <r>
    <s v="ORD200331"/>
    <d v="2023-04-15T00:00:00"/>
    <s v="C78724"/>
    <x v="4"/>
    <n v="3"/>
    <n v="422.13"/>
    <x v="1"/>
    <x v="3"/>
    <n v="7"/>
    <s v="SAVE10"/>
    <x v="3"/>
    <n v="1266.3900000000001"/>
    <s v="Electronics"/>
    <s v="Medium"/>
    <n v="80000"/>
    <n v="1266.3900000000001"/>
    <x v="29"/>
    <d v="2023-04-01T00:00:00"/>
  </r>
  <r>
    <s v="ORD200332"/>
    <d v="2024-07-03T00:00:00"/>
    <s v="C26163"/>
    <x v="6"/>
    <n v="5"/>
    <n v="125.02"/>
    <x v="0"/>
    <x v="4"/>
    <n v="9"/>
    <s v="SAVE10"/>
    <x v="4"/>
    <n v="625.1"/>
    <s v="Furniture"/>
    <s v="High"/>
    <n v="75000"/>
    <n v="625.1"/>
    <x v="17"/>
    <d v="2024-07-01T00:00:00"/>
  </r>
  <r>
    <s v="ORD200333"/>
    <d v="2024-04-16T00:00:00"/>
    <s v="C87124"/>
    <x v="1"/>
    <n v="1"/>
    <n v="198.51"/>
    <x v="2"/>
    <x v="2"/>
    <n v="5"/>
    <s v="WINTER15"/>
    <x v="0"/>
    <n v="198.51"/>
    <s v="Electronics"/>
    <s v="High"/>
    <n v="120000"/>
    <n v="198.51"/>
    <x v="28"/>
    <d v="2024-04-01T00:00:00"/>
  </r>
  <r>
    <s v="ORD200334"/>
    <d v="2024-03-26T00:00:00"/>
    <s v="C90348"/>
    <x v="3"/>
    <n v="4"/>
    <n v="224.75"/>
    <x v="1"/>
    <x v="3"/>
    <n v="7"/>
    <s v="WINTER15"/>
    <x v="3"/>
    <n v="899"/>
    <s v="Furniture"/>
    <s v="Medium"/>
    <n v="70000"/>
    <n v="899"/>
    <x v="14"/>
    <d v="2024-03-01T00:00:00"/>
  </r>
  <r>
    <s v="ORD200335"/>
    <d v="2025-03-03T00:00:00"/>
    <s v="C58721"/>
    <x v="2"/>
    <n v="3"/>
    <n v="205.86"/>
    <x v="3"/>
    <x v="0"/>
    <n v="4"/>
    <m/>
    <x v="2"/>
    <n v="617.58000000000004"/>
    <s v="Electronics"/>
    <s v="Medium"/>
    <n v="100000"/>
    <n v="617.58000000000004"/>
    <x v="15"/>
    <d v="2025-03-01T00:00:00"/>
  </r>
  <r>
    <s v="ORD200336"/>
    <d v="2023-12-29T00:00:00"/>
    <s v="C88174"/>
    <x v="5"/>
    <n v="1"/>
    <n v="18.2"/>
    <x v="0"/>
    <x v="4"/>
    <n v="4"/>
    <s v="SAVE10"/>
    <x v="0"/>
    <n v="18.2"/>
    <s v="Electronics"/>
    <s v="High"/>
    <n v="150000"/>
    <n v="18.2"/>
    <x v="9"/>
    <d v="2023-12-01T00:00:00"/>
  </r>
  <r>
    <s v="ORD200337"/>
    <d v="2023-05-29T00:00:00"/>
    <s v="C77763"/>
    <x v="2"/>
    <n v="3"/>
    <n v="502.77"/>
    <x v="0"/>
    <x v="2"/>
    <n v="8"/>
    <s v="WINTER15"/>
    <x v="2"/>
    <n v="1508.31"/>
    <s v="Electronics"/>
    <s v="Medium"/>
    <n v="100000"/>
    <n v="1508.31"/>
    <x v="6"/>
    <d v="2023-05-01T00:00:00"/>
  </r>
  <r>
    <s v="ORD200338"/>
    <d v="2023-11-08T00:00:00"/>
    <s v="C53627"/>
    <x v="1"/>
    <n v="5"/>
    <n v="305.49"/>
    <x v="0"/>
    <x v="0"/>
    <n v="10"/>
    <m/>
    <x v="1"/>
    <n v="1527.45"/>
    <s v="Electronics"/>
    <s v="High"/>
    <n v="120000"/>
    <n v="1527.45"/>
    <x v="8"/>
    <d v="2023-11-01T00:00:00"/>
  </r>
  <r>
    <s v="ORD200339"/>
    <d v="2024-04-10T00:00:00"/>
    <s v="C84563"/>
    <x v="4"/>
    <n v="2"/>
    <n v="236.33"/>
    <x v="1"/>
    <x v="4"/>
    <n v="3"/>
    <s v="SAVE10"/>
    <x v="0"/>
    <n v="472.66"/>
    <s v="Electronics"/>
    <s v="Medium"/>
    <n v="80000"/>
    <n v="472.66"/>
    <x v="28"/>
    <d v="2024-04-01T00:00:00"/>
  </r>
  <r>
    <s v="ORD200340"/>
    <d v="2023-04-23T00:00:00"/>
    <s v="C76207"/>
    <x v="5"/>
    <n v="5"/>
    <n v="521.25"/>
    <x v="4"/>
    <x v="1"/>
    <n v="8"/>
    <m/>
    <x v="2"/>
    <n v="2606.25"/>
    <s v="Electronics"/>
    <s v="High"/>
    <n v="150000"/>
    <n v="2606.25"/>
    <x v="29"/>
    <d v="2023-04-01T00:00:00"/>
  </r>
  <r>
    <s v="ORD200341"/>
    <d v="2024-09-23T00:00:00"/>
    <s v="C94671"/>
    <x v="2"/>
    <n v="1"/>
    <n v="167.15"/>
    <x v="3"/>
    <x v="0"/>
    <n v="5"/>
    <s v="WINTER15"/>
    <x v="2"/>
    <n v="167.15"/>
    <s v="Electronics"/>
    <s v="Medium"/>
    <n v="100000"/>
    <n v="167.15"/>
    <x v="18"/>
    <d v="2024-09-01T00:00:00"/>
  </r>
  <r>
    <s v="ORD200342"/>
    <d v="2025-06-24T00:00:00"/>
    <s v="C69994"/>
    <x v="0"/>
    <n v="5"/>
    <n v="466.42"/>
    <x v="3"/>
    <x v="2"/>
    <n v="5"/>
    <m/>
    <x v="1"/>
    <n v="2332.1"/>
    <s v="Electronics"/>
    <s v="Medium"/>
    <n v="90000"/>
    <n v="2332.1"/>
    <x v="5"/>
    <d v="2025-06-01T00:00:00"/>
  </r>
  <r>
    <s v="ORD200343"/>
    <d v="2023-02-26T00:00:00"/>
    <s v="C64638"/>
    <x v="4"/>
    <n v="1"/>
    <n v="527.57000000000005"/>
    <x v="0"/>
    <x v="4"/>
    <n v="3"/>
    <s v="FREESHIP"/>
    <x v="3"/>
    <n v="527.57000000000005"/>
    <s v="Electronics"/>
    <s v="Medium"/>
    <n v="80000"/>
    <n v="527.57000000000005"/>
    <x v="26"/>
    <d v="2023-02-01T00:00:00"/>
  </r>
  <r>
    <s v="ORD200344"/>
    <d v="2025-03-06T00:00:00"/>
    <s v="C95623"/>
    <x v="2"/>
    <n v="3"/>
    <n v="623.34"/>
    <x v="1"/>
    <x v="1"/>
    <n v="3"/>
    <s v="SAVE10"/>
    <x v="0"/>
    <n v="1870.02"/>
    <s v="Electronics"/>
    <s v="Medium"/>
    <n v="100000"/>
    <n v="1870.02"/>
    <x v="15"/>
    <d v="2025-03-01T00:00:00"/>
  </r>
  <r>
    <s v="ORD200345"/>
    <d v="2023-12-07T00:00:00"/>
    <s v="C24751"/>
    <x v="2"/>
    <n v="5"/>
    <n v="501.26"/>
    <x v="3"/>
    <x v="0"/>
    <n v="10"/>
    <s v="FREESHIP"/>
    <x v="1"/>
    <n v="2506.3000000000002"/>
    <s v="Electronics"/>
    <s v="Medium"/>
    <n v="100000"/>
    <n v="2506.3000000000002"/>
    <x v="9"/>
    <d v="2023-12-01T00:00:00"/>
  </r>
  <r>
    <s v="ORD200346"/>
    <d v="2024-12-06T00:00:00"/>
    <s v="C31764"/>
    <x v="2"/>
    <n v="1"/>
    <n v="655.09"/>
    <x v="4"/>
    <x v="4"/>
    <n v="6"/>
    <m/>
    <x v="1"/>
    <n v="655.09"/>
    <s v="Electronics"/>
    <s v="Medium"/>
    <n v="100000"/>
    <n v="655.09"/>
    <x v="20"/>
    <d v="2024-12-01T00:00:00"/>
  </r>
  <r>
    <s v="ORD200347"/>
    <d v="2024-02-03T00:00:00"/>
    <s v="C83556"/>
    <x v="4"/>
    <n v="4"/>
    <n v="264.79000000000002"/>
    <x v="2"/>
    <x v="4"/>
    <n v="5"/>
    <s v="SAVE10"/>
    <x v="4"/>
    <n v="1059.1600000000001"/>
    <s v="Electronics"/>
    <s v="Medium"/>
    <n v="80000"/>
    <n v="1059.1600000000001"/>
    <x v="2"/>
    <d v="2024-02-01T00:00:00"/>
  </r>
  <r>
    <s v="ORD200348"/>
    <d v="2024-03-13T00:00:00"/>
    <s v="C24369"/>
    <x v="5"/>
    <n v="3"/>
    <n v="359.73"/>
    <x v="0"/>
    <x v="2"/>
    <n v="7"/>
    <s v="FREESHIP"/>
    <x v="2"/>
    <n v="1079.19"/>
    <s v="Electronics"/>
    <s v="High"/>
    <n v="150000"/>
    <n v="1079.19"/>
    <x v="14"/>
    <d v="2024-03-01T00:00:00"/>
  </r>
  <r>
    <s v="ORD200349"/>
    <d v="2023-11-30T00:00:00"/>
    <s v="C39648"/>
    <x v="3"/>
    <n v="1"/>
    <n v="465.33"/>
    <x v="3"/>
    <x v="3"/>
    <n v="2"/>
    <s v="FREESHIP"/>
    <x v="4"/>
    <n v="465.33"/>
    <s v="Furniture"/>
    <s v="Medium"/>
    <n v="70000"/>
    <n v="465.33"/>
    <x v="8"/>
    <d v="2023-11-01T00:00:00"/>
  </r>
  <r>
    <s v="ORD200350"/>
    <d v="2023-06-03T00:00:00"/>
    <s v="C13296"/>
    <x v="3"/>
    <n v="2"/>
    <n v="54.41"/>
    <x v="1"/>
    <x v="0"/>
    <n v="6"/>
    <m/>
    <x v="0"/>
    <n v="108.82"/>
    <s v="Furniture"/>
    <s v="Medium"/>
    <n v="70000"/>
    <n v="108.82"/>
    <x v="19"/>
    <d v="2023-06-01T00:00:00"/>
  </r>
  <r>
    <s v="ORD200351"/>
    <d v="2025-02-15T00:00:00"/>
    <s v="C94248"/>
    <x v="5"/>
    <n v="1"/>
    <n v="64.66"/>
    <x v="0"/>
    <x v="3"/>
    <n v="4"/>
    <m/>
    <x v="0"/>
    <n v="64.66"/>
    <s v="Electronics"/>
    <s v="High"/>
    <n v="150000"/>
    <n v="64.66"/>
    <x v="21"/>
    <d v="2025-02-01T00:00:00"/>
  </r>
  <r>
    <s v="ORD200352"/>
    <d v="2023-08-31T00:00:00"/>
    <s v="C26637"/>
    <x v="3"/>
    <n v="5"/>
    <n v="173.96"/>
    <x v="0"/>
    <x v="4"/>
    <n v="8"/>
    <s v="WINTER15"/>
    <x v="0"/>
    <n v="869.80000000000007"/>
    <s v="Furniture"/>
    <s v="Medium"/>
    <n v="70000"/>
    <n v="869.80000000000007"/>
    <x v="11"/>
    <d v="2023-08-01T00:00:00"/>
  </r>
  <r>
    <s v="ORD200353"/>
    <d v="2025-03-28T00:00:00"/>
    <s v="C16012"/>
    <x v="2"/>
    <n v="1"/>
    <n v="630.82000000000005"/>
    <x v="1"/>
    <x v="3"/>
    <n v="5"/>
    <s v="FREESHIP"/>
    <x v="4"/>
    <n v="630.82000000000005"/>
    <s v="Electronics"/>
    <s v="Medium"/>
    <n v="100000"/>
    <n v="630.82000000000005"/>
    <x v="15"/>
    <d v="2025-03-01T00:00:00"/>
  </r>
  <r>
    <s v="ORD200354"/>
    <d v="2023-07-11T00:00:00"/>
    <s v="C31772"/>
    <x v="1"/>
    <n v="1"/>
    <n v="693.41"/>
    <x v="0"/>
    <x v="0"/>
    <n v="4"/>
    <m/>
    <x v="0"/>
    <n v="693.41"/>
    <s v="Electronics"/>
    <s v="High"/>
    <n v="120000"/>
    <n v="693.41"/>
    <x v="13"/>
    <d v="2023-07-01T00:00:00"/>
  </r>
  <r>
    <s v="ORD200355"/>
    <d v="2025-06-03T00:00:00"/>
    <s v="C18353"/>
    <x v="2"/>
    <n v="3"/>
    <n v="433.33"/>
    <x v="2"/>
    <x v="1"/>
    <n v="4"/>
    <s v="FREESHIP"/>
    <x v="1"/>
    <n v="1299.99"/>
    <s v="Electronics"/>
    <s v="Medium"/>
    <n v="100000"/>
    <n v="1299.99"/>
    <x v="5"/>
    <d v="2025-06-01T00:00:00"/>
  </r>
  <r>
    <s v="ORD200356"/>
    <d v="2023-05-06T00:00:00"/>
    <s v="C26966"/>
    <x v="4"/>
    <n v="5"/>
    <n v="374.58"/>
    <x v="3"/>
    <x v="1"/>
    <n v="10"/>
    <s v="FREESHIP"/>
    <x v="0"/>
    <n v="1872.9"/>
    <s v="Electronics"/>
    <s v="Medium"/>
    <n v="80000"/>
    <n v="1872.9"/>
    <x v="6"/>
    <d v="2023-05-01T00:00:00"/>
  </r>
  <r>
    <s v="ORD200357"/>
    <d v="2023-07-08T00:00:00"/>
    <s v="C74982"/>
    <x v="5"/>
    <n v="5"/>
    <n v="408.56"/>
    <x v="0"/>
    <x v="3"/>
    <n v="8"/>
    <s v="FREESHIP"/>
    <x v="0"/>
    <n v="2042.8"/>
    <s v="Electronics"/>
    <s v="High"/>
    <n v="150000"/>
    <n v="2042.8"/>
    <x v="13"/>
    <d v="2023-07-01T00:00:00"/>
  </r>
  <r>
    <s v="ORD200358"/>
    <d v="2024-04-07T00:00:00"/>
    <s v="C70633"/>
    <x v="2"/>
    <n v="2"/>
    <n v="183.67"/>
    <x v="1"/>
    <x v="1"/>
    <n v="3"/>
    <s v="SAVE10"/>
    <x v="4"/>
    <n v="367.34"/>
    <s v="Electronics"/>
    <s v="Medium"/>
    <n v="100000"/>
    <n v="367.34"/>
    <x v="28"/>
    <d v="2024-04-01T00:00:00"/>
  </r>
  <r>
    <s v="ORD200359"/>
    <d v="2023-06-09T00:00:00"/>
    <s v="C95643"/>
    <x v="6"/>
    <n v="4"/>
    <n v="606.57000000000005"/>
    <x v="0"/>
    <x v="3"/>
    <n v="5"/>
    <s v="WINTER15"/>
    <x v="1"/>
    <n v="2426.2800000000002"/>
    <s v="Furniture"/>
    <s v="High"/>
    <n v="75000"/>
    <n v="2426.2800000000002"/>
    <x v="19"/>
    <d v="2023-06-01T00:00:00"/>
  </r>
  <r>
    <s v="ORD200360"/>
    <d v="2024-06-06T00:00:00"/>
    <s v="C53810"/>
    <x v="1"/>
    <n v="4"/>
    <n v="589.57000000000005"/>
    <x v="4"/>
    <x v="4"/>
    <n v="8"/>
    <m/>
    <x v="0"/>
    <n v="2358.2800000000002"/>
    <s v="Electronics"/>
    <s v="High"/>
    <n v="120000"/>
    <n v="2358.2800000000002"/>
    <x v="23"/>
    <d v="2024-06-01T00:00:00"/>
  </r>
  <r>
    <s v="ORD200361"/>
    <d v="2024-06-29T00:00:00"/>
    <s v="C53464"/>
    <x v="4"/>
    <n v="5"/>
    <n v="659.85"/>
    <x v="2"/>
    <x v="3"/>
    <n v="9"/>
    <s v="SAVE10"/>
    <x v="3"/>
    <n v="3299.25"/>
    <s v="Electronics"/>
    <s v="Medium"/>
    <n v="80000"/>
    <n v="3299.25"/>
    <x v="23"/>
    <d v="2024-06-01T00:00:00"/>
  </r>
  <r>
    <s v="ORD200362"/>
    <d v="2023-06-27T00:00:00"/>
    <s v="C53697"/>
    <x v="0"/>
    <n v="4"/>
    <n v="206.84"/>
    <x v="4"/>
    <x v="1"/>
    <n v="5"/>
    <s v="WINTER15"/>
    <x v="0"/>
    <n v="827.36"/>
    <s v="Electronics"/>
    <s v="Medium"/>
    <n v="90000"/>
    <n v="827.36"/>
    <x v="19"/>
    <d v="2023-06-01T00:00:00"/>
  </r>
  <r>
    <s v="ORD200363"/>
    <d v="2024-05-24T00:00:00"/>
    <s v="C31668"/>
    <x v="5"/>
    <n v="5"/>
    <n v="113.87"/>
    <x v="2"/>
    <x v="4"/>
    <n v="6"/>
    <s v="SAVE10"/>
    <x v="2"/>
    <n v="569.35"/>
    <s v="Electronics"/>
    <s v="High"/>
    <n v="150000"/>
    <n v="569.35"/>
    <x v="22"/>
    <d v="2024-05-01T00:00:00"/>
  </r>
  <r>
    <s v="ORD200364"/>
    <d v="2023-11-24T00:00:00"/>
    <s v="C85282"/>
    <x v="1"/>
    <n v="5"/>
    <n v="628.74"/>
    <x v="4"/>
    <x v="1"/>
    <n v="9"/>
    <s v="FREESHIP"/>
    <x v="3"/>
    <n v="3143.7"/>
    <s v="Electronics"/>
    <s v="High"/>
    <n v="120000"/>
    <n v="3143.7"/>
    <x v="8"/>
    <d v="2023-11-01T00:00:00"/>
  </r>
  <r>
    <s v="ORD200365"/>
    <d v="2025-02-14T00:00:00"/>
    <s v="C56796"/>
    <x v="1"/>
    <n v="1"/>
    <n v="678.38"/>
    <x v="2"/>
    <x v="1"/>
    <n v="4"/>
    <s v="SAVE10"/>
    <x v="1"/>
    <n v="678.38"/>
    <s v="Electronics"/>
    <s v="High"/>
    <n v="120000"/>
    <n v="678.38"/>
    <x v="21"/>
    <d v="2025-02-01T00:00:00"/>
  </r>
  <r>
    <s v="ORD200366"/>
    <d v="2023-02-10T00:00:00"/>
    <s v="C95213"/>
    <x v="4"/>
    <n v="3"/>
    <n v="602.24"/>
    <x v="0"/>
    <x v="4"/>
    <n v="8"/>
    <m/>
    <x v="1"/>
    <n v="1806.72"/>
    <s v="Electronics"/>
    <s v="Medium"/>
    <n v="80000"/>
    <n v="1806.72"/>
    <x v="26"/>
    <d v="2023-02-01T00:00:00"/>
  </r>
  <r>
    <s v="ORD200367"/>
    <d v="2024-04-25T00:00:00"/>
    <s v="C13108"/>
    <x v="5"/>
    <n v="5"/>
    <n v="658.77"/>
    <x v="3"/>
    <x v="4"/>
    <n v="10"/>
    <s v="FREESHIP"/>
    <x v="0"/>
    <n v="3293.85"/>
    <s v="Electronics"/>
    <s v="High"/>
    <n v="150000"/>
    <n v="3293.85"/>
    <x v="28"/>
    <d v="2024-04-01T00:00:00"/>
  </r>
  <r>
    <s v="ORD200368"/>
    <d v="2023-05-01T00:00:00"/>
    <s v="C85322"/>
    <x v="0"/>
    <n v="3"/>
    <n v="271.02"/>
    <x v="2"/>
    <x v="1"/>
    <n v="6"/>
    <m/>
    <x v="4"/>
    <n v="813.06"/>
    <s v="Electronics"/>
    <s v="Medium"/>
    <n v="90000"/>
    <n v="813.06"/>
    <x v="6"/>
    <d v="2023-05-01T00:00:00"/>
  </r>
  <r>
    <s v="ORD200369"/>
    <d v="2024-12-22T00:00:00"/>
    <s v="C43545"/>
    <x v="0"/>
    <n v="5"/>
    <n v="375.25"/>
    <x v="3"/>
    <x v="4"/>
    <n v="9"/>
    <s v="SAVE10"/>
    <x v="2"/>
    <n v="1876.25"/>
    <s v="Electronics"/>
    <s v="Medium"/>
    <n v="90000"/>
    <n v="1876.25"/>
    <x v="20"/>
    <d v="2024-12-01T00:00:00"/>
  </r>
  <r>
    <s v="ORD200370"/>
    <d v="2025-05-03T00:00:00"/>
    <s v="C80649"/>
    <x v="1"/>
    <n v="1"/>
    <n v="312.11"/>
    <x v="1"/>
    <x v="1"/>
    <n v="4"/>
    <s v="WINTER15"/>
    <x v="3"/>
    <n v="312.11"/>
    <s v="Electronics"/>
    <s v="High"/>
    <n v="120000"/>
    <n v="312.11"/>
    <x v="4"/>
    <d v="2025-05-01T00:00:00"/>
  </r>
  <r>
    <s v="ORD200371"/>
    <d v="2023-01-05T00:00:00"/>
    <s v="C59752"/>
    <x v="1"/>
    <n v="5"/>
    <n v="307.76"/>
    <x v="3"/>
    <x v="4"/>
    <n v="9"/>
    <s v="FREESHIP"/>
    <x v="4"/>
    <n v="1538.8"/>
    <s v="Electronics"/>
    <s v="High"/>
    <n v="120000"/>
    <n v="1538.8"/>
    <x v="0"/>
    <d v="2023-01-01T00:00:00"/>
  </r>
  <r>
    <s v="ORD200372"/>
    <d v="2025-02-14T00:00:00"/>
    <s v="C53645"/>
    <x v="3"/>
    <n v="3"/>
    <n v="483.53"/>
    <x v="4"/>
    <x v="2"/>
    <n v="4"/>
    <m/>
    <x v="1"/>
    <n v="1450.59"/>
    <s v="Furniture"/>
    <s v="Medium"/>
    <n v="70000"/>
    <n v="1450.59"/>
    <x v="21"/>
    <d v="2025-02-01T00:00:00"/>
  </r>
  <r>
    <s v="ORD200373"/>
    <d v="2023-01-02T00:00:00"/>
    <s v="C60178"/>
    <x v="5"/>
    <n v="3"/>
    <n v="341.15"/>
    <x v="4"/>
    <x v="4"/>
    <n v="4"/>
    <s v="FREESHIP"/>
    <x v="0"/>
    <n v="1023.45"/>
    <s v="Electronics"/>
    <s v="High"/>
    <n v="150000"/>
    <n v="1023.45"/>
    <x v="0"/>
    <d v="2023-01-01T00:00:00"/>
  </r>
  <r>
    <s v="ORD200374"/>
    <d v="2024-09-16T00:00:00"/>
    <s v="C20286"/>
    <x v="0"/>
    <n v="1"/>
    <n v="571.9"/>
    <x v="3"/>
    <x v="4"/>
    <n v="1"/>
    <s v="WINTER15"/>
    <x v="0"/>
    <n v="571.9"/>
    <s v="Electronics"/>
    <s v="Medium"/>
    <n v="90000"/>
    <n v="571.9"/>
    <x v="18"/>
    <d v="2024-09-01T00:00:00"/>
  </r>
  <r>
    <s v="ORD200375"/>
    <d v="2025-01-16T00:00:00"/>
    <s v="C87547"/>
    <x v="0"/>
    <n v="4"/>
    <n v="95.03"/>
    <x v="1"/>
    <x v="0"/>
    <n v="8"/>
    <s v="FREESHIP"/>
    <x v="3"/>
    <n v="380.12"/>
    <s v="Electronics"/>
    <s v="Medium"/>
    <n v="90000"/>
    <n v="380.12"/>
    <x v="27"/>
    <d v="2025-01-01T00:00:00"/>
  </r>
  <r>
    <s v="ORD200376"/>
    <d v="2023-08-24T00:00:00"/>
    <s v="C64549"/>
    <x v="0"/>
    <n v="5"/>
    <n v="201.22"/>
    <x v="0"/>
    <x v="4"/>
    <n v="6"/>
    <s v="FREESHIP"/>
    <x v="3"/>
    <n v="1006.1"/>
    <s v="Electronics"/>
    <s v="Medium"/>
    <n v="90000"/>
    <n v="1006.1"/>
    <x v="11"/>
    <d v="2023-08-01T00:00:00"/>
  </r>
  <r>
    <s v="ORD200377"/>
    <d v="2024-07-22T00:00:00"/>
    <s v="C24884"/>
    <x v="0"/>
    <n v="1"/>
    <n v="260.26"/>
    <x v="1"/>
    <x v="4"/>
    <n v="5"/>
    <s v="WINTER15"/>
    <x v="0"/>
    <n v="260.26"/>
    <s v="Electronics"/>
    <s v="Medium"/>
    <n v="90000"/>
    <n v="260.26"/>
    <x v="17"/>
    <d v="2024-07-01T00:00:00"/>
  </r>
  <r>
    <s v="ORD200378"/>
    <d v="2024-02-01T00:00:00"/>
    <s v="C62666"/>
    <x v="3"/>
    <n v="5"/>
    <n v="64.5"/>
    <x v="2"/>
    <x v="4"/>
    <n v="8"/>
    <s v="WINTER15"/>
    <x v="0"/>
    <n v="322.5"/>
    <s v="Furniture"/>
    <s v="Medium"/>
    <n v="70000"/>
    <n v="322.5"/>
    <x v="2"/>
    <d v="2024-02-01T00:00:00"/>
  </r>
  <r>
    <s v="ORD200379"/>
    <d v="2024-09-21T00:00:00"/>
    <s v="C47284"/>
    <x v="1"/>
    <n v="3"/>
    <n v="297.67"/>
    <x v="1"/>
    <x v="0"/>
    <n v="6"/>
    <m/>
    <x v="4"/>
    <n v="893.01"/>
    <s v="Electronics"/>
    <s v="High"/>
    <n v="120000"/>
    <n v="893.01"/>
    <x v="18"/>
    <d v="2024-09-01T00:00:00"/>
  </r>
  <r>
    <s v="ORD200380"/>
    <d v="2024-04-20T00:00:00"/>
    <s v="C35355"/>
    <x v="4"/>
    <n v="4"/>
    <n v="331.9"/>
    <x v="4"/>
    <x v="4"/>
    <n v="5"/>
    <s v="SAVE10"/>
    <x v="0"/>
    <n v="1327.6"/>
    <s v="Electronics"/>
    <s v="Medium"/>
    <n v="80000"/>
    <n v="1327.6"/>
    <x v="28"/>
    <d v="2024-04-01T00:00:00"/>
  </r>
  <r>
    <s v="ORD200381"/>
    <d v="2023-06-07T00:00:00"/>
    <s v="C29467"/>
    <x v="3"/>
    <n v="1"/>
    <n v="191.76"/>
    <x v="2"/>
    <x v="2"/>
    <n v="1"/>
    <s v="FREESHIP"/>
    <x v="0"/>
    <n v="191.76"/>
    <s v="Furniture"/>
    <s v="Medium"/>
    <n v="70000"/>
    <n v="191.76"/>
    <x v="19"/>
    <d v="2023-06-01T00:00:00"/>
  </r>
  <r>
    <s v="ORD200382"/>
    <d v="2025-01-30T00:00:00"/>
    <s v="C26718"/>
    <x v="4"/>
    <n v="4"/>
    <n v="263.08999999999997"/>
    <x v="0"/>
    <x v="0"/>
    <n v="8"/>
    <s v="SAVE10"/>
    <x v="4"/>
    <n v="1052.3599999999999"/>
    <s v="Electronics"/>
    <s v="Medium"/>
    <n v="80000"/>
    <n v="1052.3599999999999"/>
    <x v="27"/>
    <d v="2025-01-01T00:00:00"/>
  </r>
  <r>
    <s v="ORD200383"/>
    <d v="2023-01-20T00:00:00"/>
    <s v="C18944"/>
    <x v="3"/>
    <n v="4"/>
    <n v="393.8"/>
    <x v="2"/>
    <x v="4"/>
    <n v="7"/>
    <s v="SAVE10"/>
    <x v="2"/>
    <n v="1575.2"/>
    <s v="Furniture"/>
    <s v="Medium"/>
    <n v="70000"/>
    <n v="1575.2"/>
    <x v="0"/>
    <d v="2023-01-01T00:00:00"/>
  </r>
  <r>
    <s v="ORD200384"/>
    <d v="2024-11-24T00:00:00"/>
    <s v="C35628"/>
    <x v="3"/>
    <n v="3"/>
    <n v="553.57000000000005"/>
    <x v="2"/>
    <x v="2"/>
    <n v="4"/>
    <s v="FREESHIP"/>
    <x v="3"/>
    <n v="1660.71"/>
    <s v="Furniture"/>
    <s v="Medium"/>
    <n v="70000"/>
    <n v="1660.71"/>
    <x v="16"/>
    <d v="2024-11-01T00:00:00"/>
  </r>
  <r>
    <s v="ORD200385"/>
    <d v="2023-10-31T00:00:00"/>
    <s v="C56851"/>
    <x v="3"/>
    <n v="5"/>
    <n v="191.63"/>
    <x v="3"/>
    <x v="3"/>
    <n v="6"/>
    <s v="FREESHIP"/>
    <x v="3"/>
    <n v="958.15"/>
    <s v="Furniture"/>
    <s v="Medium"/>
    <n v="70000"/>
    <n v="958.15"/>
    <x v="3"/>
    <d v="2023-10-01T00:00:00"/>
  </r>
  <r>
    <s v="ORD200386"/>
    <d v="2023-04-28T00:00:00"/>
    <s v="C12421"/>
    <x v="2"/>
    <n v="1"/>
    <n v="93.02"/>
    <x v="1"/>
    <x v="2"/>
    <n v="4"/>
    <m/>
    <x v="2"/>
    <n v="93.02"/>
    <s v="Electronics"/>
    <s v="Medium"/>
    <n v="100000"/>
    <n v="93.02"/>
    <x v="29"/>
    <d v="2023-04-01T00:00:00"/>
  </r>
  <r>
    <s v="ORD200387"/>
    <d v="2024-06-27T00:00:00"/>
    <s v="C25316"/>
    <x v="4"/>
    <n v="2"/>
    <n v="39.53"/>
    <x v="2"/>
    <x v="0"/>
    <n v="3"/>
    <s v="WINTER15"/>
    <x v="4"/>
    <n v="79.06"/>
    <s v="Electronics"/>
    <s v="Medium"/>
    <n v="80000"/>
    <n v="79.06"/>
    <x v="23"/>
    <d v="2024-06-01T00:00:00"/>
  </r>
  <r>
    <s v="ORD200388"/>
    <d v="2023-12-28T00:00:00"/>
    <s v="C22657"/>
    <x v="4"/>
    <n v="3"/>
    <n v="633.97"/>
    <x v="4"/>
    <x v="4"/>
    <n v="7"/>
    <s v="WINTER15"/>
    <x v="3"/>
    <n v="1901.91"/>
    <s v="Electronics"/>
    <s v="Medium"/>
    <n v="80000"/>
    <n v="1901.91"/>
    <x v="9"/>
    <d v="2023-12-01T00:00:00"/>
  </r>
  <r>
    <s v="ORD200389"/>
    <d v="2023-12-17T00:00:00"/>
    <s v="C29703"/>
    <x v="6"/>
    <n v="4"/>
    <n v="697.5"/>
    <x v="4"/>
    <x v="0"/>
    <n v="7"/>
    <s v="FREESHIP"/>
    <x v="1"/>
    <n v="2790"/>
    <s v="Furniture"/>
    <s v="High"/>
    <n v="75000"/>
    <n v="2790"/>
    <x v="9"/>
    <d v="2023-12-01T00:00:00"/>
  </r>
  <r>
    <s v="ORD200390"/>
    <d v="2023-07-14T00:00:00"/>
    <s v="C55996"/>
    <x v="4"/>
    <n v="5"/>
    <n v="508.69"/>
    <x v="4"/>
    <x v="3"/>
    <n v="10"/>
    <s v="FREESHIP"/>
    <x v="4"/>
    <n v="2543.4499999999998"/>
    <s v="Electronics"/>
    <s v="Medium"/>
    <n v="80000"/>
    <n v="2543.4499999999998"/>
    <x v="13"/>
    <d v="2023-07-01T00:00:00"/>
  </r>
  <r>
    <s v="ORD200391"/>
    <d v="2025-01-16T00:00:00"/>
    <s v="C60037"/>
    <x v="5"/>
    <n v="2"/>
    <n v="527.46"/>
    <x v="0"/>
    <x v="1"/>
    <n v="3"/>
    <s v="FREESHIP"/>
    <x v="1"/>
    <n v="1054.92"/>
    <s v="Electronics"/>
    <s v="High"/>
    <n v="150000"/>
    <n v="1054.92"/>
    <x v="27"/>
    <d v="2025-01-01T00:00:00"/>
  </r>
  <r>
    <s v="ORD200392"/>
    <d v="2024-02-28T00:00:00"/>
    <s v="C95100"/>
    <x v="1"/>
    <n v="1"/>
    <n v="627.20000000000005"/>
    <x v="1"/>
    <x v="3"/>
    <n v="1"/>
    <s v="WINTER15"/>
    <x v="2"/>
    <n v="627.20000000000005"/>
    <s v="Electronics"/>
    <s v="High"/>
    <n v="120000"/>
    <n v="627.20000000000005"/>
    <x v="2"/>
    <d v="2024-02-01T00:00:00"/>
  </r>
  <r>
    <s v="ORD200393"/>
    <d v="2024-07-14T00:00:00"/>
    <s v="C39906"/>
    <x v="4"/>
    <n v="1"/>
    <n v="75.010000000000005"/>
    <x v="2"/>
    <x v="2"/>
    <n v="3"/>
    <m/>
    <x v="4"/>
    <n v="75.010000000000005"/>
    <s v="Electronics"/>
    <s v="Medium"/>
    <n v="80000"/>
    <n v="75.010000000000005"/>
    <x v="17"/>
    <d v="2024-07-01T00:00:00"/>
  </r>
  <r>
    <s v="ORD200394"/>
    <d v="2023-07-05T00:00:00"/>
    <s v="C70148"/>
    <x v="6"/>
    <n v="5"/>
    <n v="529.54999999999995"/>
    <x v="3"/>
    <x v="0"/>
    <n v="10"/>
    <m/>
    <x v="3"/>
    <n v="2647.75"/>
    <s v="Furniture"/>
    <s v="High"/>
    <n v="75000"/>
    <n v="2647.75"/>
    <x v="13"/>
    <d v="2023-07-01T00:00:00"/>
  </r>
  <r>
    <s v="ORD200395"/>
    <d v="2025-04-25T00:00:00"/>
    <s v="C30010"/>
    <x v="1"/>
    <n v="3"/>
    <n v="127.41"/>
    <x v="3"/>
    <x v="3"/>
    <n v="7"/>
    <s v="SAVE10"/>
    <x v="1"/>
    <n v="382.23"/>
    <s v="Electronics"/>
    <s v="High"/>
    <n v="120000"/>
    <n v="382.23"/>
    <x v="7"/>
    <d v="2025-04-01T00:00:00"/>
  </r>
  <r>
    <s v="ORD200396"/>
    <d v="2023-12-01T00:00:00"/>
    <s v="C99217"/>
    <x v="2"/>
    <n v="5"/>
    <n v="287.13"/>
    <x v="1"/>
    <x v="0"/>
    <n v="10"/>
    <s v="SAVE10"/>
    <x v="2"/>
    <n v="1435.65"/>
    <s v="Electronics"/>
    <s v="Medium"/>
    <n v="100000"/>
    <n v="1435.65"/>
    <x v="9"/>
    <d v="2023-12-01T00:00:00"/>
  </r>
  <r>
    <s v="ORD200397"/>
    <d v="2023-09-28T00:00:00"/>
    <s v="C30184"/>
    <x v="0"/>
    <n v="1"/>
    <n v="427.06"/>
    <x v="1"/>
    <x v="1"/>
    <n v="1"/>
    <s v="WINTER15"/>
    <x v="1"/>
    <n v="427.06"/>
    <s v="Electronics"/>
    <s v="Medium"/>
    <n v="90000"/>
    <n v="427.06"/>
    <x v="24"/>
    <d v="2023-09-01T00:00:00"/>
  </r>
  <r>
    <s v="ORD200398"/>
    <d v="2024-09-04T00:00:00"/>
    <s v="C50275"/>
    <x v="1"/>
    <n v="5"/>
    <n v="53.93"/>
    <x v="3"/>
    <x v="0"/>
    <n v="7"/>
    <s v="SAVE10"/>
    <x v="0"/>
    <n v="269.64999999999998"/>
    <s v="Electronics"/>
    <s v="High"/>
    <n v="120000"/>
    <n v="269.64999999999998"/>
    <x v="18"/>
    <d v="2024-09-01T00:00:00"/>
  </r>
  <r>
    <s v="ORD200399"/>
    <d v="2024-01-07T00:00:00"/>
    <s v="C64641"/>
    <x v="2"/>
    <n v="5"/>
    <n v="423.93"/>
    <x v="0"/>
    <x v="2"/>
    <n v="5"/>
    <s v="FREESHIP"/>
    <x v="3"/>
    <n v="2119.65"/>
    <s v="Electronics"/>
    <s v="Medium"/>
    <n v="100000"/>
    <n v="2119.65"/>
    <x v="25"/>
    <d v="2024-01-01T00:00:00"/>
  </r>
  <r>
    <s v="ORD200400"/>
    <d v="2024-09-28T00:00:00"/>
    <s v="C56266"/>
    <x v="6"/>
    <n v="4"/>
    <n v="160.22"/>
    <x v="0"/>
    <x v="2"/>
    <n v="9"/>
    <s v="WINTER15"/>
    <x v="0"/>
    <n v="640.88"/>
    <s v="Furniture"/>
    <s v="High"/>
    <n v="75000"/>
    <n v="640.88"/>
    <x v="18"/>
    <d v="2024-09-01T00:00:00"/>
  </r>
  <r>
    <s v="ORD200401"/>
    <d v="2025-04-09T00:00:00"/>
    <s v="C98635"/>
    <x v="4"/>
    <n v="1"/>
    <n v="538.67999999999995"/>
    <x v="0"/>
    <x v="2"/>
    <n v="6"/>
    <m/>
    <x v="1"/>
    <n v="538.67999999999995"/>
    <s v="Electronics"/>
    <s v="Medium"/>
    <n v="80000"/>
    <n v="538.67999999999995"/>
    <x v="7"/>
    <d v="2025-04-01T00:00:00"/>
  </r>
  <r>
    <s v="ORD200402"/>
    <d v="2023-04-09T00:00:00"/>
    <s v="C83026"/>
    <x v="4"/>
    <n v="5"/>
    <n v="337.38"/>
    <x v="3"/>
    <x v="0"/>
    <n v="5"/>
    <m/>
    <x v="1"/>
    <n v="1686.9"/>
    <s v="Electronics"/>
    <s v="Medium"/>
    <n v="80000"/>
    <n v="1686.9"/>
    <x v="29"/>
    <d v="2023-04-01T00:00:00"/>
  </r>
  <r>
    <s v="ORD200403"/>
    <d v="2024-11-10T00:00:00"/>
    <s v="C28893"/>
    <x v="2"/>
    <n v="1"/>
    <n v="620.21"/>
    <x v="1"/>
    <x v="2"/>
    <n v="1"/>
    <s v="FREESHIP"/>
    <x v="1"/>
    <n v="620.21"/>
    <s v="Electronics"/>
    <s v="Medium"/>
    <n v="100000"/>
    <n v="620.21"/>
    <x v="16"/>
    <d v="2024-11-01T00:00:00"/>
  </r>
  <r>
    <s v="ORD200404"/>
    <d v="2023-03-09T00:00:00"/>
    <s v="C45482"/>
    <x v="0"/>
    <n v="2"/>
    <n v="99.1"/>
    <x v="4"/>
    <x v="3"/>
    <n v="6"/>
    <m/>
    <x v="0"/>
    <n v="198.2"/>
    <s v="Electronics"/>
    <s v="Medium"/>
    <n v="90000"/>
    <n v="198.2"/>
    <x v="12"/>
    <d v="2023-03-01T00:00:00"/>
  </r>
  <r>
    <s v="ORD200405"/>
    <d v="2025-01-26T00:00:00"/>
    <s v="C97774"/>
    <x v="0"/>
    <n v="4"/>
    <n v="451.97"/>
    <x v="1"/>
    <x v="1"/>
    <n v="7"/>
    <s v="WINTER15"/>
    <x v="2"/>
    <n v="1807.88"/>
    <s v="Electronics"/>
    <s v="Medium"/>
    <n v="90000"/>
    <n v="1807.88"/>
    <x v="27"/>
    <d v="2025-01-01T00:00:00"/>
  </r>
  <r>
    <s v="ORD200406"/>
    <d v="2023-12-10T00:00:00"/>
    <s v="C11657"/>
    <x v="2"/>
    <n v="4"/>
    <n v="66.099999999999994"/>
    <x v="4"/>
    <x v="2"/>
    <n v="9"/>
    <s v="WINTER15"/>
    <x v="4"/>
    <n v="264.39999999999998"/>
    <s v="Electronics"/>
    <s v="Medium"/>
    <n v="100000"/>
    <n v="264.39999999999998"/>
    <x v="9"/>
    <d v="2023-12-01T00:00:00"/>
  </r>
  <r>
    <s v="ORD200407"/>
    <d v="2023-08-13T00:00:00"/>
    <s v="C85993"/>
    <x v="2"/>
    <n v="4"/>
    <n v="547.32000000000005"/>
    <x v="4"/>
    <x v="2"/>
    <n v="8"/>
    <s v="FREESHIP"/>
    <x v="0"/>
    <n v="2189.2800000000002"/>
    <s v="Electronics"/>
    <s v="Medium"/>
    <n v="100000"/>
    <n v="2189.2800000000002"/>
    <x v="11"/>
    <d v="2023-08-01T00:00:00"/>
  </r>
  <r>
    <s v="ORD200408"/>
    <d v="2025-01-01T00:00:00"/>
    <s v="C11906"/>
    <x v="4"/>
    <n v="3"/>
    <n v="412.53"/>
    <x v="1"/>
    <x v="4"/>
    <n v="6"/>
    <s v="WINTER15"/>
    <x v="4"/>
    <n v="1237.5899999999999"/>
    <s v="Electronics"/>
    <s v="Medium"/>
    <n v="80000"/>
    <n v="1237.5899999999999"/>
    <x v="27"/>
    <d v="2025-01-01T00:00:00"/>
  </r>
  <r>
    <s v="ORD200409"/>
    <d v="2023-06-28T00:00:00"/>
    <s v="C45187"/>
    <x v="6"/>
    <n v="5"/>
    <n v="84.13"/>
    <x v="1"/>
    <x v="3"/>
    <n v="9"/>
    <s v="SAVE10"/>
    <x v="4"/>
    <n v="420.65"/>
    <s v="Furniture"/>
    <s v="High"/>
    <n v="75000"/>
    <n v="420.65"/>
    <x v="19"/>
    <d v="2023-06-01T00:00:00"/>
  </r>
  <r>
    <s v="ORD200410"/>
    <d v="2024-01-18T00:00:00"/>
    <s v="C37375"/>
    <x v="2"/>
    <n v="2"/>
    <n v="518.23"/>
    <x v="0"/>
    <x v="0"/>
    <n v="5"/>
    <m/>
    <x v="2"/>
    <n v="1036.46"/>
    <s v="Electronics"/>
    <s v="Medium"/>
    <n v="100000"/>
    <n v="1036.46"/>
    <x v="25"/>
    <d v="2024-01-01T00:00:00"/>
  </r>
  <r>
    <s v="ORD200411"/>
    <d v="2024-06-19T00:00:00"/>
    <s v="C66567"/>
    <x v="6"/>
    <n v="2"/>
    <n v="39.51"/>
    <x v="1"/>
    <x v="0"/>
    <n v="5"/>
    <m/>
    <x v="3"/>
    <n v="79.02"/>
    <s v="Furniture"/>
    <s v="High"/>
    <n v="75000"/>
    <n v="79.02"/>
    <x v="23"/>
    <d v="2024-06-01T00:00:00"/>
  </r>
  <r>
    <s v="ORD200412"/>
    <d v="2025-04-11T00:00:00"/>
    <s v="C42451"/>
    <x v="2"/>
    <n v="5"/>
    <n v="133.01"/>
    <x v="2"/>
    <x v="2"/>
    <n v="10"/>
    <m/>
    <x v="3"/>
    <n v="665.05"/>
    <s v="Electronics"/>
    <s v="Medium"/>
    <n v="100000"/>
    <n v="665.05"/>
    <x v="7"/>
    <d v="2025-04-01T00:00:00"/>
  </r>
  <r>
    <s v="ORD200413"/>
    <d v="2023-10-08T00:00:00"/>
    <s v="C13923"/>
    <x v="2"/>
    <n v="1"/>
    <n v="118.8"/>
    <x v="1"/>
    <x v="3"/>
    <n v="6"/>
    <s v="SAVE10"/>
    <x v="2"/>
    <n v="118.8"/>
    <s v="Electronics"/>
    <s v="Medium"/>
    <n v="100000"/>
    <n v="118.8"/>
    <x v="3"/>
    <d v="2023-10-01T00:00:00"/>
  </r>
  <r>
    <s v="ORD200414"/>
    <d v="2025-05-04T00:00:00"/>
    <s v="C11829"/>
    <x v="6"/>
    <n v="2"/>
    <n v="139.57"/>
    <x v="4"/>
    <x v="3"/>
    <n v="4"/>
    <s v="WINTER15"/>
    <x v="3"/>
    <n v="279.14"/>
    <s v="Furniture"/>
    <s v="High"/>
    <n v="75000"/>
    <n v="279.14"/>
    <x v="4"/>
    <d v="2025-05-01T00:00:00"/>
  </r>
  <r>
    <s v="ORD200415"/>
    <d v="2025-04-06T00:00:00"/>
    <s v="C62169"/>
    <x v="3"/>
    <n v="1"/>
    <n v="184.15"/>
    <x v="3"/>
    <x v="0"/>
    <n v="5"/>
    <s v="FREESHIP"/>
    <x v="3"/>
    <n v="184.15"/>
    <s v="Furniture"/>
    <s v="Medium"/>
    <n v="70000"/>
    <n v="184.15"/>
    <x v="7"/>
    <d v="2025-04-01T00:00:00"/>
  </r>
  <r>
    <s v="ORD200416"/>
    <d v="2023-07-18T00:00:00"/>
    <s v="C20881"/>
    <x v="5"/>
    <n v="2"/>
    <n v="644.04999999999995"/>
    <x v="3"/>
    <x v="1"/>
    <n v="5"/>
    <s v="WINTER15"/>
    <x v="1"/>
    <n v="1288.0999999999999"/>
    <s v="Electronics"/>
    <s v="High"/>
    <n v="150000"/>
    <n v="1288.0999999999999"/>
    <x v="13"/>
    <d v="2023-07-01T00:00:00"/>
  </r>
  <r>
    <s v="ORD200417"/>
    <d v="2023-10-24T00:00:00"/>
    <s v="C44492"/>
    <x v="5"/>
    <n v="5"/>
    <n v="55.41"/>
    <x v="1"/>
    <x v="1"/>
    <n v="5"/>
    <m/>
    <x v="4"/>
    <n v="277.05"/>
    <s v="Electronics"/>
    <s v="High"/>
    <n v="150000"/>
    <n v="277.05"/>
    <x v="3"/>
    <d v="2023-10-01T00:00:00"/>
  </r>
  <r>
    <s v="ORD200418"/>
    <d v="2023-01-11T00:00:00"/>
    <s v="C74169"/>
    <x v="4"/>
    <n v="1"/>
    <n v="310.93"/>
    <x v="1"/>
    <x v="1"/>
    <n v="3"/>
    <m/>
    <x v="3"/>
    <n v="310.93"/>
    <s v="Electronics"/>
    <s v="Medium"/>
    <n v="80000"/>
    <n v="310.93"/>
    <x v="0"/>
    <d v="2023-01-01T00:00:00"/>
  </r>
  <r>
    <s v="ORD200419"/>
    <d v="2024-04-17T00:00:00"/>
    <s v="C70999"/>
    <x v="2"/>
    <n v="2"/>
    <n v="216.66"/>
    <x v="0"/>
    <x v="4"/>
    <n v="6"/>
    <s v="FREESHIP"/>
    <x v="0"/>
    <n v="433.32"/>
    <s v="Electronics"/>
    <s v="Medium"/>
    <n v="100000"/>
    <n v="433.32"/>
    <x v="28"/>
    <d v="2024-04-01T00:00:00"/>
  </r>
  <r>
    <s v="ORD200420"/>
    <d v="2024-11-29T00:00:00"/>
    <s v="C11921"/>
    <x v="1"/>
    <n v="1"/>
    <n v="452.7"/>
    <x v="0"/>
    <x v="0"/>
    <n v="5"/>
    <s v="FREESHIP"/>
    <x v="0"/>
    <n v="452.7"/>
    <s v="Electronics"/>
    <s v="High"/>
    <n v="120000"/>
    <n v="452.7"/>
    <x v="16"/>
    <d v="2024-11-01T00:00:00"/>
  </r>
  <r>
    <s v="ORD200421"/>
    <d v="2023-10-15T00:00:00"/>
    <s v="C50683"/>
    <x v="3"/>
    <n v="2"/>
    <n v="288.20999999999998"/>
    <x v="0"/>
    <x v="1"/>
    <n v="5"/>
    <m/>
    <x v="2"/>
    <n v="576.41999999999996"/>
    <s v="Furniture"/>
    <s v="Medium"/>
    <n v="70000"/>
    <n v="576.41999999999996"/>
    <x v="3"/>
    <d v="2023-10-01T00:00:00"/>
  </r>
  <r>
    <s v="ORD200422"/>
    <d v="2023-06-05T00:00:00"/>
    <s v="C76140"/>
    <x v="1"/>
    <n v="4"/>
    <n v="206.6"/>
    <x v="3"/>
    <x v="2"/>
    <n v="6"/>
    <s v="WINTER15"/>
    <x v="1"/>
    <n v="826.4"/>
    <s v="Electronics"/>
    <s v="High"/>
    <n v="120000"/>
    <n v="826.4"/>
    <x v="19"/>
    <d v="2023-06-01T00:00:00"/>
  </r>
  <r>
    <s v="ORD200423"/>
    <d v="2024-07-20T00:00:00"/>
    <s v="C94311"/>
    <x v="4"/>
    <n v="4"/>
    <n v="685.2"/>
    <x v="3"/>
    <x v="1"/>
    <n v="6"/>
    <s v="WINTER15"/>
    <x v="4"/>
    <n v="2740.8"/>
    <s v="Electronics"/>
    <s v="Medium"/>
    <n v="80000"/>
    <n v="2740.8"/>
    <x v="17"/>
    <d v="2024-07-01T00:00:00"/>
  </r>
  <r>
    <s v="ORD200424"/>
    <d v="2023-04-12T00:00:00"/>
    <s v="C49491"/>
    <x v="3"/>
    <n v="5"/>
    <n v="22.94"/>
    <x v="4"/>
    <x v="4"/>
    <n v="10"/>
    <m/>
    <x v="2"/>
    <n v="114.7"/>
    <s v="Furniture"/>
    <s v="Medium"/>
    <n v="70000"/>
    <n v="114.7"/>
    <x v="29"/>
    <d v="2023-04-01T00:00:00"/>
  </r>
  <r>
    <s v="ORD200425"/>
    <d v="2023-03-09T00:00:00"/>
    <s v="C40648"/>
    <x v="5"/>
    <n v="2"/>
    <n v="301.88"/>
    <x v="3"/>
    <x v="2"/>
    <n v="5"/>
    <s v="WINTER15"/>
    <x v="2"/>
    <n v="603.76"/>
    <s v="Electronics"/>
    <s v="High"/>
    <n v="150000"/>
    <n v="603.76"/>
    <x v="12"/>
    <d v="2023-03-01T00:00:00"/>
  </r>
  <r>
    <s v="ORD200426"/>
    <d v="2025-03-16T00:00:00"/>
    <s v="C40967"/>
    <x v="0"/>
    <n v="5"/>
    <n v="57.45"/>
    <x v="4"/>
    <x v="1"/>
    <n v="10"/>
    <m/>
    <x v="3"/>
    <n v="287.25"/>
    <s v="Electronics"/>
    <s v="Medium"/>
    <n v="90000"/>
    <n v="287.25"/>
    <x v="15"/>
    <d v="2025-03-01T00:00:00"/>
  </r>
  <r>
    <s v="ORD200427"/>
    <d v="2024-12-18T00:00:00"/>
    <s v="C25406"/>
    <x v="6"/>
    <n v="1"/>
    <n v="161.24"/>
    <x v="2"/>
    <x v="4"/>
    <n v="3"/>
    <s v="WINTER15"/>
    <x v="0"/>
    <n v="161.24"/>
    <s v="Furniture"/>
    <s v="High"/>
    <n v="75000"/>
    <n v="161.24"/>
    <x v="20"/>
    <d v="2024-12-01T00:00:00"/>
  </r>
  <r>
    <s v="ORD200428"/>
    <d v="2024-11-26T00:00:00"/>
    <s v="C77085"/>
    <x v="3"/>
    <n v="4"/>
    <n v="262.58"/>
    <x v="1"/>
    <x v="1"/>
    <n v="8"/>
    <s v="WINTER15"/>
    <x v="2"/>
    <n v="1050.32"/>
    <s v="Furniture"/>
    <s v="Medium"/>
    <n v="70000"/>
    <n v="1050.32"/>
    <x v="16"/>
    <d v="2024-11-01T00:00:00"/>
  </r>
  <r>
    <s v="ORD200429"/>
    <d v="2024-12-19T00:00:00"/>
    <s v="C38126"/>
    <x v="4"/>
    <n v="4"/>
    <n v="515.19000000000005"/>
    <x v="2"/>
    <x v="4"/>
    <n v="9"/>
    <s v="SAVE10"/>
    <x v="3"/>
    <n v="2060.7600000000002"/>
    <s v="Electronics"/>
    <s v="Medium"/>
    <n v="80000"/>
    <n v="2060.7600000000002"/>
    <x v="20"/>
    <d v="2024-12-01T00:00:00"/>
  </r>
  <r>
    <s v="ORD200430"/>
    <d v="2023-06-07T00:00:00"/>
    <s v="C87448"/>
    <x v="1"/>
    <n v="1"/>
    <n v="450.07"/>
    <x v="3"/>
    <x v="0"/>
    <n v="6"/>
    <s v="FREESHIP"/>
    <x v="4"/>
    <n v="450.07"/>
    <s v="Electronics"/>
    <s v="High"/>
    <n v="120000"/>
    <n v="450.07"/>
    <x v="19"/>
    <d v="2023-06-01T00:00:00"/>
  </r>
  <r>
    <s v="ORD200431"/>
    <d v="2024-10-06T00:00:00"/>
    <s v="C62312"/>
    <x v="4"/>
    <n v="1"/>
    <n v="52.54"/>
    <x v="0"/>
    <x v="1"/>
    <n v="6"/>
    <s v="WINTER15"/>
    <x v="3"/>
    <n v="52.54"/>
    <s v="Electronics"/>
    <s v="Medium"/>
    <n v="80000"/>
    <n v="52.54"/>
    <x v="10"/>
    <d v="2024-10-01T00:00:00"/>
  </r>
  <r>
    <s v="ORD200432"/>
    <d v="2023-09-04T00:00:00"/>
    <s v="C58443"/>
    <x v="2"/>
    <n v="2"/>
    <n v="424.32"/>
    <x v="2"/>
    <x v="2"/>
    <n v="6"/>
    <m/>
    <x v="1"/>
    <n v="848.64"/>
    <s v="Electronics"/>
    <s v="Medium"/>
    <n v="100000"/>
    <n v="848.64"/>
    <x v="24"/>
    <d v="2023-09-01T00:00:00"/>
  </r>
  <r>
    <s v="ORD200433"/>
    <d v="2023-08-26T00:00:00"/>
    <s v="C36613"/>
    <x v="0"/>
    <n v="3"/>
    <n v="631.64"/>
    <x v="2"/>
    <x v="2"/>
    <n v="3"/>
    <s v="FREESHIP"/>
    <x v="3"/>
    <n v="1894.92"/>
    <s v="Electronics"/>
    <s v="Medium"/>
    <n v="90000"/>
    <n v="1894.92"/>
    <x v="11"/>
    <d v="2023-08-01T00:00:00"/>
  </r>
  <r>
    <s v="ORD200434"/>
    <d v="2023-10-22T00:00:00"/>
    <s v="C73893"/>
    <x v="4"/>
    <n v="5"/>
    <n v="327.68"/>
    <x v="2"/>
    <x v="2"/>
    <n v="6"/>
    <m/>
    <x v="3"/>
    <n v="1638.4"/>
    <s v="Electronics"/>
    <s v="Medium"/>
    <n v="80000"/>
    <n v="1638.4"/>
    <x v="3"/>
    <d v="2023-10-01T00:00:00"/>
  </r>
  <r>
    <s v="ORD200435"/>
    <d v="2023-05-27T00:00:00"/>
    <s v="C48601"/>
    <x v="4"/>
    <n v="1"/>
    <n v="414.47"/>
    <x v="0"/>
    <x v="2"/>
    <n v="3"/>
    <s v="FREESHIP"/>
    <x v="0"/>
    <n v="414.47"/>
    <s v="Electronics"/>
    <s v="Medium"/>
    <n v="80000"/>
    <n v="414.47"/>
    <x v="6"/>
    <d v="2023-05-01T00:00:00"/>
  </r>
  <r>
    <s v="ORD200436"/>
    <d v="2023-02-11T00:00:00"/>
    <s v="C14568"/>
    <x v="5"/>
    <n v="4"/>
    <n v="221.33"/>
    <x v="1"/>
    <x v="4"/>
    <n v="5"/>
    <m/>
    <x v="4"/>
    <n v="885.32"/>
    <s v="Electronics"/>
    <s v="High"/>
    <n v="150000"/>
    <n v="885.32"/>
    <x v="26"/>
    <d v="2023-02-01T00:00:00"/>
  </r>
  <r>
    <s v="ORD200437"/>
    <d v="2024-04-18T00:00:00"/>
    <s v="C63378"/>
    <x v="1"/>
    <n v="1"/>
    <n v="512.39"/>
    <x v="1"/>
    <x v="3"/>
    <n v="2"/>
    <s v="FREESHIP"/>
    <x v="0"/>
    <n v="512.39"/>
    <s v="Electronics"/>
    <s v="High"/>
    <n v="120000"/>
    <n v="512.39"/>
    <x v="28"/>
    <d v="2024-04-01T00:00:00"/>
  </r>
  <r>
    <s v="ORD200438"/>
    <d v="2025-01-03T00:00:00"/>
    <s v="C77800"/>
    <x v="2"/>
    <n v="3"/>
    <n v="459.34"/>
    <x v="3"/>
    <x v="4"/>
    <n v="3"/>
    <s v="SAVE10"/>
    <x v="0"/>
    <n v="1378.02"/>
    <s v="Electronics"/>
    <s v="Medium"/>
    <n v="100000"/>
    <n v="1378.02"/>
    <x v="27"/>
    <d v="2025-01-01T00:00:00"/>
  </r>
  <r>
    <s v="ORD200439"/>
    <d v="2024-09-08T00:00:00"/>
    <s v="C91155"/>
    <x v="2"/>
    <n v="1"/>
    <n v="146.32"/>
    <x v="1"/>
    <x v="0"/>
    <n v="4"/>
    <s v="WINTER15"/>
    <x v="3"/>
    <n v="146.32"/>
    <s v="Electronics"/>
    <s v="Medium"/>
    <n v="100000"/>
    <n v="146.32"/>
    <x v="18"/>
    <d v="2024-09-01T00:00:00"/>
  </r>
  <r>
    <s v="ORD200440"/>
    <d v="2024-11-05T00:00:00"/>
    <s v="C60215"/>
    <x v="6"/>
    <n v="4"/>
    <n v="83.6"/>
    <x v="0"/>
    <x v="4"/>
    <n v="4"/>
    <s v="SAVE10"/>
    <x v="3"/>
    <n v="334.4"/>
    <s v="Furniture"/>
    <s v="High"/>
    <n v="75000"/>
    <n v="334.4"/>
    <x v="16"/>
    <d v="2024-11-01T00:00:00"/>
  </r>
  <r>
    <s v="ORD200441"/>
    <d v="2023-12-13T00:00:00"/>
    <s v="C52915"/>
    <x v="4"/>
    <n v="2"/>
    <n v="328.54"/>
    <x v="3"/>
    <x v="2"/>
    <n v="6"/>
    <s v="FREESHIP"/>
    <x v="2"/>
    <n v="657.08"/>
    <s v="Electronics"/>
    <s v="Medium"/>
    <n v="80000"/>
    <n v="657.08"/>
    <x v="9"/>
    <d v="2023-12-01T00:00:00"/>
  </r>
  <r>
    <s v="ORD200442"/>
    <d v="2024-05-06T00:00:00"/>
    <s v="C72588"/>
    <x v="3"/>
    <n v="5"/>
    <n v="314.94"/>
    <x v="4"/>
    <x v="4"/>
    <n v="8"/>
    <s v="SAVE10"/>
    <x v="0"/>
    <n v="1574.7"/>
    <s v="Furniture"/>
    <s v="Medium"/>
    <n v="70000"/>
    <n v="1574.7"/>
    <x v="22"/>
    <d v="2024-05-01T00:00:00"/>
  </r>
  <r>
    <s v="ORD200443"/>
    <d v="2024-05-14T00:00:00"/>
    <s v="C61668"/>
    <x v="3"/>
    <n v="2"/>
    <n v="69.64"/>
    <x v="4"/>
    <x v="2"/>
    <n v="6"/>
    <m/>
    <x v="3"/>
    <n v="139.28"/>
    <s v="Furniture"/>
    <s v="Medium"/>
    <n v="70000"/>
    <n v="139.28"/>
    <x v="22"/>
    <d v="2024-05-01T00:00:00"/>
  </r>
  <r>
    <s v="ORD200444"/>
    <d v="2024-06-08T00:00:00"/>
    <s v="C79508"/>
    <x v="4"/>
    <n v="1"/>
    <n v="135.16999999999999"/>
    <x v="1"/>
    <x v="0"/>
    <n v="6"/>
    <s v="FREESHIP"/>
    <x v="0"/>
    <n v="135.16999999999999"/>
    <s v="Electronics"/>
    <s v="Medium"/>
    <n v="80000"/>
    <n v="135.16999999999999"/>
    <x v="23"/>
    <d v="2024-06-01T00:00:00"/>
  </r>
  <r>
    <s v="ORD200445"/>
    <d v="2024-03-23T00:00:00"/>
    <s v="C94569"/>
    <x v="1"/>
    <n v="1"/>
    <n v="487.21"/>
    <x v="4"/>
    <x v="3"/>
    <n v="3"/>
    <s v="SAVE10"/>
    <x v="1"/>
    <n v="487.21"/>
    <s v="Electronics"/>
    <s v="High"/>
    <n v="120000"/>
    <n v="487.21"/>
    <x v="14"/>
    <d v="2024-03-01T00:00:00"/>
  </r>
  <r>
    <s v="ORD200446"/>
    <d v="2023-10-18T00:00:00"/>
    <s v="C89592"/>
    <x v="5"/>
    <n v="5"/>
    <n v="509.58"/>
    <x v="1"/>
    <x v="3"/>
    <n v="6"/>
    <s v="FREESHIP"/>
    <x v="0"/>
    <n v="2547.9"/>
    <s v="Electronics"/>
    <s v="High"/>
    <n v="150000"/>
    <n v="2547.9"/>
    <x v="3"/>
    <d v="2023-10-01T00:00:00"/>
  </r>
  <r>
    <s v="ORD200447"/>
    <d v="2024-04-07T00:00:00"/>
    <s v="C48207"/>
    <x v="4"/>
    <n v="2"/>
    <n v="416.81"/>
    <x v="4"/>
    <x v="2"/>
    <n v="2"/>
    <m/>
    <x v="3"/>
    <n v="833.62"/>
    <s v="Electronics"/>
    <s v="Medium"/>
    <n v="80000"/>
    <n v="833.62"/>
    <x v="28"/>
    <d v="2024-04-01T00:00:00"/>
  </r>
  <r>
    <s v="ORD200448"/>
    <d v="2023-09-04T00:00:00"/>
    <s v="C16776"/>
    <x v="5"/>
    <n v="2"/>
    <n v="160"/>
    <x v="4"/>
    <x v="4"/>
    <n v="4"/>
    <s v="SAVE10"/>
    <x v="0"/>
    <n v="320"/>
    <s v="Electronics"/>
    <s v="High"/>
    <n v="150000"/>
    <n v="320"/>
    <x v="24"/>
    <d v="2023-09-01T00:00:00"/>
  </r>
  <r>
    <s v="ORD200449"/>
    <d v="2024-08-26T00:00:00"/>
    <s v="C91518"/>
    <x v="2"/>
    <n v="3"/>
    <n v="253.05"/>
    <x v="1"/>
    <x v="4"/>
    <n v="3"/>
    <m/>
    <x v="0"/>
    <n v="759.15000000000009"/>
    <s v="Electronics"/>
    <s v="Medium"/>
    <n v="100000"/>
    <n v="759.15000000000009"/>
    <x v="1"/>
    <d v="2024-08-01T00:00:00"/>
  </r>
  <r>
    <s v="ORD200450"/>
    <d v="2024-01-15T00:00:00"/>
    <s v="C36408"/>
    <x v="0"/>
    <n v="5"/>
    <n v="615.1"/>
    <x v="3"/>
    <x v="2"/>
    <n v="10"/>
    <s v="WINTER15"/>
    <x v="0"/>
    <n v="3075.5"/>
    <s v="Electronics"/>
    <s v="Medium"/>
    <n v="90000"/>
    <n v="3075.5"/>
    <x v="25"/>
    <d v="2024-01-01T00:00:00"/>
  </r>
  <r>
    <s v="ORD200451"/>
    <d v="2023-04-01T00:00:00"/>
    <s v="C14837"/>
    <x v="0"/>
    <n v="1"/>
    <n v="183.18"/>
    <x v="0"/>
    <x v="1"/>
    <n v="6"/>
    <s v="SAVE10"/>
    <x v="2"/>
    <n v="183.18"/>
    <s v="Electronics"/>
    <s v="Medium"/>
    <n v="90000"/>
    <n v="183.18"/>
    <x v="29"/>
    <d v="2023-04-01T00:00:00"/>
  </r>
  <r>
    <s v="ORD200452"/>
    <d v="2023-07-23T00:00:00"/>
    <s v="C36467"/>
    <x v="4"/>
    <n v="1"/>
    <n v="75.78"/>
    <x v="4"/>
    <x v="4"/>
    <n v="5"/>
    <s v="SAVE10"/>
    <x v="4"/>
    <n v="75.78"/>
    <s v="Electronics"/>
    <s v="Medium"/>
    <n v="80000"/>
    <n v="75.78"/>
    <x v="13"/>
    <d v="2023-07-01T00:00:00"/>
  </r>
  <r>
    <s v="ORD200453"/>
    <d v="2025-05-02T00:00:00"/>
    <s v="C15017"/>
    <x v="2"/>
    <n v="1"/>
    <n v="675.57"/>
    <x v="4"/>
    <x v="0"/>
    <n v="1"/>
    <s v="WINTER15"/>
    <x v="3"/>
    <n v="675.57"/>
    <s v="Electronics"/>
    <s v="Medium"/>
    <n v="100000"/>
    <n v="675.57"/>
    <x v="4"/>
    <d v="2025-05-01T00:00:00"/>
  </r>
  <r>
    <s v="ORD200454"/>
    <d v="2024-11-27T00:00:00"/>
    <s v="C54759"/>
    <x v="5"/>
    <n v="1"/>
    <n v="109.29"/>
    <x v="0"/>
    <x v="1"/>
    <n v="5"/>
    <s v="FREESHIP"/>
    <x v="4"/>
    <n v="109.29"/>
    <s v="Electronics"/>
    <s v="High"/>
    <n v="150000"/>
    <n v="109.29"/>
    <x v="16"/>
    <d v="2024-11-01T00:00:00"/>
  </r>
  <r>
    <s v="ORD200455"/>
    <d v="2024-03-26T00:00:00"/>
    <s v="C58341"/>
    <x v="1"/>
    <n v="1"/>
    <n v="639.83000000000004"/>
    <x v="0"/>
    <x v="4"/>
    <n v="2"/>
    <s v="SAVE10"/>
    <x v="1"/>
    <n v="639.83000000000004"/>
    <s v="Electronics"/>
    <s v="High"/>
    <n v="120000"/>
    <n v="639.83000000000004"/>
    <x v="14"/>
    <d v="2024-03-01T00:00:00"/>
  </r>
  <r>
    <s v="ORD200456"/>
    <d v="2023-06-26T00:00:00"/>
    <s v="C94479"/>
    <x v="6"/>
    <n v="5"/>
    <n v="62.81"/>
    <x v="2"/>
    <x v="0"/>
    <n v="9"/>
    <s v="SAVE10"/>
    <x v="3"/>
    <n v="314.05"/>
    <s v="Furniture"/>
    <s v="High"/>
    <n v="75000"/>
    <n v="314.05"/>
    <x v="19"/>
    <d v="2023-06-01T00:00:00"/>
  </r>
  <r>
    <s v="ORD200457"/>
    <d v="2025-05-25T00:00:00"/>
    <s v="C50236"/>
    <x v="6"/>
    <n v="4"/>
    <n v="615.83000000000004"/>
    <x v="1"/>
    <x v="2"/>
    <n v="4"/>
    <s v="WINTER15"/>
    <x v="0"/>
    <n v="2463.3200000000002"/>
    <s v="Furniture"/>
    <s v="High"/>
    <n v="75000"/>
    <n v="2463.3200000000002"/>
    <x v="4"/>
    <d v="2025-05-01T00:00:00"/>
  </r>
  <r>
    <s v="ORD200458"/>
    <d v="2024-07-02T00:00:00"/>
    <s v="C31412"/>
    <x v="0"/>
    <n v="4"/>
    <n v="510.58"/>
    <x v="2"/>
    <x v="2"/>
    <n v="7"/>
    <s v="WINTER15"/>
    <x v="2"/>
    <n v="2042.32"/>
    <s v="Electronics"/>
    <s v="Medium"/>
    <n v="90000"/>
    <n v="2042.32"/>
    <x v="17"/>
    <d v="2024-07-01T00:00:00"/>
  </r>
  <r>
    <s v="ORD200459"/>
    <d v="2024-07-24T00:00:00"/>
    <s v="C90142"/>
    <x v="6"/>
    <n v="1"/>
    <n v="334.39"/>
    <x v="2"/>
    <x v="2"/>
    <n v="2"/>
    <m/>
    <x v="0"/>
    <n v="334.39"/>
    <s v="Furniture"/>
    <s v="High"/>
    <n v="75000"/>
    <n v="334.39"/>
    <x v="17"/>
    <d v="2024-07-01T00:00:00"/>
  </r>
  <r>
    <s v="ORD200460"/>
    <d v="2024-10-06T00:00:00"/>
    <s v="C83548"/>
    <x v="5"/>
    <n v="1"/>
    <n v="144.25"/>
    <x v="4"/>
    <x v="2"/>
    <n v="2"/>
    <s v="WINTER15"/>
    <x v="1"/>
    <n v="144.25"/>
    <s v="Electronics"/>
    <s v="High"/>
    <n v="150000"/>
    <n v="144.25"/>
    <x v="10"/>
    <d v="2024-10-01T00:00:00"/>
  </r>
  <r>
    <s v="ORD200461"/>
    <d v="2024-06-08T00:00:00"/>
    <s v="C29697"/>
    <x v="2"/>
    <n v="1"/>
    <n v="401.82"/>
    <x v="2"/>
    <x v="0"/>
    <n v="5"/>
    <s v="FREESHIP"/>
    <x v="4"/>
    <n v="401.82"/>
    <s v="Electronics"/>
    <s v="Medium"/>
    <n v="100000"/>
    <n v="401.82"/>
    <x v="23"/>
    <d v="2024-06-01T00:00:00"/>
  </r>
  <r>
    <s v="ORD200462"/>
    <d v="2025-03-31T00:00:00"/>
    <s v="C22991"/>
    <x v="1"/>
    <n v="1"/>
    <n v="252.68"/>
    <x v="1"/>
    <x v="1"/>
    <n v="1"/>
    <m/>
    <x v="1"/>
    <n v="252.68"/>
    <s v="Electronics"/>
    <s v="High"/>
    <n v="120000"/>
    <n v="252.68"/>
    <x v="15"/>
    <d v="2025-03-01T00:00:00"/>
  </r>
  <r>
    <s v="ORD200463"/>
    <d v="2023-05-26T00:00:00"/>
    <s v="C25276"/>
    <x v="5"/>
    <n v="5"/>
    <n v="662.78"/>
    <x v="0"/>
    <x v="0"/>
    <n v="9"/>
    <s v="SAVE10"/>
    <x v="0"/>
    <n v="3313.9"/>
    <s v="Electronics"/>
    <s v="High"/>
    <n v="150000"/>
    <n v="3313.9"/>
    <x v="6"/>
    <d v="2023-05-01T00:00:00"/>
  </r>
  <r>
    <s v="ORD200464"/>
    <d v="2023-03-14T00:00:00"/>
    <s v="C39176"/>
    <x v="2"/>
    <n v="4"/>
    <n v="434.42"/>
    <x v="1"/>
    <x v="1"/>
    <n v="6"/>
    <s v="FREESHIP"/>
    <x v="4"/>
    <n v="1737.68"/>
    <s v="Electronics"/>
    <s v="Medium"/>
    <n v="100000"/>
    <n v="1737.68"/>
    <x v="12"/>
    <d v="2023-03-01T00:00:00"/>
  </r>
  <r>
    <s v="ORD200465"/>
    <d v="2024-02-26T00:00:00"/>
    <s v="C58773"/>
    <x v="4"/>
    <n v="5"/>
    <n v="513.49"/>
    <x v="3"/>
    <x v="1"/>
    <n v="8"/>
    <m/>
    <x v="4"/>
    <n v="2567.4499999999998"/>
    <s v="Electronics"/>
    <s v="Medium"/>
    <n v="80000"/>
    <n v="2567.4499999999998"/>
    <x v="2"/>
    <d v="2024-02-01T00:00:00"/>
  </r>
  <r>
    <s v="ORD200466"/>
    <d v="2023-07-18T00:00:00"/>
    <s v="C37412"/>
    <x v="1"/>
    <n v="1"/>
    <n v="432.47"/>
    <x v="4"/>
    <x v="3"/>
    <n v="4"/>
    <s v="FREESHIP"/>
    <x v="1"/>
    <n v="432.47"/>
    <s v="Electronics"/>
    <s v="High"/>
    <n v="120000"/>
    <n v="432.47"/>
    <x v="13"/>
    <d v="2023-07-01T00:00:00"/>
  </r>
  <r>
    <s v="ORD200467"/>
    <d v="2024-08-30T00:00:00"/>
    <s v="C36492"/>
    <x v="6"/>
    <n v="1"/>
    <n v="45.94"/>
    <x v="4"/>
    <x v="1"/>
    <n v="2"/>
    <s v="WINTER15"/>
    <x v="2"/>
    <n v="45.94"/>
    <s v="Furniture"/>
    <s v="High"/>
    <n v="75000"/>
    <n v="45.94"/>
    <x v="1"/>
    <d v="2024-08-01T00:00:00"/>
  </r>
  <r>
    <s v="ORD200468"/>
    <d v="2025-06-21T00:00:00"/>
    <s v="C90110"/>
    <x v="1"/>
    <n v="1"/>
    <n v="418.36"/>
    <x v="2"/>
    <x v="3"/>
    <n v="5"/>
    <s v="FREESHIP"/>
    <x v="2"/>
    <n v="418.36"/>
    <s v="Electronics"/>
    <s v="High"/>
    <n v="120000"/>
    <n v="418.36"/>
    <x v="5"/>
    <d v="2025-06-01T00:00:00"/>
  </r>
  <r>
    <s v="ORD200469"/>
    <d v="2023-11-26T00:00:00"/>
    <s v="C13877"/>
    <x v="3"/>
    <n v="5"/>
    <n v="676.98"/>
    <x v="4"/>
    <x v="1"/>
    <n v="5"/>
    <m/>
    <x v="3"/>
    <n v="3384.9"/>
    <s v="Furniture"/>
    <s v="Medium"/>
    <n v="70000"/>
    <n v="3384.9"/>
    <x v="8"/>
    <d v="2023-11-01T00:00:00"/>
  </r>
  <r>
    <s v="ORD200470"/>
    <d v="2023-09-29T00:00:00"/>
    <s v="C25149"/>
    <x v="2"/>
    <n v="4"/>
    <n v="263.62"/>
    <x v="4"/>
    <x v="0"/>
    <n v="5"/>
    <s v="SAVE10"/>
    <x v="2"/>
    <n v="1054.48"/>
    <s v="Electronics"/>
    <s v="Medium"/>
    <n v="100000"/>
    <n v="1054.48"/>
    <x v="24"/>
    <d v="2023-09-01T00:00:00"/>
  </r>
  <r>
    <s v="ORD200471"/>
    <d v="2025-04-19T00:00:00"/>
    <s v="C52717"/>
    <x v="6"/>
    <n v="5"/>
    <n v="551.27"/>
    <x v="1"/>
    <x v="1"/>
    <n v="7"/>
    <s v="FREESHIP"/>
    <x v="1"/>
    <n v="2756.35"/>
    <s v="Furniture"/>
    <s v="High"/>
    <n v="75000"/>
    <n v="2756.35"/>
    <x v="7"/>
    <d v="2025-04-01T00:00:00"/>
  </r>
  <r>
    <s v="ORD200472"/>
    <d v="2023-01-06T00:00:00"/>
    <s v="C60029"/>
    <x v="3"/>
    <n v="3"/>
    <n v="508.12"/>
    <x v="2"/>
    <x v="1"/>
    <n v="8"/>
    <s v="FREESHIP"/>
    <x v="1"/>
    <n v="1524.36"/>
    <s v="Furniture"/>
    <s v="Medium"/>
    <n v="70000"/>
    <n v="1524.36"/>
    <x v="0"/>
    <d v="2023-01-01T00:00:00"/>
  </r>
  <r>
    <s v="ORD200473"/>
    <d v="2025-02-25T00:00:00"/>
    <s v="C28552"/>
    <x v="3"/>
    <n v="2"/>
    <n v="14.93"/>
    <x v="1"/>
    <x v="0"/>
    <n v="4"/>
    <m/>
    <x v="3"/>
    <n v="29.86"/>
    <s v="Furniture"/>
    <s v="Medium"/>
    <n v="70000"/>
    <n v="29.86"/>
    <x v="21"/>
    <d v="2025-02-01T00:00:00"/>
  </r>
  <r>
    <s v="ORD200474"/>
    <d v="2023-11-15T00:00:00"/>
    <s v="C72293"/>
    <x v="4"/>
    <n v="3"/>
    <n v="229.34"/>
    <x v="2"/>
    <x v="0"/>
    <n v="6"/>
    <s v="SAVE10"/>
    <x v="1"/>
    <n v="688.02"/>
    <s v="Electronics"/>
    <s v="Medium"/>
    <n v="80000"/>
    <n v="688.02"/>
    <x v="8"/>
    <d v="2023-11-01T00:00:00"/>
  </r>
  <r>
    <s v="ORD200475"/>
    <d v="2025-04-19T00:00:00"/>
    <s v="C29844"/>
    <x v="2"/>
    <n v="2"/>
    <n v="438.62"/>
    <x v="4"/>
    <x v="1"/>
    <n v="3"/>
    <s v="SAVE10"/>
    <x v="3"/>
    <n v="877.24"/>
    <s v="Electronics"/>
    <s v="Medium"/>
    <n v="100000"/>
    <n v="877.24"/>
    <x v="7"/>
    <d v="2025-04-01T00:00:00"/>
  </r>
  <r>
    <s v="ORD200476"/>
    <d v="2024-01-15T00:00:00"/>
    <s v="C77872"/>
    <x v="1"/>
    <n v="2"/>
    <n v="513.59"/>
    <x v="1"/>
    <x v="2"/>
    <n v="4"/>
    <s v="FREESHIP"/>
    <x v="1"/>
    <n v="1027.18"/>
    <s v="Electronics"/>
    <s v="High"/>
    <n v="120000"/>
    <n v="1027.18"/>
    <x v="25"/>
    <d v="2024-01-01T00:00:00"/>
  </r>
  <r>
    <s v="ORD200477"/>
    <d v="2025-03-05T00:00:00"/>
    <s v="C56564"/>
    <x v="1"/>
    <n v="2"/>
    <n v="253.74"/>
    <x v="1"/>
    <x v="0"/>
    <n v="5"/>
    <s v="SAVE10"/>
    <x v="4"/>
    <n v="507.48"/>
    <s v="Electronics"/>
    <s v="High"/>
    <n v="120000"/>
    <n v="507.48"/>
    <x v="15"/>
    <d v="2025-03-01T00:00:00"/>
  </r>
  <r>
    <s v="ORD200478"/>
    <d v="2024-11-01T00:00:00"/>
    <s v="C16758"/>
    <x v="2"/>
    <n v="3"/>
    <n v="62.77"/>
    <x v="3"/>
    <x v="0"/>
    <n v="6"/>
    <s v="FREESHIP"/>
    <x v="1"/>
    <n v="188.31"/>
    <s v="Electronics"/>
    <s v="Medium"/>
    <n v="100000"/>
    <n v="188.31"/>
    <x v="16"/>
    <d v="2024-11-01T00:00:00"/>
  </r>
  <r>
    <s v="ORD200479"/>
    <d v="2023-02-18T00:00:00"/>
    <s v="C87011"/>
    <x v="0"/>
    <n v="4"/>
    <n v="25.29"/>
    <x v="2"/>
    <x v="4"/>
    <n v="8"/>
    <m/>
    <x v="4"/>
    <n v="101.16"/>
    <s v="Electronics"/>
    <s v="Medium"/>
    <n v="90000"/>
    <n v="101.16"/>
    <x v="26"/>
    <d v="2023-02-01T00:00:00"/>
  </r>
  <r>
    <s v="ORD200480"/>
    <d v="2023-06-16T00:00:00"/>
    <s v="C21147"/>
    <x v="3"/>
    <n v="1"/>
    <n v="335.1"/>
    <x v="0"/>
    <x v="4"/>
    <n v="6"/>
    <s v="FREESHIP"/>
    <x v="1"/>
    <n v="335.1"/>
    <s v="Furniture"/>
    <s v="Medium"/>
    <n v="70000"/>
    <n v="335.1"/>
    <x v="19"/>
    <d v="2023-06-01T00:00:00"/>
  </r>
  <r>
    <s v="ORD200481"/>
    <d v="2023-04-23T00:00:00"/>
    <s v="C94568"/>
    <x v="5"/>
    <n v="4"/>
    <n v="484.85"/>
    <x v="0"/>
    <x v="3"/>
    <n v="5"/>
    <s v="WINTER15"/>
    <x v="1"/>
    <n v="1939.4"/>
    <s v="Electronics"/>
    <s v="High"/>
    <n v="150000"/>
    <n v="1939.4"/>
    <x v="29"/>
    <d v="2023-04-01T00:00:00"/>
  </r>
  <r>
    <s v="ORD200482"/>
    <d v="2025-03-02T00:00:00"/>
    <s v="C35852"/>
    <x v="0"/>
    <n v="3"/>
    <n v="381.41"/>
    <x v="1"/>
    <x v="4"/>
    <n v="6"/>
    <m/>
    <x v="0"/>
    <n v="1144.23"/>
    <s v="Electronics"/>
    <s v="Medium"/>
    <n v="90000"/>
    <n v="1144.23"/>
    <x v="15"/>
    <d v="2025-03-01T00:00:00"/>
  </r>
  <r>
    <s v="ORD200483"/>
    <d v="2023-01-18T00:00:00"/>
    <s v="C66462"/>
    <x v="1"/>
    <n v="5"/>
    <n v="347.92"/>
    <x v="4"/>
    <x v="4"/>
    <n v="6"/>
    <s v="WINTER15"/>
    <x v="4"/>
    <n v="1739.6"/>
    <s v="Electronics"/>
    <s v="High"/>
    <n v="120000"/>
    <n v="1739.6"/>
    <x v="0"/>
    <d v="2023-01-01T00:00:00"/>
  </r>
  <r>
    <s v="ORD200484"/>
    <d v="2024-05-29T00:00:00"/>
    <s v="C29092"/>
    <x v="3"/>
    <n v="4"/>
    <n v="15.01"/>
    <x v="4"/>
    <x v="1"/>
    <n v="6"/>
    <m/>
    <x v="3"/>
    <n v="60.04"/>
    <s v="Furniture"/>
    <s v="Medium"/>
    <n v="70000"/>
    <n v="60.04"/>
    <x v="22"/>
    <d v="2024-05-01T00:00:00"/>
  </r>
  <r>
    <s v="ORD200485"/>
    <d v="2023-08-01T00:00:00"/>
    <s v="C46651"/>
    <x v="3"/>
    <n v="3"/>
    <n v="404.79"/>
    <x v="4"/>
    <x v="0"/>
    <n v="6"/>
    <s v="SAVE10"/>
    <x v="0"/>
    <n v="1214.3699999999999"/>
    <s v="Furniture"/>
    <s v="Medium"/>
    <n v="70000"/>
    <n v="1214.3699999999999"/>
    <x v="11"/>
    <d v="2023-08-01T00:00:00"/>
  </r>
  <r>
    <s v="ORD200486"/>
    <d v="2023-02-03T00:00:00"/>
    <s v="C88981"/>
    <x v="4"/>
    <n v="4"/>
    <n v="611.26"/>
    <x v="4"/>
    <x v="0"/>
    <n v="5"/>
    <s v="SAVE10"/>
    <x v="1"/>
    <n v="2445.04"/>
    <s v="Electronics"/>
    <s v="Medium"/>
    <n v="80000"/>
    <n v="2445.04"/>
    <x v="26"/>
    <d v="2023-02-01T00:00:00"/>
  </r>
  <r>
    <s v="ORD200487"/>
    <d v="2023-03-09T00:00:00"/>
    <s v="C40136"/>
    <x v="4"/>
    <n v="3"/>
    <n v="346.52"/>
    <x v="2"/>
    <x v="4"/>
    <n v="3"/>
    <s v="SAVE10"/>
    <x v="4"/>
    <n v="1039.56"/>
    <s v="Electronics"/>
    <s v="Medium"/>
    <n v="80000"/>
    <n v="1039.56"/>
    <x v="12"/>
    <d v="2023-03-01T00:00:00"/>
  </r>
  <r>
    <s v="ORD200488"/>
    <d v="2024-12-05T00:00:00"/>
    <s v="C81573"/>
    <x v="3"/>
    <n v="1"/>
    <n v="36.65"/>
    <x v="1"/>
    <x v="1"/>
    <n v="1"/>
    <s v="WINTER15"/>
    <x v="2"/>
    <n v="36.65"/>
    <s v="Furniture"/>
    <s v="Medium"/>
    <n v="70000"/>
    <n v="36.65"/>
    <x v="20"/>
    <d v="2024-12-01T00:00:00"/>
  </r>
  <r>
    <s v="ORD200489"/>
    <d v="2023-09-05T00:00:00"/>
    <s v="C11940"/>
    <x v="2"/>
    <n v="3"/>
    <n v="149.34"/>
    <x v="3"/>
    <x v="1"/>
    <n v="7"/>
    <s v="WINTER15"/>
    <x v="2"/>
    <n v="448.02"/>
    <s v="Electronics"/>
    <s v="Medium"/>
    <n v="100000"/>
    <n v="448.02"/>
    <x v="24"/>
    <d v="2023-09-01T00:00:00"/>
  </r>
  <r>
    <s v="ORD200490"/>
    <d v="2024-07-22T00:00:00"/>
    <s v="C50097"/>
    <x v="3"/>
    <n v="5"/>
    <n v="467.81"/>
    <x v="1"/>
    <x v="1"/>
    <n v="10"/>
    <m/>
    <x v="3"/>
    <n v="2339.0500000000002"/>
    <s v="Furniture"/>
    <s v="Medium"/>
    <n v="70000"/>
    <n v="2339.0500000000002"/>
    <x v="17"/>
    <d v="2024-07-01T00:00:00"/>
  </r>
  <r>
    <s v="ORD200491"/>
    <d v="2023-01-05T00:00:00"/>
    <s v="C98168"/>
    <x v="1"/>
    <n v="5"/>
    <n v="420.7"/>
    <x v="4"/>
    <x v="4"/>
    <n v="5"/>
    <s v="WINTER15"/>
    <x v="3"/>
    <n v="2103.5"/>
    <s v="Electronics"/>
    <s v="High"/>
    <n v="120000"/>
    <n v="2103.5"/>
    <x v="0"/>
    <d v="2023-01-01T00:00:00"/>
  </r>
  <r>
    <s v="ORD200492"/>
    <d v="2023-10-25T00:00:00"/>
    <s v="C39074"/>
    <x v="5"/>
    <n v="5"/>
    <n v="606.52"/>
    <x v="0"/>
    <x v="0"/>
    <n v="6"/>
    <s v="SAVE10"/>
    <x v="0"/>
    <n v="3032.6"/>
    <s v="Electronics"/>
    <s v="High"/>
    <n v="150000"/>
    <n v="3032.6"/>
    <x v="3"/>
    <d v="2023-10-01T00:00:00"/>
  </r>
  <r>
    <s v="ORD200493"/>
    <d v="2025-01-28T00:00:00"/>
    <s v="C84908"/>
    <x v="1"/>
    <n v="1"/>
    <n v="420.26"/>
    <x v="2"/>
    <x v="4"/>
    <n v="4"/>
    <s v="FREESHIP"/>
    <x v="3"/>
    <n v="420.26"/>
    <s v="Electronics"/>
    <s v="High"/>
    <n v="120000"/>
    <n v="420.26"/>
    <x v="27"/>
    <d v="2025-01-01T00:00:00"/>
  </r>
  <r>
    <s v="ORD200494"/>
    <d v="2023-07-19T00:00:00"/>
    <s v="C64516"/>
    <x v="5"/>
    <n v="3"/>
    <n v="505.79"/>
    <x v="0"/>
    <x v="4"/>
    <n v="3"/>
    <s v="FREESHIP"/>
    <x v="1"/>
    <n v="1517.37"/>
    <s v="Electronics"/>
    <s v="High"/>
    <n v="150000"/>
    <n v="1517.37"/>
    <x v="13"/>
    <d v="2023-07-01T00:00:00"/>
  </r>
  <r>
    <s v="ORD200495"/>
    <d v="2025-06-05T00:00:00"/>
    <s v="C63827"/>
    <x v="1"/>
    <n v="4"/>
    <n v="493.73"/>
    <x v="0"/>
    <x v="4"/>
    <n v="6"/>
    <s v="SAVE10"/>
    <x v="3"/>
    <n v="1974.92"/>
    <s v="Electronics"/>
    <s v="High"/>
    <n v="120000"/>
    <n v="1974.92"/>
    <x v="5"/>
    <d v="2025-06-01T00:00:00"/>
  </r>
  <r>
    <s v="ORD200496"/>
    <d v="2025-03-14T00:00:00"/>
    <s v="C93618"/>
    <x v="4"/>
    <n v="3"/>
    <n v="201.21"/>
    <x v="1"/>
    <x v="1"/>
    <n v="3"/>
    <s v="SAVE10"/>
    <x v="4"/>
    <n v="603.63"/>
    <s v="Electronics"/>
    <s v="Medium"/>
    <n v="80000"/>
    <n v="603.63"/>
    <x v="15"/>
    <d v="2025-03-01T00:00:00"/>
  </r>
  <r>
    <s v="ORD200497"/>
    <d v="2024-10-24T00:00:00"/>
    <s v="C93948"/>
    <x v="4"/>
    <n v="3"/>
    <n v="112.29"/>
    <x v="3"/>
    <x v="0"/>
    <n v="6"/>
    <m/>
    <x v="4"/>
    <n v="336.87"/>
    <s v="Electronics"/>
    <s v="Medium"/>
    <n v="80000"/>
    <n v="336.87"/>
    <x v="10"/>
    <d v="2024-10-01T00:00:00"/>
  </r>
  <r>
    <s v="ORD200498"/>
    <d v="2023-07-12T00:00:00"/>
    <s v="C73961"/>
    <x v="2"/>
    <n v="4"/>
    <n v="132.56"/>
    <x v="4"/>
    <x v="2"/>
    <n v="8"/>
    <s v="WINTER15"/>
    <x v="0"/>
    <n v="530.24"/>
    <s v="Electronics"/>
    <s v="Medium"/>
    <n v="100000"/>
    <n v="530.24"/>
    <x v="13"/>
    <d v="2023-07-01T00:00:00"/>
  </r>
  <r>
    <s v="ORD200499"/>
    <d v="2023-04-06T00:00:00"/>
    <s v="C18138"/>
    <x v="4"/>
    <n v="3"/>
    <n v="539.46"/>
    <x v="2"/>
    <x v="0"/>
    <n v="4"/>
    <s v="SAVE10"/>
    <x v="3"/>
    <n v="1618.38"/>
    <s v="Electronics"/>
    <s v="Medium"/>
    <n v="80000"/>
    <n v="1618.38"/>
    <x v="29"/>
    <d v="2023-04-01T00:00:00"/>
  </r>
  <r>
    <s v="ORD200500"/>
    <d v="2024-04-07T00:00:00"/>
    <s v="C79475"/>
    <x v="5"/>
    <n v="5"/>
    <n v="508.59"/>
    <x v="4"/>
    <x v="2"/>
    <n v="8"/>
    <s v="WINTER15"/>
    <x v="3"/>
    <n v="2542.9499999999998"/>
    <s v="Electronics"/>
    <s v="High"/>
    <n v="150000"/>
    <n v="2542.9499999999998"/>
    <x v="28"/>
    <d v="2024-04-01T00:00:00"/>
  </r>
  <r>
    <s v="ORD200501"/>
    <d v="2024-02-04T00:00:00"/>
    <s v="C88546"/>
    <x v="6"/>
    <n v="4"/>
    <n v="203.46"/>
    <x v="2"/>
    <x v="4"/>
    <n v="7"/>
    <s v="SAVE10"/>
    <x v="1"/>
    <n v="813.84"/>
    <s v="Furniture"/>
    <s v="High"/>
    <n v="75000"/>
    <n v="813.84"/>
    <x v="2"/>
    <d v="2024-02-01T00:00:00"/>
  </r>
  <r>
    <s v="ORD200502"/>
    <d v="2023-05-20T00:00:00"/>
    <s v="C69332"/>
    <x v="0"/>
    <n v="3"/>
    <n v="565.25"/>
    <x v="0"/>
    <x v="2"/>
    <n v="7"/>
    <s v="SAVE10"/>
    <x v="2"/>
    <n v="1695.75"/>
    <s v="Electronics"/>
    <s v="Medium"/>
    <n v="90000"/>
    <n v="1695.75"/>
    <x v="6"/>
    <d v="2023-05-01T00:00:00"/>
  </r>
  <r>
    <s v="ORD200503"/>
    <d v="2023-08-31T00:00:00"/>
    <s v="C64554"/>
    <x v="2"/>
    <n v="3"/>
    <n v="136.84"/>
    <x v="1"/>
    <x v="4"/>
    <n v="4"/>
    <s v="FREESHIP"/>
    <x v="3"/>
    <n v="410.52"/>
    <s v="Electronics"/>
    <s v="Medium"/>
    <n v="100000"/>
    <n v="410.52"/>
    <x v="11"/>
    <d v="2023-08-01T00:00:00"/>
  </r>
  <r>
    <s v="ORD200504"/>
    <d v="2025-06-11T00:00:00"/>
    <s v="C11676"/>
    <x v="0"/>
    <n v="2"/>
    <n v="464.5"/>
    <x v="1"/>
    <x v="1"/>
    <n v="2"/>
    <s v="WINTER15"/>
    <x v="0"/>
    <n v="929"/>
    <s v="Electronics"/>
    <s v="Medium"/>
    <n v="90000"/>
    <n v="929"/>
    <x v="5"/>
    <d v="2025-06-01T00:00:00"/>
  </r>
  <r>
    <s v="ORD200505"/>
    <d v="2023-06-11T00:00:00"/>
    <s v="C36014"/>
    <x v="4"/>
    <n v="2"/>
    <n v="434.97"/>
    <x v="1"/>
    <x v="0"/>
    <n v="7"/>
    <m/>
    <x v="2"/>
    <n v="869.94"/>
    <s v="Electronics"/>
    <s v="Medium"/>
    <n v="80000"/>
    <n v="869.94"/>
    <x v="19"/>
    <d v="2023-06-01T00:00:00"/>
  </r>
  <r>
    <s v="ORD200506"/>
    <d v="2023-07-25T00:00:00"/>
    <s v="C23279"/>
    <x v="0"/>
    <n v="2"/>
    <n v="43.67"/>
    <x v="4"/>
    <x v="2"/>
    <n v="4"/>
    <s v="WINTER15"/>
    <x v="0"/>
    <n v="87.34"/>
    <s v="Electronics"/>
    <s v="Medium"/>
    <n v="90000"/>
    <n v="87.34"/>
    <x v="13"/>
    <d v="2023-07-01T00:00:00"/>
  </r>
  <r>
    <s v="ORD200507"/>
    <d v="2023-07-05T00:00:00"/>
    <s v="C86481"/>
    <x v="1"/>
    <n v="1"/>
    <n v="171.59"/>
    <x v="2"/>
    <x v="4"/>
    <n v="5"/>
    <s v="WINTER15"/>
    <x v="2"/>
    <n v="171.59"/>
    <s v="Electronics"/>
    <s v="High"/>
    <n v="120000"/>
    <n v="171.59"/>
    <x v="13"/>
    <d v="2023-07-01T00:00:00"/>
  </r>
  <r>
    <s v="ORD200508"/>
    <d v="2025-05-14T00:00:00"/>
    <s v="C39550"/>
    <x v="1"/>
    <n v="1"/>
    <n v="558.27"/>
    <x v="1"/>
    <x v="3"/>
    <n v="1"/>
    <m/>
    <x v="1"/>
    <n v="558.27"/>
    <s v="Electronics"/>
    <s v="High"/>
    <n v="120000"/>
    <n v="558.27"/>
    <x v="4"/>
    <d v="2025-05-01T00:00:00"/>
  </r>
  <r>
    <s v="ORD200509"/>
    <d v="2023-02-15T00:00:00"/>
    <s v="C68937"/>
    <x v="5"/>
    <n v="2"/>
    <n v="425.03"/>
    <x v="4"/>
    <x v="2"/>
    <n v="2"/>
    <s v="WINTER15"/>
    <x v="4"/>
    <n v="850.06"/>
    <s v="Electronics"/>
    <s v="High"/>
    <n v="150000"/>
    <n v="850.06"/>
    <x v="26"/>
    <d v="2023-02-01T00:00:00"/>
  </r>
  <r>
    <s v="ORD200510"/>
    <d v="2024-12-16T00:00:00"/>
    <s v="C72533"/>
    <x v="4"/>
    <n v="1"/>
    <n v="376.76"/>
    <x v="0"/>
    <x v="3"/>
    <n v="5"/>
    <s v="SAVE10"/>
    <x v="2"/>
    <n v="376.76"/>
    <s v="Electronics"/>
    <s v="Medium"/>
    <n v="80000"/>
    <n v="376.76"/>
    <x v="20"/>
    <d v="2024-12-01T00:00:00"/>
  </r>
  <r>
    <s v="ORD200511"/>
    <d v="2024-03-15T00:00:00"/>
    <s v="C11415"/>
    <x v="0"/>
    <n v="5"/>
    <n v="575.24"/>
    <x v="4"/>
    <x v="3"/>
    <n v="7"/>
    <s v="WINTER15"/>
    <x v="2"/>
    <n v="2876.2"/>
    <s v="Electronics"/>
    <s v="Medium"/>
    <n v="90000"/>
    <n v="2876.2"/>
    <x v="14"/>
    <d v="2024-03-01T00:00:00"/>
  </r>
  <r>
    <s v="ORD200512"/>
    <d v="2024-09-27T00:00:00"/>
    <s v="C14114"/>
    <x v="6"/>
    <n v="3"/>
    <n v="568.02"/>
    <x v="1"/>
    <x v="4"/>
    <n v="3"/>
    <s v="FREESHIP"/>
    <x v="0"/>
    <n v="1704.06"/>
    <s v="Furniture"/>
    <s v="High"/>
    <n v="75000"/>
    <n v="1704.06"/>
    <x v="18"/>
    <d v="2024-09-01T00:00:00"/>
  </r>
  <r>
    <s v="ORD200513"/>
    <d v="2025-02-09T00:00:00"/>
    <s v="C64128"/>
    <x v="2"/>
    <n v="3"/>
    <n v="94.88"/>
    <x v="3"/>
    <x v="0"/>
    <n v="8"/>
    <m/>
    <x v="1"/>
    <n v="284.64"/>
    <s v="Electronics"/>
    <s v="Medium"/>
    <n v="100000"/>
    <n v="284.64"/>
    <x v="21"/>
    <d v="2025-02-01T00:00:00"/>
  </r>
  <r>
    <s v="ORD200514"/>
    <d v="2023-04-16T00:00:00"/>
    <s v="C15629"/>
    <x v="4"/>
    <n v="3"/>
    <n v="304.14999999999998"/>
    <x v="3"/>
    <x v="0"/>
    <n v="3"/>
    <s v="WINTER15"/>
    <x v="0"/>
    <n v="912.44999999999993"/>
    <s v="Electronics"/>
    <s v="Medium"/>
    <n v="80000"/>
    <n v="912.44999999999993"/>
    <x v="29"/>
    <d v="2023-04-01T00:00:00"/>
  </r>
  <r>
    <s v="ORD200515"/>
    <d v="2023-03-14T00:00:00"/>
    <s v="C67561"/>
    <x v="1"/>
    <n v="3"/>
    <n v="553.52"/>
    <x v="3"/>
    <x v="0"/>
    <n v="4"/>
    <s v="FREESHIP"/>
    <x v="3"/>
    <n v="1660.56"/>
    <s v="Electronics"/>
    <s v="High"/>
    <n v="120000"/>
    <n v="1660.56"/>
    <x v="12"/>
    <d v="2023-03-01T00:00:00"/>
  </r>
  <r>
    <s v="ORD200516"/>
    <d v="2024-04-07T00:00:00"/>
    <s v="C47022"/>
    <x v="0"/>
    <n v="3"/>
    <n v="166.99"/>
    <x v="4"/>
    <x v="2"/>
    <n v="8"/>
    <m/>
    <x v="3"/>
    <n v="500.97"/>
    <s v="Electronics"/>
    <s v="Medium"/>
    <n v="90000"/>
    <n v="500.97"/>
    <x v="28"/>
    <d v="2024-04-01T00:00:00"/>
  </r>
  <r>
    <s v="ORD200517"/>
    <d v="2024-04-09T00:00:00"/>
    <s v="C55205"/>
    <x v="2"/>
    <n v="4"/>
    <n v="198.35"/>
    <x v="4"/>
    <x v="1"/>
    <n v="7"/>
    <s v="FREESHIP"/>
    <x v="4"/>
    <n v="793.4"/>
    <s v="Electronics"/>
    <s v="Medium"/>
    <n v="100000"/>
    <n v="793.4"/>
    <x v="28"/>
    <d v="2024-04-01T00:00:00"/>
  </r>
  <r>
    <s v="ORD200518"/>
    <d v="2025-06-13T00:00:00"/>
    <s v="C30686"/>
    <x v="4"/>
    <n v="4"/>
    <n v="403.58"/>
    <x v="1"/>
    <x v="4"/>
    <n v="9"/>
    <s v="SAVE10"/>
    <x v="1"/>
    <n v="1614.32"/>
    <s v="Electronics"/>
    <s v="Medium"/>
    <n v="80000"/>
    <n v="1614.32"/>
    <x v="5"/>
    <d v="2025-06-01T00:00:00"/>
  </r>
  <r>
    <s v="ORD200519"/>
    <d v="2025-05-10T00:00:00"/>
    <s v="C71797"/>
    <x v="5"/>
    <n v="4"/>
    <n v="464.29"/>
    <x v="0"/>
    <x v="2"/>
    <n v="5"/>
    <s v="SAVE10"/>
    <x v="2"/>
    <n v="1857.16"/>
    <s v="Electronics"/>
    <s v="High"/>
    <n v="150000"/>
    <n v="1857.16"/>
    <x v="4"/>
    <d v="2025-05-01T00:00:00"/>
  </r>
  <r>
    <s v="ORD200520"/>
    <d v="2023-03-10T00:00:00"/>
    <s v="C66332"/>
    <x v="0"/>
    <n v="3"/>
    <n v="635.98"/>
    <x v="4"/>
    <x v="2"/>
    <n v="5"/>
    <m/>
    <x v="1"/>
    <n v="1907.94"/>
    <s v="Electronics"/>
    <s v="Medium"/>
    <n v="90000"/>
    <n v="1907.94"/>
    <x v="12"/>
    <d v="2023-03-01T00:00:00"/>
  </r>
  <r>
    <s v="ORD200521"/>
    <d v="2024-02-25T00:00:00"/>
    <s v="C82318"/>
    <x v="1"/>
    <n v="1"/>
    <n v="528.05999999999995"/>
    <x v="2"/>
    <x v="0"/>
    <n v="2"/>
    <m/>
    <x v="3"/>
    <n v="528.05999999999995"/>
    <s v="Electronics"/>
    <s v="High"/>
    <n v="120000"/>
    <n v="528.05999999999995"/>
    <x v="2"/>
    <d v="2024-02-01T00:00:00"/>
  </r>
  <r>
    <s v="ORD200522"/>
    <d v="2024-04-20T00:00:00"/>
    <s v="C66254"/>
    <x v="3"/>
    <n v="1"/>
    <n v="515.32000000000005"/>
    <x v="3"/>
    <x v="1"/>
    <n v="1"/>
    <s v="FREESHIP"/>
    <x v="2"/>
    <n v="515.32000000000005"/>
    <s v="Furniture"/>
    <s v="Medium"/>
    <n v="70000"/>
    <n v="515.32000000000005"/>
    <x v="28"/>
    <d v="2024-04-01T00:00:00"/>
  </r>
  <r>
    <s v="ORD200523"/>
    <d v="2025-02-18T00:00:00"/>
    <s v="C65083"/>
    <x v="6"/>
    <n v="4"/>
    <n v="657.79"/>
    <x v="2"/>
    <x v="2"/>
    <n v="6"/>
    <s v="WINTER15"/>
    <x v="4"/>
    <n v="2631.16"/>
    <s v="Furniture"/>
    <s v="High"/>
    <n v="75000"/>
    <n v="2631.16"/>
    <x v="21"/>
    <d v="2025-02-01T00:00:00"/>
  </r>
  <r>
    <s v="ORD200524"/>
    <d v="2023-10-25T00:00:00"/>
    <s v="C44778"/>
    <x v="1"/>
    <n v="1"/>
    <n v="153"/>
    <x v="2"/>
    <x v="2"/>
    <n v="4"/>
    <m/>
    <x v="1"/>
    <n v="153"/>
    <s v="Electronics"/>
    <s v="High"/>
    <n v="120000"/>
    <n v="153"/>
    <x v="3"/>
    <d v="2023-10-01T00:00:00"/>
  </r>
  <r>
    <s v="ORD200525"/>
    <d v="2023-12-03T00:00:00"/>
    <s v="C54499"/>
    <x v="0"/>
    <n v="1"/>
    <n v="668.48"/>
    <x v="0"/>
    <x v="0"/>
    <n v="1"/>
    <s v="SAVE10"/>
    <x v="2"/>
    <n v="668.48"/>
    <s v="Electronics"/>
    <s v="Medium"/>
    <n v="90000"/>
    <n v="668.48"/>
    <x v="9"/>
    <d v="2023-12-01T00:00:00"/>
  </r>
  <r>
    <s v="ORD200526"/>
    <d v="2024-02-29T00:00:00"/>
    <s v="C91201"/>
    <x v="6"/>
    <n v="2"/>
    <n v="46.5"/>
    <x v="4"/>
    <x v="2"/>
    <n v="7"/>
    <s v="WINTER15"/>
    <x v="4"/>
    <n v="93"/>
    <s v="Furniture"/>
    <s v="High"/>
    <n v="75000"/>
    <n v="93"/>
    <x v="2"/>
    <d v="2024-02-01T00:00:00"/>
  </r>
  <r>
    <s v="ORD200527"/>
    <d v="2024-08-19T00:00:00"/>
    <s v="C27202"/>
    <x v="3"/>
    <n v="5"/>
    <n v="653.47"/>
    <x v="2"/>
    <x v="1"/>
    <n v="10"/>
    <s v="SAVE10"/>
    <x v="1"/>
    <n v="3267.35"/>
    <s v="Furniture"/>
    <s v="Medium"/>
    <n v="70000"/>
    <n v="3267.35"/>
    <x v="1"/>
    <d v="2024-08-01T00:00:00"/>
  </r>
  <r>
    <s v="ORD200528"/>
    <d v="2025-02-26T00:00:00"/>
    <s v="C32011"/>
    <x v="3"/>
    <n v="1"/>
    <n v="628.89"/>
    <x v="2"/>
    <x v="2"/>
    <n v="2"/>
    <s v="SAVE10"/>
    <x v="1"/>
    <n v="628.89"/>
    <s v="Furniture"/>
    <s v="Medium"/>
    <n v="70000"/>
    <n v="628.89"/>
    <x v="21"/>
    <d v="2025-02-01T00:00:00"/>
  </r>
  <r>
    <s v="ORD200529"/>
    <d v="2024-04-07T00:00:00"/>
    <s v="C21181"/>
    <x v="2"/>
    <n v="2"/>
    <n v="675.1"/>
    <x v="4"/>
    <x v="4"/>
    <n v="4"/>
    <s v="FREESHIP"/>
    <x v="4"/>
    <n v="1350.2"/>
    <s v="Electronics"/>
    <s v="Medium"/>
    <n v="100000"/>
    <n v="1350.2"/>
    <x v="28"/>
    <d v="2024-04-01T00:00:00"/>
  </r>
  <r>
    <s v="ORD200530"/>
    <d v="2024-07-18T00:00:00"/>
    <s v="C98450"/>
    <x v="3"/>
    <n v="4"/>
    <n v="89.41"/>
    <x v="1"/>
    <x v="4"/>
    <n v="9"/>
    <m/>
    <x v="4"/>
    <n v="357.64"/>
    <s v="Furniture"/>
    <s v="Medium"/>
    <n v="70000"/>
    <n v="357.64"/>
    <x v="17"/>
    <d v="2024-07-01T00:00:00"/>
  </r>
  <r>
    <s v="ORD200531"/>
    <d v="2024-07-02T00:00:00"/>
    <s v="C64502"/>
    <x v="6"/>
    <n v="5"/>
    <n v="320.01"/>
    <x v="3"/>
    <x v="3"/>
    <n v="6"/>
    <m/>
    <x v="1"/>
    <n v="1600.05"/>
    <s v="Furniture"/>
    <s v="High"/>
    <n v="75000"/>
    <n v="1600.05"/>
    <x v="17"/>
    <d v="2024-07-01T00:00:00"/>
  </r>
  <r>
    <s v="ORD200532"/>
    <d v="2025-05-03T00:00:00"/>
    <s v="C47365"/>
    <x v="5"/>
    <n v="2"/>
    <n v="41"/>
    <x v="1"/>
    <x v="3"/>
    <n v="7"/>
    <m/>
    <x v="2"/>
    <n v="82"/>
    <s v="Electronics"/>
    <s v="High"/>
    <n v="150000"/>
    <n v="82"/>
    <x v="4"/>
    <d v="2025-05-01T00:00:00"/>
  </r>
  <r>
    <s v="ORD200533"/>
    <d v="2023-03-05T00:00:00"/>
    <s v="C66349"/>
    <x v="6"/>
    <n v="1"/>
    <n v="565.85"/>
    <x v="3"/>
    <x v="2"/>
    <n v="1"/>
    <s v="FREESHIP"/>
    <x v="3"/>
    <n v="565.85"/>
    <s v="Furniture"/>
    <s v="High"/>
    <n v="75000"/>
    <n v="565.85"/>
    <x v="12"/>
    <d v="2023-03-01T00:00:00"/>
  </r>
  <r>
    <s v="ORD200534"/>
    <d v="2024-06-06T00:00:00"/>
    <s v="C73289"/>
    <x v="3"/>
    <n v="3"/>
    <n v="648.59"/>
    <x v="0"/>
    <x v="1"/>
    <n v="4"/>
    <s v="SAVE10"/>
    <x v="2"/>
    <n v="1945.77"/>
    <s v="Furniture"/>
    <s v="Medium"/>
    <n v="70000"/>
    <n v="1945.77"/>
    <x v="23"/>
    <d v="2024-06-01T00:00:00"/>
  </r>
  <r>
    <s v="ORD200535"/>
    <d v="2024-07-24T00:00:00"/>
    <s v="C48649"/>
    <x v="0"/>
    <n v="3"/>
    <n v="68.12"/>
    <x v="1"/>
    <x v="1"/>
    <n v="3"/>
    <s v="FREESHIP"/>
    <x v="2"/>
    <n v="204.36"/>
    <s v="Electronics"/>
    <s v="Medium"/>
    <n v="90000"/>
    <n v="204.36"/>
    <x v="17"/>
    <d v="2024-07-01T00:00:00"/>
  </r>
  <r>
    <s v="ORD200536"/>
    <d v="2024-06-09T00:00:00"/>
    <s v="C18724"/>
    <x v="3"/>
    <n v="1"/>
    <n v="616.1"/>
    <x v="4"/>
    <x v="2"/>
    <n v="6"/>
    <m/>
    <x v="2"/>
    <n v="616.1"/>
    <s v="Furniture"/>
    <s v="Medium"/>
    <n v="70000"/>
    <n v="616.1"/>
    <x v="23"/>
    <d v="2024-06-01T00:00:00"/>
  </r>
  <r>
    <s v="ORD200537"/>
    <d v="2025-03-23T00:00:00"/>
    <s v="C68553"/>
    <x v="2"/>
    <n v="3"/>
    <n v="247.47"/>
    <x v="1"/>
    <x v="3"/>
    <n v="4"/>
    <s v="SAVE10"/>
    <x v="3"/>
    <n v="742.41"/>
    <s v="Electronics"/>
    <s v="Medium"/>
    <n v="100000"/>
    <n v="742.41"/>
    <x v="15"/>
    <d v="2025-03-01T00:00:00"/>
  </r>
  <r>
    <s v="ORD200538"/>
    <d v="2024-05-24T00:00:00"/>
    <s v="C61280"/>
    <x v="1"/>
    <n v="3"/>
    <n v="490.74"/>
    <x v="4"/>
    <x v="0"/>
    <n v="3"/>
    <s v="WINTER15"/>
    <x v="2"/>
    <n v="1472.22"/>
    <s v="Electronics"/>
    <s v="High"/>
    <n v="120000"/>
    <n v="1472.22"/>
    <x v="22"/>
    <d v="2024-05-01T00:00:00"/>
  </r>
  <r>
    <s v="ORD200539"/>
    <d v="2025-02-18T00:00:00"/>
    <s v="C53277"/>
    <x v="6"/>
    <n v="3"/>
    <n v="531.72"/>
    <x v="3"/>
    <x v="3"/>
    <n v="7"/>
    <s v="SAVE10"/>
    <x v="4"/>
    <n v="1595.16"/>
    <s v="Furniture"/>
    <s v="High"/>
    <n v="75000"/>
    <n v="1595.16"/>
    <x v="21"/>
    <d v="2025-02-01T00:00:00"/>
  </r>
  <r>
    <s v="ORD200540"/>
    <d v="2024-01-29T00:00:00"/>
    <s v="C87281"/>
    <x v="5"/>
    <n v="5"/>
    <n v="648.65"/>
    <x v="1"/>
    <x v="4"/>
    <n v="7"/>
    <m/>
    <x v="1"/>
    <n v="3243.25"/>
    <s v="Electronics"/>
    <s v="High"/>
    <n v="150000"/>
    <n v="3243.25"/>
    <x v="25"/>
    <d v="2024-01-01T00:00:00"/>
  </r>
  <r>
    <s v="ORD200541"/>
    <d v="2023-08-07T00:00:00"/>
    <s v="C69009"/>
    <x v="4"/>
    <n v="5"/>
    <n v="456.06"/>
    <x v="4"/>
    <x v="4"/>
    <n v="10"/>
    <m/>
    <x v="0"/>
    <n v="2280.3000000000002"/>
    <s v="Electronics"/>
    <s v="Medium"/>
    <n v="80000"/>
    <n v="2280.3000000000002"/>
    <x v="11"/>
    <d v="2023-08-01T00:00:00"/>
  </r>
  <r>
    <s v="ORD200542"/>
    <d v="2023-11-14T00:00:00"/>
    <s v="C49726"/>
    <x v="2"/>
    <n v="1"/>
    <n v="17.98"/>
    <x v="4"/>
    <x v="1"/>
    <n v="6"/>
    <s v="FREESHIP"/>
    <x v="2"/>
    <n v="17.98"/>
    <s v="Electronics"/>
    <s v="Medium"/>
    <n v="100000"/>
    <n v="17.98"/>
    <x v="8"/>
    <d v="2023-11-01T00:00:00"/>
  </r>
  <r>
    <s v="ORD200543"/>
    <d v="2024-03-09T00:00:00"/>
    <s v="C37531"/>
    <x v="6"/>
    <n v="5"/>
    <n v="269.86"/>
    <x v="4"/>
    <x v="0"/>
    <n v="6"/>
    <s v="WINTER15"/>
    <x v="3"/>
    <n v="1349.3"/>
    <s v="Furniture"/>
    <s v="High"/>
    <n v="75000"/>
    <n v="1349.3"/>
    <x v="14"/>
    <d v="2024-03-01T00:00:00"/>
  </r>
  <r>
    <s v="ORD200544"/>
    <d v="2024-03-10T00:00:00"/>
    <s v="C48713"/>
    <x v="4"/>
    <n v="5"/>
    <n v="31.96"/>
    <x v="2"/>
    <x v="2"/>
    <n v="5"/>
    <s v="FREESHIP"/>
    <x v="1"/>
    <n v="159.80000000000001"/>
    <s v="Electronics"/>
    <s v="Medium"/>
    <n v="80000"/>
    <n v="159.80000000000001"/>
    <x v="14"/>
    <d v="2024-03-01T00:00:00"/>
  </r>
  <r>
    <s v="ORD200545"/>
    <d v="2023-12-19T00:00:00"/>
    <s v="C74138"/>
    <x v="0"/>
    <n v="2"/>
    <n v="98.47"/>
    <x v="4"/>
    <x v="2"/>
    <n v="3"/>
    <m/>
    <x v="0"/>
    <n v="196.94"/>
    <s v="Electronics"/>
    <s v="Medium"/>
    <n v="90000"/>
    <n v="196.94"/>
    <x v="9"/>
    <d v="2023-12-01T00:00:00"/>
  </r>
  <r>
    <s v="ORD200546"/>
    <d v="2024-03-01T00:00:00"/>
    <s v="C82399"/>
    <x v="0"/>
    <n v="1"/>
    <n v="158.68"/>
    <x v="2"/>
    <x v="2"/>
    <n v="6"/>
    <s v="WINTER15"/>
    <x v="0"/>
    <n v="158.68"/>
    <s v="Electronics"/>
    <s v="Medium"/>
    <n v="90000"/>
    <n v="158.68"/>
    <x v="14"/>
    <d v="2024-03-01T00:00:00"/>
  </r>
  <r>
    <s v="ORD200547"/>
    <d v="2023-08-20T00:00:00"/>
    <s v="C40427"/>
    <x v="1"/>
    <n v="1"/>
    <n v="613.98"/>
    <x v="1"/>
    <x v="3"/>
    <n v="4"/>
    <s v="FREESHIP"/>
    <x v="3"/>
    <n v="613.98"/>
    <s v="Electronics"/>
    <s v="High"/>
    <n v="120000"/>
    <n v="613.98"/>
    <x v="11"/>
    <d v="2023-08-01T00:00:00"/>
  </r>
  <r>
    <s v="ORD200548"/>
    <d v="2024-01-05T00:00:00"/>
    <s v="C17103"/>
    <x v="4"/>
    <n v="3"/>
    <n v="426.12"/>
    <x v="1"/>
    <x v="3"/>
    <n v="5"/>
    <s v="WINTER15"/>
    <x v="0"/>
    <n v="1278.3599999999999"/>
    <s v="Electronics"/>
    <s v="Medium"/>
    <n v="80000"/>
    <n v="1278.3599999999999"/>
    <x v="25"/>
    <d v="2024-01-01T00:00:00"/>
  </r>
  <r>
    <s v="ORD200549"/>
    <d v="2025-02-25T00:00:00"/>
    <s v="C34266"/>
    <x v="0"/>
    <n v="4"/>
    <n v="629.88"/>
    <x v="0"/>
    <x v="1"/>
    <n v="8"/>
    <s v="WINTER15"/>
    <x v="0"/>
    <n v="2519.52"/>
    <s v="Electronics"/>
    <s v="Medium"/>
    <n v="90000"/>
    <n v="2519.52"/>
    <x v="21"/>
    <d v="2025-02-01T00:00:00"/>
  </r>
  <r>
    <s v="ORD200550"/>
    <d v="2023-10-29T00:00:00"/>
    <s v="C97485"/>
    <x v="5"/>
    <n v="4"/>
    <n v="228.91"/>
    <x v="4"/>
    <x v="0"/>
    <n v="4"/>
    <s v="FREESHIP"/>
    <x v="4"/>
    <n v="915.64"/>
    <s v="Electronics"/>
    <s v="High"/>
    <n v="150000"/>
    <n v="915.64"/>
    <x v="3"/>
    <d v="2023-10-01T00:00:00"/>
  </r>
  <r>
    <s v="ORD200551"/>
    <d v="2023-05-18T00:00:00"/>
    <s v="C23947"/>
    <x v="5"/>
    <n v="1"/>
    <n v="120.98"/>
    <x v="0"/>
    <x v="3"/>
    <n v="6"/>
    <s v="WINTER15"/>
    <x v="2"/>
    <n v="120.98"/>
    <s v="Electronics"/>
    <s v="High"/>
    <n v="150000"/>
    <n v="120.98"/>
    <x v="6"/>
    <d v="2023-05-01T00:00:00"/>
  </r>
  <r>
    <s v="ORD200552"/>
    <d v="2023-09-30T00:00:00"/>
    <s v="C21665"/>
    <x v="3"/>
    <n v="4"/>
    <n v="425.18"/>
    <x v="1"/>
    <x v="2"/>
    <n v="8"/>
    <s v="WINTER15"/>
    <x v="3"/>
    <n v="1700.72"/>
    <s v="Furniture"/>
    <s v="Medium"/>
    <n v="70000"/>
    <n v="1700.72"/>
    <x v="24"/>
    <d v="2023-09-01T00:00:00"/>
  </r>
  <r>
    <s v="ORD200553"/>
    <d v="2023-08-23T00:00:00"/>
    <s v="C82550"/>
    <x v="1"/>
    <n v="2"/>
    <n v="333.83"/>
    <x v="3"/>
    <x v="1"/>
    <n v="4"/>
    <s v="FREESHIP"/>
    <x v="1"/>
    <n v="667.66"/>
    <s v="Electronics"/>
    <s v="High"/>
    <n v="120000"/>
    <n v="667.66"/>
    <x v="11"/>
    <d v="2023-08-01T00:00:00"/>
  </r>
  <r>
    <s v="ORD200554"/>
    <d v="2025-05-30T00:00:00"/>
    <s v="C61943"/>
    <x v="5"/>
    <n v="2"/>
    <n v="492.9"/>
    <x v="4"/>
    <x v="2"/>
    <n v="5"/>
    <s v="FREESHIP"/>
    <x v="0"/>
    <n v="985.8"/>
    <s v="Electronics"/>
    <s v="High"/>
    <n v="150000"/>
    <n v="985.8"/>
    <x v="4"/>
    <d v="2025-05-01T00:00:00"/>
  </r>
  <r>
    <s v="ORD200555"/>
    <d v="2023-01-07T00:00:00"/>
    <s v="C88933"/>
    <x v="2"/>
    <n v="1"/>
    <n v="92.04"/>
    <x v="4"/>
    <x v="0"/>
    <n v="2"/>
    <m/>
    <x v="3"/>
    <n v="92.04"/>
    <s v="Electronics"/>
    <s v="Medium"/>
    <n v="100000"/>
    <n v="92.04"/>
    <x v="0"/>
    <d v="2023-01-01T00:00:00"/>
  </r>
  <r>
    <s v="ORD200556"/>
    <d v="2023-01-28T00:00:00"/>
    <s v="C30923"/>
    <x v="5"/>
    <n v="1"/>
    <n v="654.27"/>
    <x v="3"/>
    <x v="4"/>
    <n v="2"/>
    <s v="SAVE10"/>
    <x v="3"/>
    <n v="654.27"/>
    <s v="Electronics"/>
    <s v="High"/>
    <n v="150000"/>
    <n v="654.27"/>
    <x v="0"/>
    <d v="2023-01-01T00:00:00"/>
  </r>
  <r>
    <s v="ORD200557"/>
    <d v="2023-06-29T00:00:00"/>
    <s v="C56969"/>
    <x v="2"/>
    <n v="1"/>
    <n v="56.2"/>
    <x v="0"/>
    <x v="4"/>
    <n v="1"/>
    <s v="WINTER15"/>
    <x v="3"/>
    <n v="56.2"/>
    <s v="Electronics"/>
    <s v="Medium"/>
    <n v="100000"/>
    <n v="56.2"/>
    <x v="19"/>
    <d v="2023-06-01T00:00:00"/>
  </r>
  <r>
    <s v="ORD200558"/>
    <d v="2024-07-16T00:00:00"/>
    <s v="C76766"/>
    <x v="1"/>
    <n v="4"/>
    <n v="628.12"/>
    <x v="1"/>
    <x v="3"/>
    <n v="6"/>
    <s v="WINTER15"/>
    <x v="0"/>
    <n v="2512.48"/>
    <s v="Electronics"/>
    <s v="High"/>
    <n v="120000"/>
    <n v="2512.48"/>
    <x v="17"/>
    <d v="2024-07-01T00:00:00"/>
  </r>
  <r>
    <s v="ORD200559"/>
    <d v="2024-04-15T00:00:00"/>
    <s v="C22981"/>
    <x v="6"/>
    <n v="3"/>
    <n v="157.4"/>
    <x v="0"/>
    <x v="1"/>
    <n v="7"/>
    <s v="WINTER15"/>
    <x v="2"/>
    <n v="472.2"/>
    <s v="Furniture"/>
    <s v="High"/>
    <n v="75000"/>
    <n v="472.2"/>
    <x v="28"/>
    <d v="2024-04-01T00:00:00"/>
  </r>
  <r>
    <s v="ORD200560"/>
    <d v="2023-01-31T00:00:00"/>
    <s v="C33634"/>
    <x v="0"/>
    <n v="4"/>
    <n v="588.85"/>
    <x v="3"/>
    <x v="4"/>
    <n v="7"/>
    <m/>
    <x v="2"/>
    <n v="2355.4"/>
    <s v="Electronics"/>
    <s v="Medium"/>
    <n v="90000"/>
    <n v="2355.4"/>
    <x v="0"/>
    <d v="2023-01-01T00:00:00"/>
  </r>
  <r>
    <s v="ORD200561"/>
    <d v="2023-01-31T00:00:00"/>
    <s v="C96822"/>
    <x v="4"/>
    <n v="2"/>
    <n v="494.78"/>
    <x v="1"/>
    <x v="0"/>
    <n v="2"/>
    <m/>
    <x v="4"/>
    <n v="989.56"/>
    <s v="Electronics"/>
    <s v="Medium"/>
    <n v="80000"/>
    <n v="989.56"/>
    <x v="0"/>
    <d v="2023-01-01T00:00:00"/>
  </r>
  <r>
    <s v="ORD200562"/>
    <d v="2023-10-06T00:00:00"/>
    <s v="C76675"/>
    <x v="5"/>
    <n v="3"/>
    <n v="663.93"/>
    <x v="3"/>
    <x v="2"/>
    <n v="6"/>
    <s v="FREESHIP"/>
    <x v="2"/>
    <n v="1991.79"/>
    <s v="Electronics"/>
    <s v="High"/>
    <n v="150000"/>
    <n v="1991.79"/>
    <x v="3"/>
    <d v="2023-10-01T00:00:00"/>
  </r>
  <r>
    <s v="ORD200563"/>
    <d v="2023-12-12T00:00:00"/>
    <s v="C12039"/>
    <x v="5"/>
    <n v="1"/>
    <n v="132.68"/>
    <x v="0"/>
    <x v="2"/>
    <n v="1"/>
    <s v="SAVE10"/>
    <x v="1"/>
    <n v="132.68"/>
    <s v="Electronics"/>
    <s v="High"/>
    <n v="150000"/>
    <n v="132.68"/>
    <x v="9"/>
    <d v="2023-12-01T00:00:00"/>
  </r>
  <r>
    <s v="ORD200564"/>
    <d v="2025-04-08T00:00:00"/>
    <s v="C93309"/>
    <x v="6"/>
    <n v="5"/>
    <n v="364.28"/>
    <x v="2"/>
    <x v="1"/>
    <n v="5"/>
    <s v="WINTER15"/>
    <x v="4"/>
    <n v="1821.4"/>
    <s v="Furniture"/>
    <s v="High"/>
    <n v="75000"/>
    <n v="1821.4"/>
    <x v="7"/>
    <d v="2025-04-01T00:00:00"/>
  </r>
  <r>
    <s v="ORD200565"/>
    <d v="2023-05-14T00:00:00"/>
    <s v="C62042"/>
    <x v="2"/>
    <n v="5"/>
    <n v="307.98"/>
    <x v="1"/>
    <x v="4"/>
    <n v="10"/>
    <m/>
    <x v="3"/>
    <n v="1539.9"/>
    <s v="Electronics"/>
    <s v="Medium"/>
    <n v="100000"/>
    <n v="1539.9"/>
    <x v="6"/>
    <d v="2023-05-01T00:00:00"/>
  </r>
  <r>
    <s v="ORD200566"/>
    <d v="2024-04-18T00:00:00"/>
    <s v="C83223"/>
    <x v="1"/>
    <n v="4"/>
    <n v="162.71"/>
    <x v="4"/>
    <x v="1"/>
    <n v="7"/>
    <s v="FREESHIP"/>
    <x v="2"/>
    <n v="650.84"/>
    <s v="Electronics"/>
    <s v="High"/>
    <n v="120000"/>
    <n v="650.84"/>
    <x v="28"/>
    <d v="2024-04-01T00:00:00"/>
  </r>
  <r>
    <s v="ORD200567"/>
    <d v="2024-09-30T00:00:00"/>
    <s v="C92575"/>
    <x v="3"/>
    <n v="5"/>
    <n v="492.94"/>
    <x v="4"/>
    <x v="0"/>
    <n v="10"/>
    <s v="FREESHIP"/>
    <x v="2"/>
    <n v="2464.6999999999998"/>
    <s v="Furniture"/>
    <s v="Medium"/>
    <n v="70000"/>
    <n v="2464.6999999999998"/>
    <x v="18"/>
    <d v="2024-09-01T00:00:00"/>
  </r>
  <r>
    <s v="ORD200568"/>
    <d v="2023-03-10T00:00:00"/>
    <s v="C29072"/>
    <x v="5"/>
    <n v="2"/>
    <n v="343.99"/>
    <x v="1"/>
    <x v="3"/>
    <n v="4"/>
    <m/>
    <x v="4"/>
    <n v="687.98"/>
    <s v="Electronics"/>
    <s v="High"/>
    <n v="150000"/>
    <n v="687.98"/>
    <x v="12"/>
    <d v="2023-03-01T00:00:00"/>
  </r>
  <r>
    <s v="ORD200569"/>
    <d v="2025-03-22T00:00:00"/>
    <s v="C25783"/>
    <x v="6"/>
    <n v="5"/>
    <n v="250.68"/>
    <x v="4"/>
    <x v="0"/>
    <n v="8"/>
    <s v="SAVE10"/>
    <x v="0"/>
    <n v="1253.4000000000001"/>
    <s v="Furniture"/>
    <s v="High"/>
    <n v="75000"/>
    <n v="1253.4000000000001"/>
    <x v="15"/>
    <d v="2025-03-01T00:00:00"/>
  </r>
  <r>
    <s v="ORD200570"/>
    <d v="2024-12-27T00:00:00"/>
    <s v="C63727"/>
    <x v="6"/>
    <n v="2"/>
    <n v="362.14"/>
    <x v="0"/>
    <x v="4"/>
    <n v="2"/>
    <s v="SAVE10"/>
    <x v="0"/>
    <n v="724.28"/>
    <s v="Furniture"/>
    <s v="High"/>
    <n v="75000"/>
    <n v="724.28"/>
    <x v="20"/>
    <d v="2024-12-01T00:00:00"/>
  </r>
  <r>
    <s v="ORD200571"/>
    <d v="2024-11-23T00:00:00"/>
    <s v="C42365"/>
    <x v="2"/>
    <n v="1"/>
    <n v="214.08"/>
    <x v="3"/>
    <x v="2"/>
    <n v="2"/>
    <s v="WINTER15"/>
    <x v="4"/>
    <n v="214.08"/>
    <s v="Electronics"/>
    <s v="Medium"/>
    <n v="100000"/>
    <n v="214.08"/>
    <x v="16"/>
    <d v="2024-11-01T00:00:00"/>
  </r>
  <r>
    <s v="ORD200572"/>
    <d v="2023-11-11T00:00:00"/>
    <s v="C27438"/>
    <x v="4"/>
    <n v="1"/>
    <n v="70.319999999999993"/>
    <x v="4"/>
    <x v="2"/>
    <n v="4"/>
    <s v="WINTER15"/>
    <x v="3"/>
    <n v="70.319999999999993"/>
    <s v="Electronics"/>
    <s v="Medium"/>
    <n v="80000"/>
    <n v="70.319999999999993"/>
    <x v="8"/>
    <d v="2023-11-01T00:00:00"/>
  </r>
  <r>
    <s v="ORD200573"/>
    <d v="2023-01-25T00:00:00"/>
    <s v="C13205"/>
    <x v="3"/>
    <n v="5"/>
    <n v="421.42"/>
    <x v="0"/>
    <x v="1"/>
    <n v="7"/>
    <m/>
    <x v="0"/>
    <n v="2107.1"/>
    <s v="Furniture"/>
    <s v="Medium"/>
    <n v="70000"/>
    <n v="2107.1"/>
    <x v="0"/>
    <d v="2023-01-01T00:00:00"/>
  </r>
  <r>
    <s v="ORD200574"/>
    <d v="2024-01-24T00:00:00"/>
    <s v="C29685"/>
    <x v="3"/>
    <n v="5"/>
    <n v="384.69"/>
    <x v="2"/>
    <x v="4"/>
    <n v="6"/>
    <s v="FREESHIP"/>
    <x v="2"/>
    <n v="1923.45"/>
    <s v="Furniture"/>
    <s v="Medium"/>
    <n v="70000"/>
    <n v="1923.45"/>
    <x v="25"/>
    <d v="2024-01-01T00:00:00"/>
  </r>
  <r>
    <s v="ORD200575"/>
    <d v="2023-06-07T00:00:00"/>
    <s v="C74005"/>
    <x v="3"/>
    <n v="5"/>
    <n v="448.15"/>
    <x v="3"/>
    <x v="2"/>
    <n v="7"/>
    <s v="SAVE10"/>
    <x v="4"/>
    <n v="2240.75"/>
    <s v="Furniture"/>
    <s v="Medium"/>
    <n v="70000"/>
    <n v="2240.75"/>
    <x v="19"/>
    <d v="2023-06-01T00:00:00"/>
  </r>
  <r>
    <s v="ORD200576"/>
    <d v="2024-05-29T00:00:00"/>
    <s v="C14457"/>
    <x v="5"/>
    <n v="5"/>
    <n v="79.08"/>
    <x v="4"/>
    <x v="4"/>
    <n v="8"/>
    <m/>
    <x v="3"/>
    <n v="395.4"/>
    <s v="Electronics"/>
    <s v="High"/>
    <n v="150000"/>
    <n v="395.4"/>
    <x v="22"/>
    <d v="2024-05-01T00:00:00"/>
  </r>
  <r>
    <s v="ORD200577"/>
    <d v="2023-01-22T00:00:00"/>
    <s v="C77046"/>
    <x v="2"/>
    <n v="4"/>
    <n v="185.41"/>
    <x v="1"/>
    <x v="2"/>
    <n v="9"/>
    <s v="WINTER15"/>
    <x v="4"/>
    <n v="741.64"/>
    <s v="Electronics"/>
    <s v="Medium"/>
    <n v="100000"/>
    <n v="741.64"/>
    <x v="0"/>
    <d v="2023-01-01T00:00:00"/>
  </r>
  <r>
    <s v="ORD200578"/>
    <d v="2024-10-10T00:00:00"/>
    <s v="C50415"/>
    <x v="0"/>
    <n v="5"/>
    <n v="566.07000000000005"/>
    <x v="2"/>
    <x v="3"/>
    <n v="6"/>
    <s v="SAVE10"/>
    <x v="0"/>
    <n v="2830.35"/>
    <s v="Electronics"/>
    <s v="Medium"/>
    <n v="90000"/>
    <n v="2830.35"/>
    <x v="10"/>
    <d v="2024-10-01T00:00:00"/>
  </r>
  <r>
    <s v="ORD200579"/>
    <d v="2023-06-04T00:00:00"/>
    <s v="C73999"/>
    <x v="2"/>
    <n v="2"/>
    <n v="187.88"/>
    <x v="1"/>
    <x v="0"/>
    <n v="4"/>
    <s v="WINTER15"/>
    <x v="3"/>
    <n v="375.76"/>
    <s v="Electronics"/>
    <s v="Medium"/>
    <n v="100000"/>
    <n v="375.76"/>
    <x v="19"/>
    <d v="2023-06-01T00:00:00"/>
  </r>
  <r>
    <s v="ORD200580"/>
    <d v="2023-11-14T00:00:00"/>
    <s v="C71076"/>
    <x v="0"/>
    <n v="2"/>
    <n v="255.99"/>
    <x v="2"/>
    <x v="3"/>
    <n v="4"/>
    <s v="SAVE10"/>
    <x v="0"/>
    <n v="511.98"/>
    <s v="Electronics"/>
    <s v="Medium"/>
    <n v="90000"/>
    <n v="511.98"/>
    <x v="8"/>
    <d v="2023-11-01T00:00:00"/>
  </r>
  <r>
    <s v="ORD200581"/>
    <d v="2024-11-11T00:00:00"/>
    <s v="C44674"/>
    <x v="5"/>
    <n v="1"/>
    <n v="627.34"/>
    <x v="1"/>
    <x v="3"/>
    <n v="1"/>
    <m/>
    <x v="1"/>
    <n v="627.34"/>
    <s v="Electronics"/>
    <s v="High"/>
    <n v="150000"/>
    <n v="627.34"/>
    <x v="16"/>
    <d v="2024-11-01T00:00:00"/>
  </r>
  <r>
    <s v="ORD200582"/>
    <d v="2024-02-19T00:00:00"/>
    <s v="C15228"/>
    <x v="2"/>
    <n v="3"/>
    <n v="474.14"/>
    <x v="3"/>
    <x v="0"/>
    <n v="8"/>
    <s v="WINTER15"/>
    <x v="4"/>
    <n v="1422.42"/>
    <s v="Electronics"/>
    <s v="Medium"/>
    <n v="100000"/>
    <n v="1422.42"/>
    <x v="2"/>
    <d v="2024-02-01T00:00:00"/>
  </r>
  <r>
    <s v="ORD200583"/>
    <d v="2025-06-15T00:00:00"/>
    <s v="C27072"/>
    <x v="3"/>
    <n v="3"/>
    <n v="154.37"/>
    <x v="3"/>
    <x v="3"/>
    <n v="4"/>
    <m/>
    <x v="0"/>
    <n v="463.11"/>
    <s v="Furniture"/>
    <s v="Medium"/>
    <n v="70000"/>
    <n v="463.11"/>
    <x v="5"/>
    <d v="2025-06-01T00:00:00"/>
  </r>
  <r>
    <s v="ORD200584"/>
    <d v="2025-03-21T00:00:00"/>
    <s v="C15257"/>
    <x v="3"/>
    <n v="4"/>
    <n v="145.05000000000001"/>
    <x v="1"/>
    <x v="3"/>
    <n v="6"/>
    <s v="SAVE10"/>
    <x v="4"/>
    <n v="580.20000000000005"/>
    <s v="Furniture"/>
    <s v="Medium"/>
    <n v="70000"/>
    <n v="580.20000000000005"/>
    <x v="15"/>
    <d v="2025-03-01T00:00:00"/>
  </r>
  <r>
    <s v="ORD200585"/>
    <d v="2023-08-20T00:00:00"/>
    <s v="C91486"/>
    <x v="2"/>
    <n v="4"/>
    <n v="67.08"/>
    <x v="4"/>
    <x v="2"/>
    <n v="8"/>
    <s v="WINTER15"/>
    <x v="4"/>
    <n v="268.32"/>
    <s v="Electronics"/>
    <s v="Medium"/>
    <n v="100000"/>
    <n v="268.32"/>
    <x v="11"/>
    <d v="2023-08-01T00:00:00"/>
  </r>
  <r>
    <s v="ORD200586"/>
    <d v="2024-11-10T00:00:00"/>
    <s v="C17389"/>
    <x v="0"/>
    <n v="1"/>
    <n v="522.08000000000004"/>
    <x v="3"/>
    <x v="2"/>
    <n v="5"/>
    <s v="FREESHIP"/>
    <x v="1"/>
    <n v="522.08000000000004"/>
    <s v="Electronics"/>
    <s v="Medium"/>
    <n v="90000"/>
    <n v="522.08000000000004"/>
    <x v="16"/>
    <d v="2024-11-01T00:00:00"/>
  </r>
  <r>
    <s v="ORD200587"/>
    <d v="2023-06-12T00:00:00"/>
    <s v="C18820"/>
    <x v="0"/>
    <n v="5"/>
    <n v="514.6"/>
    <x v="3"/>
    <x v="3"/>
    <n v="10"/>
    <s v="FREESHIP"/>
    <x v="0"/>
    <n v="2573"/>
    <s v="Electronics"/>
    <s v="Medium"/>
    <n v="90000"/>
    <n v="2573"/>
    <x v="19"/>
    <d v="2023-06-01T00:00:00"/>
  </r>
  <r>
    <s v="ORD200588"/>
    <d v="2024-12-10T00:00:00"/>
    <s v="C61849"/>
    <x v="0"/>
    <n v="4"/>
    <n v="577.82000000000005"/>
    <x v="2"/>
    <x v="3"/>
    <n v="9"/>
    <m/>
    <x v="4"/>
    <n v="2311.2800000000002"/>
    <s v="Electronics"/>
    <s v="Medium"/>
    <n v="90000"/>
    <n v="2311.2800000000002"/>
    <x v="20"/>
    <d v="2024-12-01T00:00:00"/>
  </r>
  <r>
    <s v="ORD200589"/>
    <d v="2025-02-10T00:00:00"/>
    <s v="C84041"/>
    <x v="5"/>
    <n v="2"/>
    <n v="500.8"/>
    <x v="4"/>
    <x v="3"/>
    <n v="3"/>
    <s v="FREESHIP"/>
    <x v="1"/>
    <n v="1001.6"/>
    <s v="Electronics"/>
    <s v="High"/>
    <n v="150000"/>
    <n v="1001.6"/>
    <x v="21"/>
    <d v="2025-02-01T00:00:00"/>
  </r>
  <r>
    <s v="ORD200590"/>
    <d v="2023-09-10T00:00:00"/>
    <s v="C55757"/>
    <x v="4"/>
    <n v="2"/>
    <n v="461.13"/>
    <x v="3"/>
    <x v="2"/>
    <n v="4"/>
    <m/>
    <x v="2"/>
    <n v="922.26"/>
    <s v="Electronics"/>
    <s v="Medium"/>
    <n v="80000"/>
    <n v="922.26"/>
    <x v="24"/>
    <d v="2023-09-01T00:00:00"/>
  </r>
  <r>
    <s v="ORD200591"/>
    <d v="2024-11-18T00:00:00"/>
    <s v="C18187"/>
    <x v="5"/>
    <n v="1"/>
    <n v="605.28"/>
    <x v="3"/>
    <x v="0"/>
    <n v="3"/>
    <s v="FREESHIP"/>
    <x v="1"/>
    <n v="605.28"/>
    <s v="Electronics"/>
    <s v="High"/>
    <n v="150000"/>
    <n v="605.28"/>
    <x v="16"/>
    <d v="2024-11-01T00:00:00"/>
  </r>
  <r>
    <s v="ORD200592"/>
    <d v="2024-04-23T00:00:00"/>
    <s v="C42306"/>
    <x v="1"/>
    <n v="3"/>
    <n v="204.27"/>
    <x v="1"/>
    <x v="2"/>
    <n v="4"/>
    <m/>
    <x v="4"/>
    <n v="612.81000000000006"/>
    <s v="Electronics"/>
    <s v="High"/>
    <n v="120000"/>
    <n v="612.81000000000006"/>
    <x v="28"/>
    <d v="2024-04-01T00:00:00"/>
  </r>
  <r>
    <s v="ORD200593"/>
    <d v="2023-08-02T00:00:00"/>
    <s v="C51024"/>
    <x v="0"/>
    <n v="1"/>
    <n v="489.8"/>
    <x v="3"/>
    <x v="0"/>
    <n v="4"/>
    <s v="FREESHIP"/>
    <x v="3"/>
    <n v="489.8"/>
    <s v="Electronics"/>
    <s v="Medium"/>
    <n v="90000"/>
    <n v="489.8"/>
    <x v="11"/>
    <d v="2023-08-01T00:00:00"/>
  </r>
  <r>
    <s v="ORD200594"/>
    <d v="2024-02-21T00:00:00"/>
    <s v="C40140"/>
    <x v="1"/>
    <n v="5"/>
    <n v="72.64"/>
    <x v="2"/>
    <x v="1"/>
    <n v="7"/>
    <m/>
    <x v="2"/>
    <n v="363.2"/>
    <s v="Electronics"/>
    <s v="High"/>
    <n v="120000"/>
    <n v="363.2"/>
    <x v="2"/>
    <d v="2024-02-01T00:00:00"/>
  </r>
  <r>
    <s v="ORD200595"/>
    <d v="2025-01-10T00:00:00"/>
    <s v="C72596"/>
    <x v="4"/>
    <n v="2"/>
    <n v="385.16"/>
    <x v="1"/>
    <x v="4"/>
    <n v="7"/>
    <s v="SAVE10"/>
    <x v="2"/>
    <n v="770.32"/>
    <s v="Electronics"/>
    <s v="Medium"/>
    <n v="80000"/>
    <n v="770.32"/>
    <x v="27"/>
    <d v="2025-01-01T00:00:00"/>
  </r>
  <r>
    <s v="ORD200596"/>
    <d v="2023-06-12T00:00:00"/>
    <s v="C91805"/>
    <x v="6"/>
    <n v="3"/>
    <n v="606.41"/>
    <x v="0"/>
    <x v="2"/>
    <n v="7"/>
    <s v="FREESHIP"/>
    <x v="3"/>
    <n v="1819.23"/>
    <s v="Furniture"/>
    <s v="High"/>
    <n v="75000"/>
    <n v="1819.23"/>
    <x v="19"/>
    <d v="2023-06-01T00:00:00"/>
  </r>
  <r>
    <s v="ORD200597"/>
    <d v="2024-11-25T00:00:00"/>
    <s v="C40538"/>
    <x v="6"/>
    <n v="2"/>
    <n v="211.82"/>
    <x v="3"/>
    <x v="1"/>
    <n v="4"/>
    <s v="WINTER15"/>
    <x v="2"/>
    <n v="423.64"/>
    <s v="Furniture"/>
    <s v="High"/>
    <n v="75000"/>
    <n v="423.64"/>
    <x v="16"/>
    <d v="2024-11-01T00:00:00"/>
  </r>
  <r>
    <s v="ORD200598"/>
    <d v="2024-04-26T00:00:00"/>
    <s v="C60329"/>
    <x v="6"/>
    <n v="5"/>
    <n v="495.35"/>
    <x v="2"/>
    <x v="4"/>
    <n v="5"/>
    <m/>
    <x v="3"/>
    <n v="2476.75"/>
    <s v="Furniture"/>
    <s v="High"/>
    <n v="75000"/>
    <n v="2476.75"/>
    <x v="28"/>
    <d v="2024-04-01T00:00:00"/>
  </r>
  <r>
    <s v="ORD200599"/>
    <d v="2023-06-30T00:00:00"/>
    <s v="C28740"/>
    <x v="3"/>
    <n v="3"/>
    <n v="556.99"/>
    <x v="1"/>
    <x v="1"/>
    <n v="4"/>
    <s v="FREESHIP"/>
    <x v="3"/>
    <n v="1670.97"/>
    <s v="Furniture"/>
    <s v="Medium"/>
    <n v="70000"/>
    <n v="1670.97"/>
    <x v="19"/>
    <d v="2023-06-01T00:00:00"/>
  </r>
  <r>
    <s v="ORD200600"/>
    <d v="2023-05-26T00:00:00"/>
    <s v="C87051"/>
    <x v="4"/>
    <n v="1"/>
    <n v="72.31"/>
    <x v="3"/>
    <x v="1"/>
    <n v="1"/>
    <s v="FREESHIP"/>
    <x v="3"/>
    <n v="72.31"/>
    <s v="Electronics"/>
    <s v="Medium"/>
    <n v="80000"/>
    <n v="72.31"/>
    <x v="6"/>
    <d v="2023-05-01T00:00:00"/>
  </r>
  <r>
    <s v="ORD200601"/>
    <d v="2023-10-02T00:00:00"/>
    <s v="C12479"/>
    <x v="0"/>
    <n v="5"/>
    <n v="24.82"/>
    <x v="2"/>
    <x v="0"/>
    <n v="10"/>
    <m/>
    <x v="1"/>
    <n v="124.1"/>
    <s v="Electronics"/>
    <s v="Medium"/>
    <n v="90000"/>
    <n v="124.1"/>
    <x v="3"/>
    <d v="2023-10-01T00:00:00"/>
  </r>
  <r>
    <s v="ORD200602"/>
    <d v="2024-03-05T00:00:00"/>
    <s v="C35852"/>
    <x v="2"/>
    <n v="4"/>
    <n v="26.04"/>
    <x v="1"/>
    <x v="4"/>
    <n v="5"/>
    <s v="SAVE10"/>
    <x v="0"/>
    <n v="104.16"/>
    <s v="Electronics"/>
    <s v="Medium"/>
    <n v="100000"/>
    <n v="104.16"/>
    <x v="14"/>
    <d v="2024-03-01T00:00:00"/>
  </r>
  <r>
    <s v="ORD200603"/>
    <d v="2024-10-04T00:00:00"/>
    <s v="C26223"/>
    <x v="2"/>
    <n v="1"/>
    <n v="657.07"/>
    <x v="4"/>
    <x v="4"/>
    <n v="4"/>
    <s v="SAVE10"/>
    <x v="4"/>
    <n v="657.07"/>
    <s v="Electronics"/>
    <s v="Medium"/>
    <n v="100000"/>
    <n v="657.07"/>
    <x v="10"/>
    <d v="2024-10-01T00:00:00"/>
  </r>
  <r>
    <s v="ORD200604"/>
    <d v="2025-06-22T00:00:00"/>
    <s v="C99214"/>
    <x v="3"/>
    <n v="3"/>
    <n v="32.619999999999997"/>
    <x v="0"/>
    <x v="3"/>
    <n v="6"/>
    <m/>
    <x v="3"/>
    <n v="97.859999999999985"/>
    <s v="Furniture"/>
    <s v="Medium"/>
    <n v="70000"/>
    <n v="97.859999999999985"/>
    <x v="5"/>
    <d v="2025-06-01T00:00:00"/>
  </r>
  <r>
    <s v="ORD200605"/>
    <d v="2024-05-10T00:00:00"/>
    <s v="C49605"/>
    <x v="0"/>
    <n v="2"/>
    <n v="228.91"/>
    <x v="0"/>
    <x v="0"/>
    <n v="4"/>
    <s v="SAVE10"/>
    <x v="1"/>
    <n v="457.82"/>
    <s v="Electronics"/>
    <s v="Medium"/>
    <n v="90000"/>
    <n v="457.82"/>
    <x v="22"/>
    <d v="2024-05-01T00:00:00"/>
  </r>
  <r>
    <s v="ORD200606"/>
    <d v="2024-11-06T00:00:00"/>
    <s v="C85018"/>
    <x v="5"/>
    <n v="3"/>
    <n v="274.75"/>
    <x v="4"/>
    <x v="1"/>
    <n v="3"/>
    <s v="SAVE10"/>
    <x v="4"/>
    <n v="824.25"/>
    <s v="Electronics"/>
    <s v="High"/>
    <n v="150000"/>
    <n v="824.25"/>
    <x v="16"/>
    <d v="2024-11-01T00:00:00"/>
  </r>
  <r>
    <s v="ORD200607"/>
    <d v="2025-05-31T00:00:00"/>
    <s v="C96434"/>
    <x v="4"/>
    <n v="4"/>
    <n v="634.04999999999995"/>
    <x v="4"/>
    <x v="0"/>
    <n v="6"/>
    <s v="SAVE10"/>
    <x v="4"/>
    <n v="2536.1999999999998"/>
    <s v="Electronics"/>
    <s v="Medium"/>
    <n v="80000"/>
    <n v="2536.1999999999998"/>
    <x v="4"/>
    <d v="2025-05-01T00:00:00"/>
  </r>
  <r>
    <s v="ORD200608"/>
    <d v="2024-07-24T00:00:00"/>
    <s v="C32956"/>
    <x v="5"/>
    <n v="5"/>
    <n v="543.16"/>
    <x v="1"/>
    <x v="1"/>
    <n v="6"/>
    <s v="SAVE10"/>
    <x v="0"/>
    <n v="2715.8"/>
    <s v="Electronics"/>
    <s v="High"/>
    <n v="150000"/>
    <n v="2715.8"/>
    <x v="17"/>
    <d v="2024-07-01T00:00:00"/>
  </r>
  <r>
    <s v="ORD200609"/>
    <d v="2025-01-27T00:00:00"/>
    <s v="C41137"/>
    <x v="3"/>
    <n v="3"/>
    <n v="449.13"/>
    <x v="4"/>
    <x v="2"/>
    <n v="5"/>
    <s v="WINTER15"/>
    <x v="1"/>
    <n v="1347.39"/>
    <s v="Furniture"/>
    <s v="Medium"/>
    <n v="70000"/>
    <n v="1347.39"/>
    <x v="27"/>
    <d v="2025-01-01T00:00:00"/>
  </r>
  <r>
    <s v="ORD200610"/>
    <d v="2024-06-16T00:00:00"/>
    <s v="C60361"/>
    <x v="6"/>
    <n v="5"/>
    <n v="389.62"/>
    <x v="4"/>
    <x v="2"/>
    <n v="7"/>
    <s v="FREESHIP"/>
    <x v="3"/>
    <n v="1948.1"/>
    <s v="Furniture"/>
    <s v="High"/>
    <n v="75000"/>
    <n v="1948.1"/>
    <x v="23"/>
    <d v="2024-06-01T00:00:00"/>
  </r>
  <r>
    <s v="ORD200611"/>
    <d v="2023-04-21T00:00:00"/>
    <s v="C36688"/>
    <x v="6"/>
    <n v="1"/>
    <n v="305.17"/>
    <x v="3"/>
    <x v="2"/>
    <n v="3"/>
    <s v="WINTER15"/>
    <x v="1"/>
    <n v="305.17"/>
    <s v="Furniture"/>
    <s v="High"/>
    <n v="75000"/>
    <n v="305.17"/>
    <x v="29"/>
    <d v="2023-04-01T00:00:00"/>
  </r>
  <r>
    <s v="ORD200612"/>
    <d v="2023-06-02T00:00:00"/>
    <s v="C51811"/>
    <x v="3"/>
    <n v="3"/>
    <n v="445.12"/>
    <x v="3"/>
    <x v="1"/>
    <n v="8"/>
    <m/>
    <x v="4"/>
    <n v="1335.36"/>
    <s v="Furniture"/>
    <s v="Medium"/>
    <n v="70000"/>
    <n v="1335.36"/>
    <x v="19"/>
    <d v="2023-06-01T00:00:00"/>
  </r>
  <r>
    <s v="ORD200613"/>
    <d v="2024-12-19T00:00:00"/>
    <s v="C62405"/>
    <x v="5"/>
    <n v="2"/>
    <n v="230.36"/>
    <x v="1"/>
    <x v="2"/>
    <n v="4"/>
    <s v="WINTER15"/>
    <x v="2"/>
    <n v="460.72"/>
    <s v="Electronics"/>
    <s v="High"/>
    <n v="150000"/>
    <n v="460.72"/>
    <x v="20"/>
    <d v="2024-12-01T00:00:00"/>
  </r>
  <r>
    <s v="ORD200614"/>
    <d v="2024-03-08T00:00:00"/>
    <s v="C77363"/>
    <x v="1"/>
    <n v="1"/>
    <n v="96.81"/>
    <x v="3"/>
    <x v="1"/>
    <n v="3"/>
    <m/>
    <x v="1"/>
    <n v="96.81"/>
    <s v="Electronics"/>
    <s v="High"/>
    <n v="120000"/>
    <n v="96.81"/>
    <x v="14"/>
    <d v="2024-03-01T00:00:00"/>
  </r>
  <r>
    <s v="ORD200615"/>
    <d v="2025-03-07T00:00:00"/>
    <s v="C97218"/>
    <x v="0"/>
    <n v="5"/>
    <n v="460.14"/>
    <x v="2"/>
    <x v="2"/>
    <n v="10"/>
    <s v="WINTER15"/>
    <x v="3"/>
    <n v="2300.6999999999998"/>
    <s v="Electronics"/>
    <s v="Medium"/>
    <n v="90000"/>
    <n v="2300.6999999999998"/>
    <x v="15"/>
    <d v="2025-03-01T00:00:00"/>
  </r>
  <r>
    <s v="ORD200616"/>
    <d v="2024-10-17T00:00:00"/>
    <s v="C43919"/>
    <x v="2"/>
    <n v="3"/>
    <n v="601.6"/>
    <x v="2"/>
    <x v="1"/>
    <n v="7"/>
    <s v="SAVE10"/>
    <x v="3"/>
    <n v="1804.8"/>
    <s v="Electronics"/>
    <s v="Medium"/>
    <n v="100000"/>
    <n v="1804.8"/>
    <x v="10"/>
    <d v="2024-10-01T00:00:00"/>
  </r>
  <r>
    <s v="ORD200617"/>
    <d v="2024-02-08T00:00:00"/>
    <s v="C57093"/>
    <x v="2"/>
    <n v="3"/>
    <n v="184.47"/>
    <x v="1"/>
    <x v="1"/>
    <n v="4"/>
    <m/>
    <x v="1"/>
    <n v="553.41"/>
    <s v="Electronics"/>
    <s v="Medium"/>
    <n v="100000"/>
    <n v="553.41"/>
    <x v="2"/>
    <d v="2024-02-01T00:00:00"/>
  </r>
  <r>
    <s v="ORD200618"/>
    <d v="2024-09-03T00:00:00"/>
    <s v="C50565"/>
    <x v="2"/>
    <n v="1"/>
    <n v="411.34"/>
    <x v="0"/>
    <x v="2"/>
    <n v="5"/>
    <m/>
    <x v="0"/>
    <n v="411.34"/>
    <s v="Electronics"/>
    <s v="Medium"/>
    <n v="100000"/>
    <n v="411.34"/>
    <x v="18"/>
    <d v="2024-09-01T00:00:00"/>
  </r>
  <r>
    <s v="ORD200619"/>
    <d v="2024-07-16T00:00:00"/>
    <s v="C38845"/>
    <x v="5"/>
    <n v="1"/>
    <n v="532.89"/>
    <x v="3"/>
    <x v="4"/>
    <n v="2"/>
    <m/>
    <x v="1"/>
    <n v="532.89"/>
    <s v="Electronics"/>
    <s v="High"/>
    <n v="150000"/>
    <n v="532.89"/>
    <x v="17"/>
    <d v="2024-07-01T00:00:00"/>
  </r>
  <r>
    <s v="ORD200620"/>
    <d v="2024-03-27T00:00:00"/>
    <s v="C84834"/>
    <x v="2"/>
    <n v="3"/>
    <n v="136.34"/>
    <x v="0"/>
    <x v="2"/>
    <n v="8"/>
    <s v="SAVE10"/>
    <x v="1"/>
    <n v="409.02"/>
    <s v="Electronics"/>
    <s v="Medium"/>
    <n v="100000"/>
    <n v="409.02"/>
    <x v="14"/>
    <d v="2024-03-01T00:00:00"/>
  </r>
  <r>
    <s v="ORD200621"/>
    <d v="2023-10-22T00:00:00"/>
    <s v="C37455"/>
    <x v="1"/>
    <n v="5"/>
    <n v="476.01"/>
    <x v="2"/>
    <x v="3"/>
    <n v="7"/>
    <s v="WINTER15"/>
    <x v="4"/>
    <n v="2380.0500000000002"/>
    <s v="Electronics"/>
    <s v="High"/>
    <n v="120000"/>
    <n v="2380.0500000000002"/>
    <x v="3"/>
    <d v="2023-10-01T00:00:00"/>
  </r>
  <r>
    <s v="ORD200622"/>
    <d v="2024-11-02T00:00:00"/>
    <s v="C27078"/>
    <x v="6"/>
    <n v="5"/>
    <n v="236.38"/>
    <x v="2"/>
    <x v="2"/>
    <n v="7"/>
    <m/>
    <x v="3"/>
    <n v="1181.9000000000001"/>
    <s v="Furniture"/>
    <s v="High"/>
    <n v="75000"/>
    <n v="1181.9000000000001"/>
    <x v="16"/>
    <d v="2024-11-01T00:00:00"/>
  </r>
  <r>
    <s v="ORD200623"/>
    <d v="2023-06-16T00:00:00"/>
    <s v="C91941"/>
    <x v="4"/>
    <n v="3"/>
    <n v="396"/>
    <x v="3"/>
    <x v="1"/>
    <n v="4"/>
    <s v="FREESHIP"/>
    <x v="0"/>
    <n v="1188"/>
    <s v="Electronics"/>
    <s v="Medium"/>
    <n v="80000"/>
    <n v="1188"/>
    <x v="19"/>
    <d v="2023-06-01T00:00:00"/>
  </r>
  <r>
    <s v="ORD200624"/>
    <d v="2024-01-16T00:00:00"/>
    <s v="C25967"/>
    <x v="2"/>
    <n v="5"/>
    <n v="341.96"/>
    <x v="0"/>
    <x v="3"/>
    <n v="6"/>
    <m/>
    <x v="2"/>
    <n v="1709.8"/>
    <s v="Electronics"/>
    <s v="Medium"/>
    <n v="100000"/>
    <n v="1709.8"/>
    <x v="25"/>
    <d v="2024-01-01T00:00:00"/>
  </r>
  <r>
    <s v="ORD200625"/>
    <d v="2023-09-24T00:00:00"/>
    <s v="C22123"/>
    <x v="2"/>
    <n v="1"/>
    <n v="672.89"/>
    <x v="2"/>
    <x v="4"/>
    <n v="1"/>
    <s v="WINTER15"/>
    <x v="2"/>
    <n v="672.89"/>
    <s v="Electronics"/>
    <s v="Medium"/>
    <n v="100000"/>
    <n v="672.89"/>
    <x v="24"/>
    <d v="2023-09-01T00:00:00"/>
  </r>
  <r>
    <s v="ORD200626"/>
    <d v="2024-03-01T00:00:00"/>
    <s v="C45671"/>
    <x v="2"/>
    <n v="2"/>
    <n v="657.48"/>
    <x v="1"/>
    <x v="0"/>
    <n v="5"/>
    <s v="SAVE10"/>
    <x v="1"/>
    <n v="1314.96"/>
    <s v="Electronics"/>
    <s v="Medium"/>
    <n v="100000"/>
    <n v="1314.96"/>
    <x v="14"/>
    <d v="2024-03-01T00:00:00"/>
  </r>
  <r>
    <s v="ORD200627"/>
    <d v="2023-08-06T00:00:00"/>
    <s v="C53334"/>
    <x v="3"/>
    <n v="3"/>
    <n v="498.68"/>
    <x v="1"/>
    <x v="2"/>
    <n v="4"/>
    <s v="FREESHIP"/>
    <x v="2"/>
    <n v="1496.04"/>
    <s v="Furniture"/>
    <s v="Medium"/>
    <n v="70000"/>
    <n v="1496.04"/>
    <x v="11"/>
    <d v="2023-08-01T00:00:00"/>
  </r>
  <r>
    <s v="ORD200628"/>
    <d v="2023-03-26T00:00:00"/>
    <s v="C18717"/>
    <x v="4"/>
    <n v="5"/>
    <n v="558.63"/>
    <x v="4"/>
    <x v="4"/>
    <n v="8"/>
    <s v="FREESHIP"/>
    <x v="1"/>
    <n v="2793.15"/>
    <s v="Electronics"/>
    <s v="Medium"/>
    <n v="80000"/>
    <n v="2793.15"/>
    <x v="12"/>
    <d v="2023-03-01T00:00:00"/>
  </r>
  <r>
    <s v="ORD200629"/>
    <d v="2023-07-07T00:00:00"/>
    <s v="C50137"/>
    <x v="1"/>
    <n v="3"/>
    <n v="19.73"/>
    <x v="1"/>
    <x v="4"/>
    <n v="3"/>
    <m/>
    <x v="1"/>
    <n v="59.19"/>
    <s v="Electronics"/>
    <s v="High"/>
    <n v="120000"/>
    <n v="59.19"/>
    <x v="13"/>
    <d v="2023-07-01T00:00:00"/>
  </r>
  <r>
    <s v="ORD200630"/>
    <d v="2023-06-23T00:00:00"/>
    <s v="C51481"/>
    <x v="0"/>
    <n v="5"/>
    <n v="248.84"/>
    <x v="0"/>
    <x v="1"/>
    <n v="10"/>
    <m/>
    <x v="0"/>
    <n v="1244.2"/>
    <s v="Electronics"/>
    <s v="Medium"/>
    <n v="90000"/>
    <n v="1244.2"/>
    <x v="19"/>
    <d v="2023-06-01T00:00:00"/>
  </r>
  <r>
    <s v="ORD200631"/>
    <d v="2024-08-31T00:00:00"/>
    <s v="C99128"/>
    <x v="3"/>
    <n v="3"/>
    <n v="46.11"/>
    <x v="3"/>
    <x v="2"/>
    <n v="5"/>
    <s v="WINTER15"/>
    <x v="1"/>
    <n v="138.33000000000001"/>
    <s v="Furniture"/>
    <s v="Medium"/>
    <n v="70000"/>
    <n v="138.33000000000001"/>
    <x v="1"/>
    <d v="2024-08-01T00:00:00"/>
  </r>
  <r>
    <s v="ORD200632"/>
    <d v="2023-05-02T00:00:00"/>
    <s v="C67260"/>
    <x v="5"/>
    <n v="5"/>
    <n v="678.16"/>
    <x v="3"/>
    <x v="3"/>
    <n v="7"/>
    <s v="WINTER15"/>
    <x v="3"/>
    <n v="3390.8"/>
    <s v="Electronics"/>
    <s v="High"/>
    <n v="150000"/>
    <n v="3390.8"/>
    <x v="6"/>
    <d v="2023-05-01T00:00:00"/>
  </r>
  <r>
    <s v="ORD200633"/>
    <d v="2024-04-10T00:00:00"/>
    <s v="C79533"/>
    <x v="5"/>
    <n v="5"/>
    <n v="601.72"/>
    <x v="3"/>
    <x v="1"/>
    <n v="5"/>
    <s v="WINTER15"/>
    <x v="0"/>
    <n v="3008.6"/>
    <s v="Electronics"/>
    <s v="High"/>
    <n v="150000"/>
    <n v="3008.6"/>
    <x v="28"/>
    <d v="2024-04-01T00:00:00"/>
  </r>
  <r>
    <s v="ORD200634"/>
    <d v="2024-04-25T00:00:00"/>
    <s v="C66906"/>
    <x v="4"/>
    <n v="2"/>
    <n v="259.32"/>
    <x v="3"/>
    <x v="3"/>
    <n v="2"/>
    <s v="WINTER15"/>
    <x v="1"/>
    <n v="518.64"/>
    <s v="Electronics"/>
    <s v="Medium"/>
    <n v="80000"/>
    <n v="518.64"/>
    <x v="28"/>
    <d v="2024-04-01T00:00:00"/>
  </r>
  <r>
    <s v="ORD200635"/>
    <d v="2023-12-13T00:00:00"/>
    <s v="C12818"/>
    <x v="3"/>
    <n v="3"/>
    <n v="63.68"/>
    <x v="4"/>
    <x v="2"/>
    <n v="6"/>
    <m/>
    <x v="3"/>
    <n v="191.04"/>
    <s v="Furniture"/>
    <s v="Medium"/>
    <n v="70000"/>
    <n v="191.04"/>
    <x v="9"/>
    <d v="2023-12-01T00:00:00"/>
  </r>
  <r>
    <s v="ORD200636"/>
    <d v="2023-10-05T00:00:00"/>
    <s v="C60384"/>
    <x v="5"/>
    <n v="4"/>
    <n v="371.07"/>
    <x v="4"/>
    <x v="1"/>
    <n v="7"/>
    <s v="WINTER15"/>
    <x v="3"/>
    <n v="1484.28"/>
    <s v="Electronics"/>
    <s v="High"/>
    <n v="150000"/>
    <n v="1484.28"/>
    <x v="3"/>
    <d v="2023-10-01T00:00:00"/>
  </r>
  <r>
    <s v="ORD200637"/>
    <d v="2024-09-29T00:00:00"/>
    <s v="C92294"/>
    <x v="3"/>
    <n v="4"/>
    <n v="306.35000000000002"/>
    <x v="3"/>
    <x v="0"/>
    <n v="7"/>
    <s v="WINTER15"/>
    <x v="1"/>
    <n v="1225.4000000000001"/>
    <s v="Furniture"/>
    <s v="Medium"/>
    <n v="70000"/>
    <n v="1225.4000000000001"/>
    <x v="18"/>
    <d v="2024-09-01T00:00:00"/>
  </r>
  <r>
    <s v="ORD200638"/>
    <d v="2023-10-15T00:00:00"/>
    <s v="C66840"/>
    <x v="2"/>
    <n v="4"/>
    <n v="578.27"/>
    <x v="1"/>
    <x v="3"/>
    <n v="9"/>
    <s v="WINTER15"/>
    <x v="2"/>
    <n v="2313.08"/>
    <s v="Electronics"/>
    <s v="Medium"/>
    <n v="100000"/>
    <n v="2313.08"/>
    <x v="3"/>
    <d v="2023-10-01T00:00:00"/>
  </r>
  <r>
    <s v="ORD200639"/>
    <d v="2023-01-20T00:00:00"/>
    <s v="C22534"/>
    <x v="3"/>
    <n v="1"/>
    <n v="529.19000000000005"/>
    <x v="4"/>
    <x v="1"/>
    <n v="5"/>
    <m/>
    <x v="1"/>
    <n v="529.19000000000005"/>
    <s v="Furniture"/>
    <s v="Medium"/>
    <n v="70000"/>
    <n v="529.19000000000005"/>
    <x v="0"/>
    <d v="2023-01-01T00:00:00"/>
  </r>
  <r>
    <s v="ORD200640"/>
    <d v="2024-02-27T00:00:00"/>
    <s v="C46509"/>
    <x v="3"/>
    <n v="2"/>
    <n v="587.49"/>
    <x v="3"/>
    <x v="2"/>
    <n v="6"/>
    <s v="SAVE10"/>
    <x v="1"/>
    <n v="1174.98"/>
    <s v="Furniture"/>
    <s v="Medium"/>
    <n v="70000"/>
    <n v="1174.98"/>
    <x v="2"/>
    <d v="2024-02-01T00:00:00"/>
  </r>
  <r>
    <s v="ORD200641"/>
    <d v="2024-06-30T00:00:00"/>
    <s v="C71680"/>
    <x v="4"/>
    <n v="4"/>
    <n v="567.57000000000005"/>
    <x v="0"/>
    <x v="4"/>
    <n v="9"/>
    <s v="WINTER15"/>
    <x v="4"/>
    <n v="2270.2800000000002"/>
    <s v="Electronics"/>
    <s v="Medium"/>
    <n v="80000"/>
    <n v="2270.2800000000002"/>
    <x v="23"/>
    <d v="2024-06-01T00:00:00"/>
  </r>
  <r>
    <s v="ORD200642"/>
    <d v="2024-04-29T00:00:00"/>
    <s v="C15063"/>
    <x v="3"/>
    <n v="5"/>
    <n v="85.22"/>
    <x v="2"/>
    <x v="1"/>
    <n v="7"/>
    <s v="FREESHIP"/>
    <x v="2"/>
    <n v="426.1"/>
    <s v="Furniture"/>
    <s v="Medium"/>
    <n v="70000"/>
    <n v="426.1"/>
    <x v="28"/>
    <d v="2024-04-01T00:00:00"/>
  </r>
  <r>
    <s v="ORD200643"/>
    <d v="2024-08-26T00:00:00"/>
    <s v="C77122"/>
    <x v="5"/>
    <n v="1"/>
    <n v="438.37"/>
    <x v="4"/>
    <x v="1"/>
    <n v="4"/>
    <s v="SAVE10"/>
    <x v="1"/>
    <n v="438.37"/>
    <s v="Electronics"/>
    <s v="High"/>
    <n v="150000"/>
    <n v="438.37"/>
    <x v="1"/>
    <d v="2024-08-01T00:00:00"/>
  </r>
  <r>
    <s v="ORD200644"/>
    <d v="2023-11-15T00:00:00"/>
    <s v="C86524"/>
    <x v="3"/>
    <n v="2"/>
    <n v="366.23"/>
    <x v="4"/>
    <x v="0"/>
    <n v="2"/>
    <s v="WINTER15"/>
    <x v="2"/>
    <n v="732.46"/>
    <s v="Furniture"/>
    <s v="Medium"/>
    <n v="70000"/>
    <n v="732.46"/>
    <x v="8"/>
    <d v="2023-11-01T00:00:00"/>
  </r>
  <r>
    <s v="ORD200645"/>
    <d v="2023-01-02T00:00:00"/>
    <s v="C82990"/>
    <x v="5"/>
    <n v="2"/>
    <n v="150.05000000000001"/>
    <x v="2"/>
    <x v="1"/>
    <n v="4"/>
    <s v="SAVE10"/>
    <x v="3"/>
    <n v="300.10000000000002"/>
    <s v="Electronics"/>
    <s v="High"/>
    <n v="150000"/>
    <n v="300.10000000000002"/>
    <x v="0"/>
    <d v="2023-01-01T00:00:00"/>
  </r>
  <r>
    <s v="ORD200646"/>
    <d v="2023-10-27T00:00:00"/>
    <s v="C98761"/>
    <x v="3"/>
    <n v="4"/>
    <n v="498.51"/>
    <x v="0"/>
    <x v="0"/>
    <n v="4"/>
    <s v="SAVE10"/>
    <x v="4"/>
    <n v="1994.04"/>
    <s v="Furniture"/>
    <s v="Medium"/>
    <n v="70000"/>
    <n v="1994.04"/>
    <x v="3"/>
    <d v="2023-10-01T00:00:00"/>
  </r>
  <r>
    <s v="ORD200647"/>
    <d v="2025-04-24T00:00:00"/>
    <s v="C54409"/>
    <x v="6"/>
    <n v="3"/>
    <n v="339.39"/>
    <x v="4"/>
    <x v="2"/>
    <n v="7"/>
    <s v="FREESHIP"/>
    <x v="4"/>
    <n v="1018.17"/>
    <s v="Furniture"/>
    <s v="High"/>
    <n v="75000"/>
    <n v="1018.17"/>
    <x v="7"/>
    <d v="2025-04-01T00:00:00"/>
  </r>
  <r>
    <s v="ORD200648"/>
    <d v="2025-01-18T00:00:00"/>
    <s v="C89674"/>
    <x v="0"/>
    <n v="2"/>
    <n v="575.83000000000004"/>
    <x v="1"/>
    <x v="3"/>
    <n v="3"/>
    <s v="WINTER15"/>
    <x v="1"/>
    <n v="1151.6600000000001"/>
    <s v="Electronics"/>
    <s v="Medium"/>
    <n v="90000"/>
    <n v="1151.6600000000001"/>
    <x v="27"/>
    <d v="2025-01-01T00:00:00"/>
  </r>
  <r>
    <s v="ORD200649"/>
    <d v="2023-12-23T00:00:00"/>
    <s v="C45899"/>
    <x v="0"/>
    <n v="2"/>
    <n v="642.98"/>
    <x v="0"/>
    <x v="2"/>
    <n v="7"/>
    <s v="FREESHIP"/>
    <x v="2"/>
    <n v="1285.96"/>
    <s v="Electronics"/>
    <s v="Medium"/>
    <n v="90000"/>
    <n v="1285.96"/>
    <x v="9"/>
    <d v="2023-12-01T00:00:00"/>
  </r>
  <r>
    <s v="ORD200650"/>
    <d v="2023-05-18T00:00:00"/>
    <s v="C74499"/>
    <x v="6"/>
    <n v="2"/>
    <n v="372.23"/>
    <x v="3"/>
    <x v="3"/>
    <n v="7"/>
    <s v="SAVE10"/>
    <x v="2"/>
    <n v="744.46"/>
    <s v="Furniture"/>
    <s v="High"/>
    <n v="75000"/>
    <n v="744.46"/>
    <x v="6"/>
    <d v="2023-05-01T00:00:00"/>
  </r>
  <r>
    <s v="ORD200651"/>
    <d v="2024-11-12T00:00:00"/>
    <s v="C81192"/>
    <x v="3"/>
    <n v="3"/>
    <n v="646.34"/>
    <x v="0"/>
    <x v="4"/>
    <n v="5"/>
    <m/>
    <x v="4"/>
    <n v="1939.02"/>
    <s v="Furniture"/>
    <s v="Medium"/>
    <n v="70000"/>
    <n v="1939.02"/>
    <x v="16"/>
    <d v="2024-11-01T00:00:00"/>
  </r>
  <r>
    <s v="ORD200652"/>
    <d v="2024-06-05T00:00:00"/>
    <s v="C71473"/>
    <x v="3"/>
    <n v="5"/>
    <n v="341.84"/>
    <x v="1"/>
    <x v="0"/>
    <n v="8"/>
    <s v="FREESHIP"/>
    <x v="0"/>
    <n v="1709.2"/>
    <s v="Furniture"/>
    <s v="Medium"/>
    <n v="70000"/>
    <n v="1709.2"/>
    <x v="23"/>
    <d v="2024-06-01T00:00:00"/>
  </r>
  <r>
    <s v="ORD200653"/>
    <d v="2024-02-25T00:00:00"/>
    <s v="C59338"/>
    <x v="4"/>
    <n v="3"/>
    <n v="690.3"/>
    <x v="2"/>
    <x v="0"/>
    <n v="6"/>
    <s v="WINTER15"/>
    <x v="4"/>
    <n v="2070.9"/>
    <s v="Electronics"/>
    <s v="Medium"/>
    <n v="80000"/>
    <n v="2070.9"/>
    <x v="2"/>
    <d v="2024-02-01T00:00:00"/>
  </r>
  <r>
    <s v="ORD200654"/>
    <d v="2023-06-12T00:00:00"/>
    <s v="C62661"/>
    <x v="2"/>
    <n v="3"/>
    <n v="382.37"/>
    <x v="0"/>
    <x v="2"/>
    <n v="8"/>
    <m/>
    <x v="0"/>
    <n v="1147.1099999999999"/>
    <s v="Electronics"/>
    <s v="Medium"/>
    <n v="100000"/>
    <n v="1147.1099999999999"/>
    <x v="19"/>
    <d v="2023-06-01T00:00:00"/>
  </r>
  <r>
    <s v="ORD200655"/>
    <d v="2023-03-14T00:00:00"/>
    <s v="C22101"/>
    <x v="3"/>
    <n v="2"/>
    <n v="132.6"/>
    <x v="0"/>
    <x v="1"/>
    <n v="4"/>
    <s v="WINTER15"/>
    <x v="2"/>
    <n v="265.2"/>
    <s v="Furniture"/>
    <s v="Medium"/>
    <n v="70000"/>
    <n v="265.2"/>
    <x v="12"/>
    <d v="2023-03-01T00:00:00"/>
  </r>
  <r>
    <s v="ORD200656"/>
    <d v="2024-01-18T00:00:00"/>
    <s v="C51404"/>
    <x v="0"/>
    <n v="2"/>
    <n v="189.06"/>
    <x v="3"/>
    <x v="0"/>
    <n v="7"/>
    <s v="SAVE10"/>
    <x v="3"/>
    <n v="378.12"/>
    <s v="Electronics"/>
    <s v="Medium"/>
    <n v="90000"/>
    <n v="378.12"/>
    <x v="25"/>
    <d v="2024-01-01T00:00:00"/>
  </r>
  <r>
    <s v="ORD200657"/>
    <d v="2023-12-24T00:00:00"/>
    <s v="C19384"/>
    <x v="2"/>
    <n v="4"/>
    <n v="87.79"/>
    <x v="4"/>
    <x v="1"/>
    <n v="6"/>
    <s v="FREESHIP"/>
    <x v="0"/>
    <n v="351.16"/>
    <s v="Electronics"/>
    <s v="Medium"/>
    <n v="100000"/>
    <n v="351.16"/>
    <x v="9"/>
    <d v="2023-12-01T00:00:00"/>
  </r>
  <r>
    <s v="ORD200658"/>
    <d v="2025-04-18T00:00:00"/>
    <s v="C86864"/>
    <x v="4"/>
    <n v="2"/>
    <n v="46.36"/>
    <x v="3"/>
    <x v="2"/>
    <n v="4"/>
    <s v="SAVE10"/>
    <x v="4"/>
    <n v="92.72"/>
    <s v="Electronics"/>
    <s v="Medium"/>
    <n v="80000"/>
    <n v="92.72"/>
    <x v="7"/>
    <d v="2025-04-01T00:00:00"/>
  </r>
  <r>
    <s v="ORD200659"/>
    <d v="2024-10-26T00:00:00"/>
    <s v="C24301"/>
    <x v="1"/>
    <n v="2"/>
    <n v="642.04"/>
    <x v="3"/>
    <x v="3"/>
    <n v="4"/>
    <s v="WINTER15"/>
    <x v="2"/>
    <n v="1284.08"/>
    <s v="Electronics"/>
    <s v="High"/>
    <n v="120000"/>
    <n v="1284.08"/>
    <x v="10"/>
    <d v="2024-10-01T00:00:00"/>
  </r>
  <r>
    <s v="ORD200660"/>
    <d v="2024-10-19T00:00:00"/>
    <s v="C43842"/>
    <x v="3"/>
    <n v="2"/>
    <n v="651.57000000000005"/>
    <x v="0"/>
    <x v="0"/>
    <n v="7"/>
    <s v="WINTER15"/>
    <x v="3"/>
    <n v="1303.1400000000001"/>
    <s v="Furniture"/>
    <s v="Medium"/>
    <n v="70000"/>
    <n v="1303.1400000000001"/>
    <x v="10"/>
    <d v="2024-10-01T00:00:00"/>
  </r>
  <r>
    <s v="ORD200661"/>
    <d v="2025-02-28T00:00:00"/>
    <s v="C63657"/>
    <x v="2"/>
    <n v="3"/>
    <n v="424.89"/>
    <x v="0"/>
    <x v="1"/>
    <n v="6"/>
    <s v="FREESHIP"/>
    <x v="4"/>
    <n v="1274.67"/>
    <s v="Electronics"/>
    <s v="Medium"/>
    <n v="100000"/>
    <n v="1274.67"/>
    <x v="21"/>
    <d v="2025-02-01T00:00:00"/>
  </r>
  <r>
    <s v="ORD200662"/>
    <d v="2023-01-28T00:00:00"/>
    <s v="C98332"/>
    <x v="5"/>
    <n v="3"/>
    <n v="438.89"/>
    <x v="4"/>
    <x v="2"/>
    <n v="3"/>
    <m/>
    <x v="3"/>
    <n v="1316.67"/>
    <s v="Electronics"/>
    <s v="High"/>
    <n v="150000"/>
    <n v="1316.67"/>
    <x v="0"/>
    <d v="2023-01-01T00:00:00"/>
  </r>
  <r>
    <s v="ORD200663"/>
    <d v="2024-04-15T00:00:00"/>
    <s v="C59774"/>
    <x v="0"/>
    <n v="1"/>
    <n v="72.599999999999994"/>
    <x v="0"/>
    <x v="1"/>
    <n v="6"/>
    <s v="FREESHIP"/>
    <x v="0"/>
    <n v="72.599999999999994"/>
    <s v="Electronics"/>
    <s v="Medium"/>
    <n v="90000"/>
    <n v="72.599999999999994"/>
    <x v="28"/>
    <d v="2024-04-01T00:00:00"/>
  </r>
  <r>
    <s v="ORD200664"/>
    <d v="2024-12-19T00:00:00"/>
    <s v="C14847"/>
    <x v="5"/>
    <n v="4"/>
    <n v="194.75"/>
    <x v="4"/>
    <x v="0"/>
    <n v="5"/>
    <m/>
    <x v="3"/>
    <n v="779"/>
    <s v="Electronics"/>
    <s v="High"/>
    <n v="150000"/>
    <n v="779"/>
    <x v="20"/>
    <d v="2024-12-01T00:00:00"/>
  </r>
  <r>
    <s v="ORD200665"/>
    <d v="2023-05-02T00:00:00"/>
    <s v="C83653"/>
    <x v="2"/>
    <n v="4"/>
    <n v="231.26"/>
    <x v="1"/>
    <x v="0"/>
    <n v="6"/>
    <s v="WINTER15"/>
    <x v="4"/>
    <n v="925.04"/>
    <s v="Electronics"/>
    <s v="Medium"/>
    <n v="100000"/>
    <n v="925.04"/>
    <x v="6"/>
    <d v="2023-05-01T00:00:00"/>
  </r>
  <r>
    <s v="ORD200666"/>
    <d v="2024-08-31T00:00:00"/>
    <s v="C35711"/>
    <x v="0"/>
    <n v="4"/>
    <n v="327.12"/>
    <x v="2"/>
    <x v="1"/>
    <n v="4"/>
    <m/>
    <x v="2"/>
    <n v="1308.48"/>
    <s v="Electronics"/>
    <s v="Medium"/>
    <n v="90000"/>
    <n v="1308.48"/>
    <x v="1"/>
    <d v="2024-08-01T00:00:00"/>
  </r>
  <r>
    <s v="ORD200667"/>
    <d v="2023-05-03T00:00:00"/>
    <s v="C10477"/>
    <x v="5"/>
    <n v="1"/>
    <n v="466.42"/>
    <x v="3"/>
    <x v="4"/>
    <n v="5"/>
    <s v="SAVE10"/>
    <x v="2"/>
    <n v="466.42"/>
    <s v="Electronics"/>
    <s v="High"/>
    <n v="150000"/>
    <n v="466.42"/>
    <x v="6"/>
    <d v="2023-05-01T00:00:00"/>
  </r>
  <r>
    <s v="ORD200668"/>
    <d v="2024-07-05T00:00:00"/>
    <s v="C61257"/>
    <x v="0"/>
    <n v="2"/>
    <n v="253.67"/>
    <x v="4"/>
    <x v="2"/>
    <n v="3"/>
    <s v="WINTER15"/>
    <x v="3"/>
    <n v="507.34"/>
    <s v="Electronics"/>
    <s v="Medium"/>
    <n v="90000"/>
    <n v="507.34"/>
    <x v="17"/>
    <d v="2024-07-01T00:00:00"/>
  </r>
  <r>
    <s v="ORD200669"/>
    <d v="2023-02-05T00:00:00"/>
    <s v="C60547"/>
    <x v="6"/>
    <n v="1"/>
    <n v="257"/>
    <x v="0"/>
    <x v="1"/>
    <n v="5"/>
    <m/>
    <x v="1"/>
    <n v="257"/>
    <s v="Furniture"/>
    <s v="High"/>
    <n v="75000"/>
    <n v="257"/>
    <x v="26"/>
    <d v="2023-02-01T00:00:00"/>
  </r>
  <r>
    <s v="ORD200670"/>
    <d v="2024-04-18T00:00:00"/>
    <s v="C14576"/>
    <x v="6"/>
    <n v="4"/>
    <n v="539.20000000000005"/>
    <x v="2"/>
    <x v="4"/>
    <n v="8"/>
    <s v="FREESHIP"/>
    <x v="4"/>
    <n v="2156.8000000000002"/>
    <s v="Furniture"/>
    <s v="High"/>
    <n v="75000"/>
    <n v="2156.8000000000002"/>
    <x v="28"/>
    <d v="2024-04-01T00:00:00"/>
  </r>
  <r>
    <s v="ORD200671"/>
    <d v="2023-06-15T00:00:00"/>
    <s v="C49282"/>
    <x v="3"/>
    <n v="5"/>
    <n v="50.74"/>
    <x v="3"/>
    <x v="1"/>
    <n v="7"/>
    <s v="WINTER15"/>
    <x v="4"/>
    <n v="253.7"/>
    <s v="Furniture"/>
    <s v="Medium"/>
    <n v="70000"/>
    <n v="253.7"/>
    <x v="19"/>
    <d v="2023-06-01T00:00:00"/>
  </r>
  <r>
    <s v="ORD200672"/>
    <d v="2023-05-09T00:00:00"/>
    <s v="C14017"/>
    <x v="1"/>
    <n v="2"/>
    <n v="624.16"/>
    <x v="0"/>
    <x v="0"/>
    <n v="2"/>
    <s v="SAVE10"/>
    <x v="0"/>
    <n v="1248.32"/>
    <s v="Electronics"/>
    <s v="High"/>
    <n v="120000"/>
    <n v="1248.32"/>
    <x v="6"/>
    <d v="2023-05-01T00:00:00"/>
  </r>
  <r>
    <s v="ORD200673"/>
    <d v="2023-02-21T00:00:00"/>
    <s v="C46504"/>
    <x v="2"/>
    <n v="2"/>
    <n v="372.92"/>
    <x v="2"/>
    <x v="3"/>
    <n v="7"/>
    <s v="SAVE10"/>
    <x v="2"/>
    <n v="745.84"/>
    <s v="Electronics"/>
    <s v="Medium"/>
    <n v="100000"/>
    <n v="745.84"/>
    <x v="26"/>
    <d v="2023-02-01T00:00:00"/>
  </r>
  <r>
    <s v="ORD200674"/>
    <d v="2024-01-09T00:00:00"/>
    <s v="C56928"/>
    <x v="5"/>
    <n v="4"/>
    <n v="358.75"/>
    <x v="3"/>
    <x v="3"/>
    <n v="9"/>
    <s v="SAVE10"/>
    <x v="3"/>
    <n v="1435"/>
    <s v="Electronics"/>
    <s v="High"/>
    <n v="150000"/>
    <n v="1435"/>
    <x v="25"/>
    <d v="2024-01-01T00:00:00"/>
  </r>
  <r>
    <s v="ORD200675"/>
    <d v="2024-08-06T00:00:00"/>
    <s v="C97749"/>
    <x v="6"/>
    <n v="3"/>
    <n v="342.02"/>
    <x v="0"/>
    <x v="4"/>
    <n v="5"/>
    <m/>
    <x v="2"/>
    <n v="1026.06"/>
    <s v="Furniture"/>
    <s v="High"/>
    <n v="75000"/>
    <n v="1026.06"/>
    <x v="1"/>
    <d v="2024-08-01T00:00:00"/>
  </r>
  <r>
    <s v="ORD200676"/>
    <d v="2025-06-23T00:00:00"/>
    <s v="C90431"/>
    <x v="5"/>
    <n v="2"/>
    <n v="422.34"/>
    <x v="2"/>
    <x v="1"/>
    <n v="4"/>
    <s v="FREESHIP"/>
    <x v="0"/>
    <n v="844.68"/>
    <s v="Electronics"/>
    <s v="High"/>
    <n v="150000"/>
    <n v="844.68"/>
    <x v="5"/>
    <d v="2025-06-01T00:00:00"/>
  </r>
  <r>
    <s v="ORD200677"/>
    <d v="2025-04-03T00:00:00"/>
    <s v="C56722"/>
    <x v="2"/>
    <n v="5"/>
    <n v="22.07"/>
    <x v="1"/>
    <x v="1"/>
    <n v="7"/>
    <s v="FREESHIP"/>
    <x v="0"/>
    <n v="110.35"/>
    <s v="Electronics"/>
    <s v="Medium"/>
    <n v="100000"/>
    <n v="110.35"/>
    <x v="7"/>
    <d v="2025-04-01T00:00:00"/>
  </r>
  <r>
    <s v="ORD200678"/>
    <d v="2024-11-24T00:00:00"/>
    <s v="C40863"/>
    <x v="3"/>
    <n v="3"/>
    <n v="163.13"/>
    <x v="3"/>
    <x v="0"/>
    <n v="5"/>
    <s v="WINTER15"/>
    <x v="3"/>
    <n v="489.39"/>
    <s v="Furniture"/>
    <s v="Medium"/>
    <n v="70000"/>
    <n v="489.39"/>
    <x v="16"/>
    <d v="2024-11-01T00:00:00"/>
  </r>
  <r>
    <s v="ORD200679"/>
    <d v="2023-02-02T00:00:00"/>
    <s v="C40798"/>
    <x v="2"/>
    <n v="3"/>
    <n v="360.66"/>
    <x v="1"/>
    <x v="2"/>
    <n v="5"/>
    <s v="FREESHIP"/>
    <x v="0"/>
    <n v="1081.98"/>
    <s v="Electronics"/>
    <s v="Medium"/>
    <n v="100000"/>
    <n v="1081.98"/>
    <x v="26"/>
    <d v="2023-02-01T00:00:00"/>
  </r>
  <r>
    <s v="ORD200680"/>
    <d v="2023-08-27T00:00:00"/>
    <s v="C16702"/>
    <x v="0"/>
    <n v="3"/>
    <n v="463.39"/>
    <x v="2"/>
    <x v="2"/>
    <n v="3"/>
    <m/>
    <x v="3"/>
    <n v="1390.17"/>
    <s v="Electronics"/>
    <s v="Medium"/>
    <n v="90000"/>
    <n v="1390.17"/>
    <x v="11"/>
    <d v="2023-08-01T00:00:00"/>
  </r>
  <r>
    <s v="ORD200681"/>
    <d v="2024-01-30T00:00:00"/>
    <s v="C38262"/>
    <x v="2"/>
    <n v="1"/>
    <n v="155.27000000000001"/>
    <x v="0"/>
    <x v="0"/>
    <n v="6"/>
    <m/>
    <x v="2"/>
    <n v="155.27000000000001"/>
    <s v="Electronics"/>
    <s v="Medium"/>
    <n v="100000"/>
    <n v="155.27000000000001"/>
    <x v="25"/>
    <d v="2024-01-01T00:00:00"/>
  </r>
  <r>
    <s v="ORD200682"/>
    <d v="2023-07-23T00:00:00"/>
    <s v="C50274"/>
    <x v="0"/>
    <n v="3"/>
    <n v="509.42"/>
    <x v="2"/>
    <x v="1"/>
    <n v="5"/>
    <s v="FREESHIP"/>
    <x v="4"/>
    <n v="1528.26"/>
    <s v="Electronics"/>
    <s v="Medium"/>
    <n v="90000"/>
    <n v="1528.26"/>
    <x v="13"/>
    <d v="2023-07-01T00:00:00"/>
  </r>
  <r>
    <s v="ORD200683"/>
    <d v="2025-05-18T00:00:00"/>
    <s v="C91591"/>
    <x v="6"/>
    <n v="4"/>
    <n v="652.48"/>
    <x v="4"/>
    <x v="4"/>
    <n v="5"/>
    <s v="FREESHIP"/>
    <x v="0"/>
    <n v="2609.92"/>
    <s v="Furniture"/>
    <s v="High"/>
    <n v="75000"/>
    <n v="2609.92"/>
    <x v="4"/>
    <d v="2025-05-01T00:00:00"/>
  </r>
  <r>
    <s v="ORD200684"/>
    <d v="2024-09-22T00:00:00"/>
    <s v="C96583"/>
    <x v="4"/>
    <n v="4"/>
    <n v="34.840000000000003"/>
    <x v="2"/>
    <x v="0"/>
    <n v="8"/>
    <m/>
    <x v="2"/>
    <n v="139.36000000000001"/>
    <s v="Electronics"/>
    <s v="Medium"/>
    <n v="80000"/>
    <n v="139.36000000000001"/>
    <x v="18"/>
    <d v="2024-09-01T00:00:00"/>
  </r>
  <r>
    <s v="ORD200685"/>
    <d v="2025-02-07T00:00:00"/>
    <s v="C64579"/>
    <x v="6"/>
    <n v="1"/>
    <n v="234.37"/>
    <x v="0"/>
    <x v="0"/>
    <n v="5"/>
    <s v="FREESHIP"/>
    <x v="2"/>
    <n v="234.37"/>
    <s v="Furniture"/>
    <s v="High"/>
    <n v="75000"/>
    <n v="234.37"/>
    <x v="21"/>
    <d v="2025-02-01T00:00:00"/>
  </r>
  <r>
    <s v="ORD200686"/>
    <d v="2023-10-09T00:00:00"/>
    <s v="C41903"/>
    <x v="6"/>
    <n v="3"/>
    <n v="53.6"/>
    <x v="4"/>
    <x v="4"/>
    <n v="4"/>
    <s v="WINTER15"/>
    <x v="3"/>
    <n v="160.80000000000001"/>
    <s v="Furniture"/>
    <s v="High"/>
    <n v="75000"/>
    <n v="160.80000000000001"/>
    <x v="3"/>
    <d v="2023-10-01T00:00:00"/>
  </r>
  <r>
    <s v="ORD200687"/>
    <d v="2023-09-13T00:00:00"/>
    <s v="C19742"/>
    <x v="2"/>
    <n v="1"/>
    <n v="332.09"/>
    <x v="3"/>
    <x v="2"/>
    <n v="5"/>
    <s v="FREESHIP"/>
    <x v="0"/>
    <n v="332.09"/>
    <s v="Electronics"/>
    <s v="Medium"/>
    <n v="100000"/>
    <n v="332.09"/>
    <x v="24"/>
    <d v="2023-09-01T00:00:00"/>
  </r>
  <r>
    <s v="ORD200688"/>
    <d v="2024-03-06T00:00:00"/>
    <s v="C20077"/>
    <x v="0"/>
    <n v="4"/>
    <n v="593.22"/>
    <x v="2"/>
    <x v="1"/>
    <n v="8"/>
    <s v="WINTER15"/>
    <x v="3"/>
    <n v="2372.88"/>
    <s v="Electronics"/>
    <s v="Medium"/>
    <n v="90000"/>
    <n v="2372.88"/>
    <x v="14"/>
    <d v="2024-03-01T00:00:00"/>
  </r>
  <r>
    <s v="ORD200689"/>
    <d v="2023-08-29T00:00:00"/>
    <s v="C13186"/>
    <x v="2"/>
    <n v="2"/>
    <n v="444.84"/>
    <x v="1"/>
    <x v="0"/>
    <n v="7"/>
    <m/>
    <x v="3"/>
    <n v="889.68"/>
    <s v="Electronics"/>
    <s v="Medium"/>
    <n v="100000"/>
    <n v="889.68"/>
    <x v="11"/>
    <d v="2023-08-01T00:00:00"/>
  </r>
  <r>
    <s v="ORD200690"/>
    <d v="2024-07-12T00:00:00"/>
    <s v="C29318"/>
    <x v="0"/>
    <n v="1"/>
    <n v="24.48"/>
    <x v="3"/>
    <x v="2"/>
    <n v="1"/>
    <m/>
    <x v="0"/>
    <n v="24.48"/>
    <s v="Electronics"/>
    <s v="Medium"/>
    <n v="90000"/>
    <n v="24.48"/>
    <x v="17"/>
    <d v="2024-07-01T00:00:00"/>
  </r>
  <r>
    <s v="ORD200691"/>
    <d v="2024-11-24T00:00:00"/>
    <s v="C36137"/>
    <x v="5"/>
    <n v="3"/>
    <n v="239.08"/>
    <x v="4"/>
    <x v="0"/>
    <n v="8"/>
    <m/>
    <x v="4"/>
    <n v="717.24"/>
    <s v="Electronics"/>
    <s v="High"/>
    <n v="150000"/>
    <n v="717.24"/>
    <x v="16"/>
    <d v="2024-11-01T00:00:00"/>
  </r>
  <r>
    <s v="ORD200692"/>
    <d v="2023-01-23T00:00:00"/>
    <s v="C25534"/>
    <x v="6"/>
    <n v="5"/>
    <n v="196.84"/>
    <x v="2"/>
    <x v="3"/>
    <n v="5"/>
    <s v="WINTER15"/>
    <x v="0"/>
    <n v="984.2"/>
    <s v="Furniture"/>
    <s v="High"/>
    <n v="75000"/>
    <n v="984.2"/>
    <x v="0"/>
    <d v="2023-01-01T00:00:00"/>
  </r>
  <r>
    <s v="ORD200693"/>
    <d v="2025-03-12T00:00:00"/>
    <s v="C62070"/>
    <x v="0"/>
    <n v="1"/>
    <n v="176.58"/>
    <x v="0"/>
    <x v="2"/>
    <n v="4"/>
    <m/>
    <x v="1"/>
    <n v="176.58"/>
    <s v="Electronics"/>
    <s v="Medium"/>
    <n v="90000"/>
    <n v="176.58"/>
    <x v="15"/>
    <d v="2025-03-01T00:00:00"/>
  </r>
  <r>
    <s v="ORD200694"/>
    <d v="2023-10-02T00:00:00"/>
    <s v="C92049"/>
    <x v="4"/>
    <n v="4"/>
    <n v="666.52"/>
    <x v="4"/>
    <x v="0"/>
    <n v="8"/>
    <s v="FREESHIP"/>
    <x v="2"/>
    <n v="2666.08"/>
    <s v="Electronics"/>
    <s v="Medium"/>
    <n v="80000"/>
    <n v="2666.08"/>
    <x v="3"/>
    <d v="2023-10-01T00:00:00"/>
  </r>
  <r>
    <s v="ORD200695"/>
    <d v="2024-11-23T00:00:00"/>
    <s v="C52604"/>
    <x v="4"/>
    <n v="5"/>
    <n v="101.3"/>
    <x v="1"/>
    <x v="0"/>
    <n v="7"/>
    <s v="FREESHIP"/>
    <x v="2"/>
    <n v="506.5"/>
    <s v="Electronics"/>
    <s v="Medium"/>
    <n v="80000"/>
    <n v="506.5"/>
    <x v="16"/>
    <d v="2024-11-01T00:00:00"/>
  </r>
  <r>
    <s v="ORD200696"/>
    <d v="2023-07-02T00:00:00"/>
    <s v="C22429"/>
    <x v="3"/>
    <n v="4"/>
    <n v="151.19999999999999"/>
    <x v="3"/>
    <x v="4"/>
    <n v="9"/>
    <s v="WINTER15"/>
    <x v="3"/>
    <n v="604.79999999999995"/>
    <s v="Furniture"/>
    <s v="Medium"/>
    <n v="70000"/>
    <n v="604.79999999999995"/>
    <x v="13"/>
    <d v="2023-07-01T00:00:00"/>
  </r>
  <r>
    <s v="ORD200697"/>
    <d v="2025-02-04T00:00:00"/>
    <s v="C27430"/>
    <x v="4"/>
    <n v="5"/>
    <n v="94.85"/>
    <x v="4"/>
    <x v="0"/>
    <n v="6"/>
    <s v="WINTER15"/>
    <x v="2"/>
    <n v="474.25"/>
    <s v="Electronics"/>
    <s v="Medium"/>
    <n v="80000"/>
    <n v="474.25"/>
    <x v="21"/>
    <d v="2025-02-01T00:00:00"/>
  </r>
  <r>
    <s v="ORD200698"/>
    <d v="2023-01-04T00:00:00"/>
    <s v="C44366"/>
    <x v="5"/>
    <n v="2"/>
    <n v="388.22"/>
    <x v="4"/>
    <x v="3"/>
    <n v="2"/>
    <s v="WINTER15"/>
    <x v="0"/>
    <n v="776.44"/>
    <s v="Electronics"/>
    <s v="High"/>
    <n v="150000"/>
    <n v="776.44"/>
    <x v="0"/>
    <d v="2023-01-01T00:00:00"/>
  </r>
  <r>
    <s v="ORD200699"/>
    <d v="2023-11-13T00:00:00"/>
    <s v="C36813"/>
    <x v="5"/>
    <n v="3"/>
    <n v="614.15"/>
    <x v="3"/>
    <x v="1"/>
    <n v="3"/>
    <m/>
    <x v="3"/>
    <n v="1842.45"/>
    <s v="Electronics"/>
    <s v="High"/>
    <n v="150000"/>
    <n v="1842.45"/>
    <x v="8"/>
    <d v="2023-11-01T00:00:00"/>
  </r>
  <r>
    <s v="ORD200700"/>
    <d v="2024-09-25T00:00:00"/>
    <s v="C40201"/>
    <x v="5"/>
    <n v="2"/>
    <n v="92.91"/>
    <x v="4"/>
    <x v="2"/>
    <n v="3"/>
    <s v="WINTER15"/>
    <x v="0"/>
    <n v="185.82"/>
    <s v="Electronics"/>
    <s v="High"/>
    <n v="150000"/>
    <n v="185.82"/>
    <x v="18"/>
    <d v="2024-09-01T00:00:00"/>
  </r>
  <r>
    <s v="ORD200701"/>
    <d v="2024-06-23T00:00:00"/>
    <s v="C75456"/>
    <x v="0"/>
    <n v="3"/>
    <n v="92.22"/>
    <x v="2"/>
    <x v="3"/>
    <n v="5"/>
    <s v="FREESHIP"/>
    <x v="2"/>
    <n v="276.66000000000003"/>
    <s v="Electronics"/>
    <s v="Medium"/>
    <n v="90000"/>
    <n v="276.66000000000003"/>
    <x v="23"/>
    <d v="2024-06-01T00:00:00"/>
  </r>
  <r>
    <s v="ORD200702"/>
    <d v="2024-06-09T00:00:00"/>
    <s v="C33315"/>
    <x v="4"/>
    <n v="3"/>
    <n v="562.54999999999995"/>
    <x v="0"/>
    <x v="2"/>
    <n v="6"/>
    <m/>
    <x v="2"/>
    <n v="1687.65"/>
    <s v="Electronics"/>
    <s v="Medium"/>
    <n v="80000"/>
    <n v="1687.65"/>
    <x v="23"/>
    <d v="2024-06-01T00:00:00"/>
  </r>
  <r>
    <s v="ORD200703"/>
    <d v="2023-03-22T00:00:00"/>
    <s v="C89336"/>
    <x v="6"/>
    <n v="1"/>
    <n v="92.79"/>
    <x v="4"/>
    <x v="4"/>
    <n v="3"/>
    <s v="WINTER15"/>
    <x v="2"/>
    <n v="92.79"/>
    <s v="Furniture"/>
    <s v="High"/>
    <n v="75000"/>
    <n v="92.79"/>
    <x v="12"/>
    <d v="2023-03-01T00:00:00"/>
  </r>
  <r>
    <s v="ORD200704"/>
    <d v="2023-06-03T00:00:00"/>
    <s v="C96034"/>
    <x v="6"/>
    <n v="4"/>
    <n v="30.27"/>
    <x v="1"/>
    <x v="3"/>
    <n v="9"/>
    <s v="FREESHIP"/>
    <x v="4"/>
    <n v="121.08"/>
    <s v="Furniture"/>
    <s v="High"/>
    <n v="75000"/>
    <n v="121.08"/>
    <x v="19"/>
    <d v="2023-06-01T00:00:00"/>
  </r>
  <r>
    <s v="ORD200705"/>
    <d v="2025-03-30T00:00:00"/>
    <s v="C50114"/>
    <x v="0"/>
    <n v="2"/>
    <n v="49.08"/>
    <x v="0"/>
    <x v="2"/>
    <n v="7"/>
    <s v="FREESHIP"/>
    <x v="0"/>
    <n v="98.16"/>
    <s v="Electronics"/>
    <s v="Medium"/>
    <n v="90000"/>
    <n v="98.16"/>
    <x v="15"/>
    <d v="2025-03-01T00:00:00"/>
  </r>
  <r>
    <s v="ORD200706"/>
    <d v="2025-03-02T00:00:00"/>
    <s v="C85330"/>
    <x v="6"/>
    <n v="5"/>
    <n v="228.09"/>
    <x v="3"/>
    <x v="2"/>
    <n v="9"/>
    <s v="FREESHIP"/>
    <x v="3"/>
    <n v="1140.45"/>
    <s v="Furniture"/>
    <s v="High"/>
    <n v="75000"/>
    <n v="1140.45"/>
    <x v="15"/>
    <d v="2025-03-01T00:00:00"/>
  </r>
  <r>
    <s v="ORD200707"/>
    <d v="2024-11-01T00:00:00"/>
    <s v="C31761"/>
    <x v="3"/>
    <n v="4"/>
    <n v="650.04"/>
    <x v="3"/>
    <x v="1"/>
    <n v="6"/>
    <s v="SAVE10"/>
    <x v="3"/>
    <n v="2600.16"/>
    <s v="Furniture"/>
    <s v="Medium"/>
    <n v="70000"/>
    <n v="2600.16"/>
    <x v="16"/>
    <d v="2024-11-01T00:00:00"/>
  </r>
  <r>
    <s v="ORD200708"/>
    <d v="2025-03-04T00:00:00"/>
    <s v="C25268"/>
    <x v="4"/>
    <n v="1"/>
    <n v="665.11"/>
    <x v="4"/>
    <x v="4"/>
    <n v="3"/>
    <s v="FREESHIP"/>
    <x v="0"/>
    <n v="665.11"/>
    <s v="Electronics"/>
    <s v="Medium"/>
    <n v="80000"/>
    <n v="665.11"/>
    <x v="15"/>
    <d v="2025-03-01T00:00:00"/>
  </r>
  <r>
    <s v="ORD200709"/>
    <d v="2024-12-07T00:00:00"/>
    <s v="C17132"/>
    <x v="6"/>
    <n v="1"/>
    <n v="386.03"/>
    <x v="1"/>
    <x v="4"/>
    <n v="4"/>
    <s v="FREESHIP"/>
    <x v="4"/>
    <n v="386.03"/>
    <s v="Furniture"/>
    <s v="High"/>
    <n v="75000"/>
    <n v="386.03"/>
    <x v="20"/>
    <d v="2024-12-01T00:00:00"/>
  </r>
  <r>
    <s v="ORD200710"/>
    <d v="2024-07-22T00:00:00"/>
    <s v="C48790"/>
    <x v="5"/>
    <n v="5"/>
    <n v="21.54"/>
    <x v="3"/>
    <x v="2"/>
    <n v="10"/>
    <m/>
    <x v="4"/>
    <n v="107.7"/>
    <s v="Electronics"/>
    <s v="High"/>
    <n v="150000"/>
    <n v="107.7"/>
    <x v="17"/>
    <d v="2024-07-01T00:00:00"/>
  </r>
  <r>
    <s v="ORD200711"/>
    <d v="2024-07-04T00:00:00"/>
    <s v="C61070"/>
    <x v="2"/>
    <n v="2"/>
    <n v="475.78"/>
    <x v="1"/>
    <x v="0"/>
    <n v="2"/>
    <s v="WINTER15"/>
    <x v="4"/>
    <n v="951.56"/>
    <s v="Electronics"/>
    <s v="Medium"/>
    <n v="100000"/>
    <n v="951.56"/>
    <x v="17"/>
    <d v="2024-07-01T00:00:00"/>
  </r>
  <r>
    <s v="ORD200712"/>
    <d v="2024-01-09T00:00:00"/>
    <s v="C56969"/>
    <x v="2"/>
    <n v="2"/>
    <n v="68.400000000000006"/>
    <x v="3"/>
    <x v="4"/>
    <n v="7"/>
    <s v="FREESHIP"/>
    <x v="2"/>
    <n v="136.80000000000001"/>
    <s v="Electronics"/>
    <s v="Medium"/>
    <n v="100000"/>
    <n v="136.80000000000001"/>
    <x v="25"/>
    <d v="2024-01-01T00:00:00"/>
  </r>
  <r>
    <s v="ORD200713"/>
    <d v="2025-06-21T00:00:00"/>
    <s v="C65056"/>
    <x v="2"/>
    <n v="4"/>
    <n v="532.49"/>
    <x v="1"/>
    <x v="1"/>
    <n v="6"/>
    <s v="SAVE10"/>
    <x v="3"/>
    <n v="2129.96"/>
    <s v="Electronics"/>
    <s v="Medium"/>
    <n v="100000"/>
    <n v="2129.96"/>
    <x v="5"/>
    <d v="2025-06-01T00:00:00"/>
  </r>
  <r>
    <s v="ORD200714"/>
    <d v="2023-04-21T00:00:00"/>
    <s v="C84888"/>
    <x v="5"/>
    <n v="1"/>
    <n v="51.73"/>
    <x v="0"/>
    <x v="4"/>
    <n v="1"/>
    <s v="FREESHIP"/>
    <x v="3"/>
    <n v="51.73"/>
    <s v="Electronics"/>
    <s v="High"/>
    <n v="150000"/>
    <n v="51.73"/>
    <x v="29"/>
    <d v="2023-04-01T00:00:00"/>
  </r>
  <r>
    <s v="ORD200715"/>
    <d v="2024-07-26T00:00:00"/>
    <s v="C68266"/>
    <x v="4"/>
    <n v="3"/>
    <n v="653.63"/>
    <x v="1"/>
    <x v="3"/>
    <n v="7"/>
    <s v="FREESHIP"/>
    <x v="2"/>
    <n v="1960.89"/>
    <s v="Electronics"/>
    <s v="Medium"/>
    <n v="80000"/>
    <n v="1960.89"/>
    <x v="17"/>
    <d v="2024-07-01T00:00:00"/>
  </r>
  <r>
    <s v="ORD200716"/>
    <d v="2024-06-13T00:00:00"/>
    <s v="C84115"/>
    <x v="3"/>
    <n v="3"/>
    <n v="454.29"/>
    <x v="2"/>
    <x v="4"/>
    <n v="4"/>
    <s v="WINTER15"/>
    <x v="4"/>
    <n v="1362.87"/>
    <s v="Furniture"/>
    <s v="Medium"/>
    <n v="70000"/>
    <n v="1362.87"/>
    <x v="23"/>
    <d v="2024-06-01T00:00:00"/>
  </r>
  <r>
    <s v="ORD200717"/>
    <d v="2023-10-16T00:00:00"/>
    <s v="C50087"/>
    <x v="3"/>
    <n v="3"/>
    <n v="122.11"/>
    <x v="1"/>
    <x v="3"/>
    <n v="4"/>
    <s v="WINTER15"/>
    <x v="2"/>
    <n v="366.33"/>
    <s v="Furniture"/>
    <s v="Medium"/>
    <n v="70000"/>
    <n v="366.33"/>
    <x v="3"/>
    <d v="2023-10-01T00:00:00"/>
  </r>
  <r>
    <s v="ORD200718"/>
    <d v="2023-04-08T00:00:00"/>
    <s v="C16790"/>
    <x v="5"/>
    <n v="4"/>
    <n v="64.739999999999995"/>
    <x v="3"/>
    <x v="1"/>
    <n v="8"/>
    <s v="SAVE10"/>
    <x v="4"/>
    <n v="258.95999999999998"/>
    <s v="Electronics"/>
    <s v="High"/>
    <n v="150000"/>
    <n v="258.95999999999998"/>
    <x v="29"/>
    <d v="2023-04-01T00:00:00"/>
  </r>
  <r>
    <s v="ORD200719"/>
    <d v="2024-01-21T00:00:00"/>
    <s v="C46920"/>
    <x v="5"/>
    <n v="2"/>
    <n v="681.06"/>
    <x v="0"/>
    <x v="0"/>
    <n v="3"/>
    <s v="FREESHIP"/>
    <x v="3"/>
    <n v="1362.12"/>
    <s v="Electronics"/>
    <s v="High"/>
    <n v="150000"/>
    <n v="1362.12"/>
    <x v="25"/>
    <d v="2024-01-01T00:00:00"/>
  </r>
  <r>
    <s v="ORD200720"/>
    <d v="2023-09-21T00:00:00"/>
    <s v="C12740"/>
    <x v="6"/>
    <n v="5"/>
    <n v="128.94999999999999"/>
    <x v="4"/>
    <x v="4"/>
    <n v="10"/>
    <s v="FREESHIP"/>
    <x v="0"/>
    <n v="644.75"/>
    <s v="Furniture"/>
    <s v="High"/>
    <n v="75000"/>
    <n v="644.75"/>
    <x v="24"/>
    <d v="2023-09-01T00:00:00"/>
  </r>
  <r>
    <s v="ORD200721"/>
    <d v="2024-03-18T00:00:00"/>
    <s v="C46557"/>
    <x v="6"/>
    <n v="2"/>
    <n v="118.59"/>
    <x v="2"/>
    <x v="3"/>
    <n v="2"/>
    <m/>
    <x v="2"/>
    <n v="237.18"/>
    <s v="Furniture"/>
    <s v="High"/>
    <n v="75000"/>
    <n v="237.18"/>
    <x v="14"/>
    <d v="2024-03-01T00:00:00"/>
  </r>
  <r>
    <s v="ORD200722"/>
    <d v="2024-11-15T00:00:00"/>
    <s v="C58156"/>
    <x v="4"/>
    <n v="1"/>
    <n v="95.1"/>
    <x v="3"/>
    <x v="4"/>
    <n v="1"/>
    <s v="WINTER15"/>
    <x v="0"/>
    <n v="95.1"/>
    <s v="Electronics"/>
    <s v="Medium"/>
    <n v="80000"/>
    <n v="95.1"/>
    <x v="16"/>
    <d v="2024-11-01T00:00:00"/>
  </r>
  <r>
    <s v="ORD200723"/>
    <d v="2023-12-09T00:00:00"/>
    <s v="C14455"/>
    <x v="6"/>
    <n v="3"/>
    <n v="54.95"/>
    <x v="4"/>
    <x v="2"/>
    <n v="8"/>
    <s v="SAVE10"/>
    <x v="1"/>
    <n v="164.85"/>
    <s v="Furniture"/>
    <s v="High"/>
    <n v="75000"/>
    <n v="164.85"/>
    <x v="9"/>
    <d v="2023-12-01T00:00:00"/>
  </r>
  <r>
    <s v="ORD200724"/>
    <d v="2024-10-18T00:00:00"/>
    <s v="C63150"/>
    <x v="4"/>
    <n v="3"/>
    <n v="136.97"/>
    <x v="2"/>
    <x v="2"/>
    <n v="4"/>
    <s v="FREESHIP"/>
    <x v="1"/>
    <n v="410.91"/>
    <s v="Electronics"/>
    <s v="Medium"/>
    <n v="80000"/>
    <n v="410.91"/>
    <x v="10"/>
    <d v="2024-10-01T00:00:00"/>
  </r>
  <r>
    <s v="ORD200725"/>
    <d v="2023-03-12T00:00:00"/>
    <s v="C95269"/>
    <x v="3"/>
    <n v="2"/>
    <n v="194.85"/>
    <x v="3"/>
    <x v="2"/>
    <n v="5"/>
    <m/>
    <x v="1"/>
    <n v="389.7"/>
    <s v="Furniture"/>
    <s v="Medium"/>
    <n v="70000"/>
    <n v="389.7"/>
    <x v="12"/>
    <d v="2023-03-01T00:00:00"/>
  </r>
  <r>
    <s v="ORD200726"/>
    <d v="2024-10-25T00:00:00"/>
    <s v="C18105"/>
    <x v="5"/>
    <n v="4"/>
    <n v="583.02"/>
    <x v="1"/>
    <x v="3"/>
    <n v="4"/>
    <s v="FREESHIP"/>
    <x v="3"/>
    <n v="2332.08"/>
    <s v="Electronics"/>
    <s v="High"/>
    <n v="150000"/>
    <n v="2332.08"/>
    <x v="10"/>
    <d v="2024-10-01T00:00:00"/>
  </r>
  <r>
    <s v="ORD200727"/>
    <d v="2024-09-29T00:00:00"/>
    <s v="C29063"/>
    <x v="3"/>
    <n v="5"/>
    <n v="95.75"/>
    <x v="1"/>
    <x v="0"/>
    <n v="8"/>
    <s v="SAVE10"/>
    <x v="0"/>
    <n v="478.75"/>
    <s v="Furniture"/>
    <s v="Medium"/>
    <n v="70000"/>
    <n v="478.75"/>
    <x v="18"/>
    <d v="2024-09-01T00:00:00"/>
  </r>
  <r>
    <s v="ORD200728"/>
    <d v="2024-07-29T00:00:00"/>
    <s v="C10154"/>
    <x v="6"/>
    <n v="4"/>
    <n v="325.76"/>
    <x v="3"/>
    <x v="0"/>
    <n v="8"/>
    <s v="WINTER15"/>
    <x v="2"/>
    <n v="1303.04"/>
    <s v="Furniture"/>
    <s v="High"/>
    <n v="75000"/>
    <n v="1303.04"/>
    <x v="17"/>
    <d v="2024-07-01T00:00:00"/>
  </r>
  <r>
    <s v="ORD200729"/>
    <d v="2023-09-08T00:00:00"/>
    <s v="C36997"/>
    <x v="1"/>
    <n v="4"/>
    <n v="186.41"/>
    <x v="3"/>
    <x v="4"/>
    <n v="6"/>
    <s v="SAVE10"/>
    <x v="4"/>
    <n v="745.64"/>
    <s v="Electronics"/>
    <s v="High"/>
    <n v="120000"/>
    <n v="745.64"/>
    <x v="24"/>
    <d v="2023-09-01T00:00:00"/>
  </r>
  <r>
    <s v="ORD200730"/>
    <d v="2025-02-22T00:00:00"/>
    <s v="C77357"/>
    <x v="1"/>
    <n v="1"/>
    <n v="474.6"/>
    <x v="0"/>
    <x v="3"/>
    <n v="4"/>
    <s v="SAVE10"/>
    <x v="2"/>
    <n v="474.6"/>
    <s v="Electronics"/>
    <s v="High"/>
    <n v="120000"/>
    <n v="474.6"/>
    <x v="21"/>
    <d v="2025-02-01T00:00:00"/>
  </r>
  <r>
    <s v="ORD200731"/>
    <d v="2024-06-07T00:00:00"/>
    <s v="C71310"/>
    <x v="4"/>
    <n v="5"/>
    <n v="584.46"/>
    <x v="2"/>
    <x v="2"/>
    <n v="8"/>
    <m/>
    <x v="2"/>
    <n v="2922.3"/>
    <s v="Electronics"/>
    <s v="Medium"/>
    <n v="80000"/>
    <n v="2922.3"/>
    <x v="23"/>
    <d v="2024-06-01T00:00:00"/>
  </r>
  <r>
    <s v="ORD200732"/>
    <d v="2025-03-07T00:00:00"/>
    <s v="C80987"/>
    <x v="5"/>
    <n v="1"/>
    <n v="132.05000000000001"/>
    <x v="1"/>
    <x v="3"/>
    <n v="2"/>
    <m/>
    <x v="4"/>
    <n v="132.05000000000001"/>
    <s v="Electronics"/>
    <s v="High"/>
    <n v="150000"/>
    <n v="132.05000000000001"/>
    <x v="15"/>
    <d v="2025-03-01T00:00:00"/>
  </r>
  <r>
    <s v="ORD200733"/>
    <d v="2023-12-04T00:00:00"/>
    <s v="C90757"/>
    <x v="2"/>
    <n v="4"/>
    <n v="494.84"/>
    <x v="4"/>
    <x v="2"/>
    <n v="8"/>
    <s v="SAVE10"/>
    <x v="2"/>
    <n v="1979.36"/>
    <s v="Electronics"/>
    <s v="Medium"/>
    <n v="100000"/>
    <n v="1979.36"/>
    <x v="9"/>
    <d v="2023-12-01T00:00:00"/>
  </r>
  <r>
    <s v="ORD200734"/>
    <d v="2024-01-23T00:00:00"/>
    <s v="C51898"/>
    <x v="4"/>
    <n v="4"/>
    <n v="224.61"/>
    <x v="2"/>
    <x v="2"/>
    <n v="6"/>
    <s v="WINTER15"/>
    <x v="3"/>
    <n v="898.44"/>
    <s v="Electronics"/>
    <s v="Medium"/>
    <n v="80000"/>
    <n v="898.44"/>
    <x v="25"/>
    <d v="2024-01-01T00:00:00"/>
  </r>
  <r>
    <s v="ORD200735"/>
    <d v="2024-06-28T00:00:00"/>
    <s v="C94508"/>
    <x v="0"/>
    <n v="4"/>
    <n v="44.07"/>
    <x v="0"/>
    <x v="4"/>
    <n v="6"/>
    <m/>
    <x v="2"/>
    <n v="176.28"/>
    <s v="Electronics"/>
    <s v="Medium"/>
    <n v="90000"/>
    <n v="176.28"/>
    <x v="23"/>
    <d v="2024-06-01T00:00:00"/>
  </r>
  <r>
    <s v="ORD200736"/>
    <d v="2024-02-09T00:00:00"/>
    <s v="C59441"/>
    <x v="0"/>
    <n v="5"/>
    <n v="418.53"/>
    <x v="2"/>
    <x v="4"/>
    <n v="6"/>
    <s v="FREESHIP"/>
    <x v="4"/>
    <n v="2092.65"/>
    <s v="Electronics"/>
    <s v="Medium"/>
    <n v="90000"/>
    <n v="2092.65"/>
    <x v="2"/>
    <d v="2024-02-01T00:00:00"/>
  </r>
  <r>
    <s v="ORD200737"/>
    <d v="2024-01-03T00:00:00"/>
    <s v="C91029"/>
    <x v="1"/>
    <n v="4"/>
    <n v="532.87"/>
    <x v="4"/>
    <x v="4"/>
    <n v="9"/>
    <s v="FREESHIP"/>
    <x v="0"/>
    <n v="2131.48"/>
    <s v="Electronics"/>
    <s v="High"/>
    <n v="120000"/>
    <n v="2131.48"/>
    <x v="25"/>
    <d v="2024-01-01T00:00:00"/>
  </r>
  <r>
    <s v="ORD200738"/>
    <d v="2025-06-04T00:00:00"/>
    <s v="C96261"/>
    <x v="1"/>
    <n v="2"/>
    <n v="485.37"/>
    <x v="2"/>
    <x v="0"/>
    <n v="5"/>
    <s v="SAVE10"/>
    <x v="2"/>
    <n v="970.74"/>
    <s v="Electronics"/>
    <s v="High"/>
    <n v="120000"/>
    <n v="970.74"/>
    <x v="5"/>
    <d v="2025-06-01T00:00:00"/>
  </r>
  <r>
    <s v="ORD200739"/>
    <d v="2024-06-13T00:00:00"/>
    <s v="C35123"/>
    <x v="1"/>
    <n v="4"/>
    <n v="386.73"/>
    <x v="4"/>
    <x v="3"/>
    <n v="4"/>
    <s v="SAVE10"/>
    <x v="3"/>
    <n v="1546.92"/>
    <s v="Electronics"/>
    <s v="High"/>
    <n v="120000"/>
    <n v="1546.92"/>
    <x v="23"/>
    <d v="2024-06-01T00:00:00"/>
  </r>
  <r>
    <s v="ORD200740"/>
    <d v="2024-07-20T00:00:00"/>
    <s v="C10892"/>
    <x v="6"/>
    <n v="2"/>
    <n v="377.47"/>
    <x v="4"/>
    <x v="4"/>
    <n v="7"/>
    <m/>
    <x v="4"/>
    <n v="754.94"/>
    <s v="Furniture"/>
    <s v="High"/>
    <n v="75000"/>
    <n v="754.94"/>
    <x v="17"/>
    <d v="2024-07-01T00:00:00"/>
  </r>
  <r>
    <s v="ORD200741"/>
    <d v="2025-01-23T00:00:00"/>
    <s v="C99683"/>
    <x v="0"/>
    <n v="5"/>
    <n v="332.64"/>
    <x v="3"/>
    <x v="3"/>
    <n v="10"/>
    <m/>
    <x v="1"/>
    <n v="1663.2"/>
    <s v="Electronics"/>
    <s v="Medium"/>
    <n v="90000"/>
    <n v="1663.2"/>
    <x v="27"/>
    <d v="2025-01-01T00:00:00"/>
  </r>
  <r>
    <s v="ORD200742"/>
    <d v="2024-11-30T00:00:00"/>
    <s v="C41974"/>
    <x v="5"/>
    <n v="3"/>
    <n v="699.93"/>
    <x v="4"/>
    <x v="2"/>
    <n v="7"/>
    <s v="SAVE10"/>
    <x v="4"/>
    <n v="2099.79"/>
    <s v="Electronics"/>
    <s v="High"/>
    <n v="150000"/>
    <n v="2099.79"/>
    <x v="16"/>
    <d v="2024-11-01T00:00:00"/>
  </r>
  <r>
    <s v="ORD200743"/>
    <d v="2024-09-30T00:00:00"/>
    <s v="C23978"/>
    <x v="0"/>
    <n v="1"/>
    <n v="576.35"/>
    <x v="3"/>
    <x v="2"/>
    <n v="1"/>
    <s v="WINTER15"/>
    <x v="0"/>
    <n v="576.35"/>
    <s v="Electronics"/>
    <s v="Medium"/>
    <n v="90000"/>
    <n v="576.35"/>
    <x v="18"/>
    <d v="2024-09-01T00:00:00"/>
  </r>
  <r>
    <s v="ORD200744"/>
    <d v="2024-06-12T00:00:00"/>
    <s v="C10642"/>
    <x v="2"/>
    <n v="2"/>
    <n v="461.37"/>
    <x v="4"/>
    <x v="3"/>
    <n v="5"/>
    <s v="SAVE10"/>
    <x v="4"/>
    <n v="922.74"/>
    <s v="Electronics"/>
    <s v="Medium"/>
    <n v="100000"/>
    <n v="922.74"/>
    <x v="23"/>
    <d v="2024-06-01T00:00:00"/>
  </r>
  <r>
    <s v="ORD200745"/>
    <d v="2023-03-02T00:00:00"/>
    <s v="C73813"/>
    <x v="4"/>
    <n v="4"/>
    <n v="111.3"/>
    <x v="0"/>
    <x v="4"/>
    <n v="7"/>
    <s v="FREESHIP"/>
    <x v="2"/>
    <n v="445.2"/>
    <s v="Electronics"/>
    <s v="Medium"/>
    <n v="80000"/>
    <n v="445.2"/>
    <x v="12"/>
    <d v="2023-03-01T00:00:00"/>
  </r>
  <r>
    <s v="ORD200746"/>
    <d v="2025-02-24T00:00:00"/>
    <s v="C32183"/>
    <x v="6"/>
    <n v="3"/>
    <n v="661.89"/>
    <x v="1"/>
    <x v="1"/>
    <n v="6"/>
    <s v="WINTER15"/>
    <x v="1"/>
    <n v="1985.67"/>
    <s v="Furniture"/>
    <s v="High"/>
    <n v="75000"/>
    <n v="1985.67"/>
    <x v="21"/>
    <d v="2025-02-01T00:00:00"/>
  </r>
  <r>
    <s v="ORD200747"/>
    <d v="2025-03-12T00:00:00"/>
    <s v="C54277"/>
    <x v="2"/>
    <n v="2"/>
    <n v="259.58"/>
    <x v="0"/>
    <x v="3"/>
    <n v="7"/>
    <s v="FREESHIP"/>
    <x v="0"/>
    <n v="519.16"/>
    <s v="Electronics"/>
    <s v="Medium"/>
    <n v="100000"/>
    <n v="519.16"/>
    <x v="15"/>
    <d v="2025-03-01T00:00:00"/>
  </r>
  <r>
    <s v="ORD200748"/>
    <d v="2024-07-15T00:00:00"/>
    <s v="C56553"/>
    <x v="2"/>
    <n v="3"/>
    <n v="70.81"/>
    <x v="2"/>
    <x v="0"/>
    <n v="8"/>
    <s v="FREESHIP"/>
    <x v="1"/>
    <n v="212.43"/>
    <s v="Electronics"/>
    <s v="Medium"/>
    <n v="100000"/>
    <n v="212.43"/>
    <x v="17"/>
    <d v="2024-07-01T00:00:00"/>
  </r>
  <r>
    <s v="ORD200749"/>
    <d v="2025-04-13T00:00:00"/>
    <s v="C17551"/>
    <x v="5"/>
    <n v="1"/>
    <n v="518.39"/>
    <x v="0"/>
    <x v="4"/>
    <n v="4"/>
    <s v="FREESHIP"/>
    <x v="0"/>
    <n v="518.39"/>
    <s v="Electronics"/>
    <s v="High"/>
    <n v="150000"/>
    <n v="518.39"/>
    <x v="7"/>
    <d v="2025-04-01T00:00:00"/>
  </r>
  <r>
    <s v="ORD200750"/>
    <d v="2023-01-14T00:00:00"/>
    <s v="C14737"/>
    <x v="2"/>
    <n v="4"/>
    <n v="145.41"/>
    <x v="2"/>
    <x v="2"/>
    <n v="7"/>
    <s v="FREESHIP"/>
    <x v="2"/>
    <n v="581.64"/>
    <s v="Electronics"/>
    <s v="Medium"/>
    <n v="100000"/>
    <n v="581.64"/>
    <x v="0"/>
    <d v="2023-01-01T00:00:00"/>
  </r>
  <r>
    <s v="ORD200751"/>
    <d v="2023-01-24T00:00:00"/>
    <s v="C35168"/>
    <x v="2"/>
    <n v="2"/>
    <n v="599.86"/>
    <x v="3"/>
    <x v="4"/>
    <n v="7"/>
    <s v="FREESHIP"/>
    <x v="3"/>
    <n v="1199.72"/>
    <s v="Electronics"/>
    <s v="Medium"/>
    <n v="100000"/>
    <n v="1199.72"/>
    <x v="0"/>
    <d v="2023-01-01T00:00:00"/>
  </r>
  <r>
    <s v="ORD200752"/>
    <d v="2024-10-03T00:00:00"/>
    <s v="C82217"/>
    <x v="1"/>
    <n v="4"/>
    <n v="429.37"/>
    <x v="2"/>
    <x v="3"/>
    <n v="8"/>
    <s v="FREESHIP"/>
    <x v="4"/>
    <n v="1717.48"/>
    <s v="Electronics"/>
    <s v="High"/>
    <n v="120000"/>
    <n v="1717.48"/>
    <x v="10"/>
    <d v="2024-10-01T00:00:00"/>
  </r>
  <r>
    <s v="ORD200753"/>
    <d v="2024-04-24T00:00:00"/>
    <s v="C42270"/>
    <x v="1"/>
    <n v="2"/>
    <n v="241.49"/>
    <x v="0"/>
    <x v="2"/>
    <n v="7"/>
    <s v="FREESHIP"/>
    <x v="0"/>
    <n v="482.98"/>
    <s v="Electronics"/>
    <s v="High"/>
    <n v="120000"/>
    <n v="482.98"/>
    <x v="28"/>
    <d v="2024-04-01T00:00:00"/>
  </r>
  <r>
    <s v="ORD200754"/>
    <d v="2025-05-31T00:00:00"/>
    <s v="C48846"/>
    <x v="4"/>
    <n v="2"/>
    <n v="452.05"/>
    <x v="2"/>
    <x v="2"/>
    <n v="3"/>
    <s v="WINTER15"/>
    <x v="2"/>
    <n v="904.1"/>
    <s v="Electronics"/>
    <s v="Medium"/>
    <n v="80000"/>
    <n v="904.1"/>
    <x v="4"/>
    <d v="2025-05-01T00:00:00"/>
  </r>
  <r>
    <s v="ORD200755"/>
    <d v="2023-06-13T00:00:00"/>
    <s v="C54160"/>
    <x v="6"/>
    <n v="3"/>
    <n v="336.71"/>
    <x v="2"/>
    <x v="4"/>
    <n v="4"/>
    <m/>
    <x v="2"/>
    <n v="1010.13"/>
    <s v="Furniture"/>
    <s v="High"/>
    <n v="75000"/>
    <n v="1010.13"/>
    <x v="19"/>
    <d v="2023-06-01T00:00:00"/>
  </r>
  <r>
    <s v="ORD200756"/>
    <d v="2024-06-27T00:00:00"/>
    <s v="C14080"/>
    <x v="1"/>
    <n v="1"/>
    <n v="283.69"/>
    <x v="3"/>
    <x v="0"/>
    <n v="6"/>
    <m/>
    <x v="4"/>
    <n v="283.69"/>
    <s v="Electronics"/>
    <s v="High"/>
    <n v="120000"/>
    <n v="283.69"/>
    <x v="23"/>
    <d v="2024-06-01T00:00:00"/>
  </r>
  <r>
    <s v="ORD200757"/>
    <d v="2024-02-22T00:00:00"/>
    <s v="C81074"/>
    <x v="6"/>
    <n v="1"/>
    <n v="157.72"/>
    <x v="0"/>
    <x v="3"/>
    <n v="2"/>
    <s v="FREESHIP"/>
    <x v="4"/>
    <n v="157.72"/>
    <s v="Furniture"/>
    <s v="High"/>
    <n v="75000"/>
    <n v="157.72"/>
    <x v="2"/>
    <d v="2024-02-01T00:00:00"/>
  </r>
  <r>
    <s v="ORD200758"/>
    <d v="2023-03-26T00:00:00"/>
    <s v="C69021"/>
    <x v="2"/>
    <n v="3"/>
    <n v="624.84"/>
    <x v="2"/>
    <x v="1"/>
    <n v="8"/>
    <s v="WINTER15"/>
    <x v="3"/>
    <n v="1874.52"/>
    <s v="Electronics"/>
    <s v="Medium"/>
    <n v="100000"/>
    <n v="1874.52"/>
    <x v="12"/>
    <d v="2023-03-01T00:00:00"/>
  </r>
  <r>
    <s v="ORD200759"/>
    <d v="2023-07-24T00:00:00"/>
    <s v="C96283"/>
    <x v="6"/>
    <n v="3"/>
    <n v="308.01"/>
    <x v="4"/>
    <x v="4"/>
    <n v="3"/>
    <s v="FREESHIP"/>
    <x v="3"/>
    <n v="924.03"/>
    <s v="Furniture"/>
    <s v="High"/>
    <n v="75000"/>
    <n v="924.03"/>
    <x v="13"/>
    <d v="2023-07-01T00:00:00"/>
  </r>
  <r>
    <s v="ORD200760"/>
    <d v="2025-02-18T00:00:00"/>
    <s v="C96636"/>
    <x v="6"/>
    <n v="1"/>
    <n v="39.56"/>
    <x v="0"/>
    <x v="1"/>
    <n v="5"/>
    <m/>
    <x v="4"/>
    <n v="39.56"/>
    <s v="Furniture"/>
    <s v="High"/>
    <n v="75000"/>
    <n v="39.56"/>
    <x v="21"/>
    <d v="2025-02-01T00:00:00"/>
  </r>
  <r>
    <s v="ORD200761"/>
    <d v="2023-06-02T00:00:00"/>
    <s v="C37235"/>
    <x v="6"/>
    <n v="4"/>
    <n v="37.76"/>
    <x v="0"/>
    <x v="3"/>
    <n v="7"/>
    <m/>
    <x v="4"/>
    <n v="151.04"/>
    <s v="Furniture"/>
    <s v="High"/>
    <n v="75000"/>
    <n v="151.04"/>
    <x v="19"/>
    <d v="2023-06-01T00:00:00"/>
  </r>
  <r>
    <s v="ORD200762"/>
    <d v="2024-09-17T00:00:00"/>
    <s v="C12444"/>
    <x v="1"/>
    <n v="3"/>
    <n v="76.959999999999994"/>
    <x v="4"/>
    <x v="2"/>
    <n v="8"/>
    <s v="FREESHIP"/>
    <x v="2"/>
    <n v="230.88"/>
    <s v="Electronics"/>
    <s v="High"/>
    <n v="120000"/>
    <n v="230.88"/>
    <x v="18"/>
    <d v="2024-09-01T00:00:00"/>
  </r>
  <r>
    <s v="ORD200763"/>
    <d v="2023-04-06T00:00:00"/>
    <s v="C79142"/>
    <x v="5"/>
    <n v="1"/>
    <n v="569.96"/>
    <x v="1"/>
    <x v="3"/>
    <n v="4"/>
    <s v="FREESHIP"/>
    <x v="2"/>
    <n v="569.96"/>
    <s v="Electronics"/>
    <s v="High"/>
    <n v="150000"/>
    <n v="569.96"/>
    <x v="29"/>
    <d v="2023-04-01T00:00:00"/>
  </r>
  <r>
    <s v="ORD200764"/>
    <d v="2024-03-10T00:00:00"/>
    <s v="C35983"/>
    <x v="5"/>
    <n v="5"/>
    <n v="627.42999999999995"/>
    <x v="2"/>
    <x v="1"/>
    <n v="10"/>
    <s v="FREESHIP"/>
    <x v="2"/>
    <n v="3137.15"/>
    <s v="Electronics"/>
    <s v="High"/>
    <n v="150000"/>
    <n v="3137.15"/>
    <x v="14"/>
    <d v="2024-03-01T00:00:00"/>
  </r>
  <r>
    <s v="ORD200765"/>
    <d v="2023-10-06T00:00:00"/>
    <s v="C36150"/>
    <x v="5"/>
    <n v="2"/>
    <n v="534.91"/>
    <x v="0"/>
    <x v="2"/>
    <n v="5"/>
    <s v="SAVE10"/>
    <x v="4"/>
    <n v="1069.82"/>
    <s v="Electronics"/>
    <s v="High"/>
    <n v="150000"/>
    <n v="1069.82"/>
    <x v="3"/>
    <d v="2023-10-01T00:00:00"/>
  </r>
  <r>
    <s v="ORD200766"/>
    <d v="2023-01-22T00:00:00"/>
    <s v="C91454"/>
    <x v="4"/>
    <n v="2"/>
    <n v="278.88"/>
    <x v="0"/>
    <x v="4"/>
    <n v="3"/>
    <s v="FREESHIP"/>
    <x v="1"/>
    <n v="557.76"/>
    <s v="Electronics"/>
    <s v="Medium"/>
    <n v="80000"/>
    <n v="557.76"/>
    <x v="0"/>
    <d v="2023-01-01T00:00:00"/>
  </r>
  <r>
    <s v="ORD200767"/>
    <d v="2025-04-18T00:00:00"/>
    <s v="C19368"/>
    <x v="2"/>
    <n v="2"/>
    <n v="323.22000000000003"/>
    <x v="2"/>
    <x v="3"/>
    <n v="7"/>
    <m/>
    <x v="0"/>
    <n v="646.44000000000005"/>
    <s v="Electronics"/>
    <s v="Medium"/>
    <n v="100000"/>
    <n v="646.44000000000005"/>
    <x v="7"/>
    <d v="2025-04-01T00:00:00"/>
  </r>
  <r>
    <s v="ORD200768"/>
    <d v="2023-09-04T00:00:00"/>
    <s v="C35987"/>
    <x v="2"/>
    <n v="5"/>
    <n v="653.46"/>
    <x v="4"/>
    <x v="1"/>
    <n v="9"/>
    <s v="WINTER15"/>
    <x v="2"/>
    <n v="3267.3"/>
    <s v="Electronics"/>
    <s v="Medium"/>
    <n v="100000"/>
    <n v="3267.3"/>
    <x v="24"/>
    <d v="2023-09-01T00:00:00"/>
  </r>
  <r>
    <s v="ORD200769"/>
    <d v="2023-07-06T00:00:00"/>
    <s v="C13366"/>
    <x v="4"/>
    <n v="4"/>
    <n v="678.55"/>
    <x v="4"/>
    <x v="3"/>
    <n v="5"/>
    <m/>
    <x v="2"/>
    <n v="2714.2"/>
    <s v="Electronics"/>
    <s v="Medium"/>
    <n v="80000"/>
    <n v="2714.2"/>
    <x v="13"/>
    <d v="2023-07-01T00:00:00"/>
  </r>
  <r>
    <s v="ORD200770"/>
    <d v="2024-02-11T00:00:00"/>
    <s v="C72166"/>
    <x v="6"/>
    <n v="1"/>
    <n v="314.38"/>
    <x v="1"/>
    <x v="2"/>
    <n v="6"/>
    <m/>
    <x v="4"/>
    <n v="314.38"/>
    <s v="Furniture"/>
    <s v="High"/>
    <n v="75000"/>
    <n v="314.38"/>
    <x v="2"/>
    <d v="2024-02-01T00:00:00"/>
  </r>
  <r>
    <s v="ORD200771"/>
    <d v="2024-06-12T00:00:00"/>
    <s v="C20357"/>
    <x v="1"/>
    <n v="3"/>
    <n v="692.44"/>
    <x v="0"/>
    <x v="1"/>
    <n v="8"/>
    <s v="FREESHIP"/>
    <x v="4"/>
    <n v="2077.3200000000002"/>
    <s v="Electronics"/>
    <s v="High"/>
    <n v="120000"/>
    <n v="2077.3200000000002"/>
    <x v="23"/>
    <d v="2024-06-01T00:00:00"/>
  </r>
  <r>
    <s v="ORD200772"/>
    <d v="2024-07-28T00:00:00"/>
    <s v="C33802"/>
    <x v="0"/>
    <n v="1"/>
    <n v="604.87"/>
    <x v="1"/>
    <x v="3"/>
    <n v="4"/>
    <m/>
    <x v="0"/>
    <n v="604.87"/>
    <s v="Electronics"/>
    <s v="Medium"/>
    <n v="90000"/>
    <n v="604.87"/>
    <x v="17"/>
    <d v="2024-07-01T00:00:00"/>
  </r>
  <r>
    <s v="ORD200773"/>
    <d v="2025-06-28T00:00:00"/>
    <s v="C99205"/>
    <x v="1"/>
    <n v="2"/>
    <n v="512.33000000000004"/>
    <x v="4"/>
    <x v="1"/>
    <n v="7"/>
    <m/>
    <x v="3"/>
    <n v="1024.6600000000001"/>
    <s v="Electronics"/>
    <s v="High"/>
    <n v="120000"/>
    <n v="1024.6600000000001"/>
    <x v="5"/>
    <d v="2025-06-01T00:00:00"/>
  </r>
  <r>
    <s v="ORD200774"/>
    <d v="2025-04-15T00:00:00"/>
    <s v="C29701"/>
    <x v="3"/>
    <n v="3"/>
    <n v="20.54"/>
    <x v="2"/>
    <x v="1"/>
    <n v="3"/>
    <s v="FREESHIP"/>
    <x v="0"/>
    <n v="61.62"/>
    <s v="Furniture"/>
    <s v="Medium"/>
    <n v="70000"/>
    <n v="61.62"/>
    <x v="7"/>
    <d v="2025-04-01T00:00:00"/>
  </r>
  <r>
    <s v="ORD200775"/>
    <d v="2023-03-04T00:00:00"/>
    <s v="C73941"/>
    <x v="1"/>
    <n v="2"/>
    <n v="625.22"/>
    <x v="1"/>
    <x v="1"/>
    <n v="5"/>
    <m/>
    <x v="4"/>
    <n v="1250.44"/>
    <s v="Electronics"/>
    <s v="High"/>
    <n v="120000"/>
    <n v="1250.44"/>
    <x v="12"/>
    <d v="2023-03-01T00:00:00"/>
  </r>
  <r>
    <s v="ORD200776"/>
    <d v="2023-08-21T00:00:00"/>
    <s v="C69168"/>
    <x v="2"/>
    <n v="1"/>
    <n v="21.19"/>
    <x v="4"/>
    <x v="2"/>
    <n v="5"/>
    <s v="WINTER15"/>
    <x v="4"/>
    <n v="21.19"/>
    <s v="Electronics"/>
    <s v="Medium"/>
    <n v="100000"/>
    <n v="21.19"/>
    <x v="11"/>
    <d v="2023-08-01T00:00:00"/>
  </r>
  <r>
    <s v="ORD200777"/>
    <d v="2025-03-21T00:00:00"/>
    <s v="C66116"/>
    <x v="3"/>
    <n v="5"/>
    <n v="64.489999999999995"/>
    <x v="1"/>
    <x v="1"/>
    <n v="7"/>
    <m/>
    <x v="3"/>
    <n v="322.45"/>
    <s v="Furniture"/>
    <s v="Medium"/>
    <n v="70000"/>
    <n v="322.45"/>
    <x v="15"/>
    <d v="2025-03-01T00:00:00"/>
  </r>
  <r>
    <s v="ORD200778"/>
    <d v="2023-04-28T00:00:00"/>
    <s v="C85059"/>
    <x v="5"/>
    <n v="4"/>
    <n v="246.85"/>
    <x v="2"/>
    <x v="0"/>
    <n v="8"/>
    <s v="WINTER15"/>
    <x v="4"/>
    <n v="987.4"/>
    <s v="Electronics"/>
    <s v="High"/>
    <n v="150000"/>
    <n v="987.4"/>
    <x v="29"/>
    <d v="2023-04-01T00:00:00"/>
  </r>
  <r>
    <s v="ORD200779"/>
    <d v="2023-12-01T00:00:00"/>
    <s v="C18076"/>
    <x v="1"/>
    <n v="3"/>
    <n v="588.74"/>
    <x v="0"/>
    <x v="4"/>
    <n v="8"/>
    <s v="FREESHIP"/>
    <x v="2"/>
    <n v="1766.22"/>
    <s v="Electronics"/>
    <s v="High"/>
    <n v="120000"/>
    <n v="1766.22"/>
    <x v="9"/>
    <d v="2023-12-01T00:00:00"/>
  </r>
  <r>
    <s v="ORD200780"/>
    <d v="2024-03-31T00:00:00"/>
    <s v="C41284"/>
    <x v="5"/>
    <n v="4"/>
    <n v="184.48"/>
    <x v="1"/>
    <x v="1"/>
    <n v="4"/>
    <s v="WINTER15"/>
    <x v="4"/>
    <n v="737.92"/>
    <s v="Electronics"/>
    <s v="High"/>
    <n v="150000"/>
    <n v="737.92"/>
    <x v="14"/>
    <d v="2024-03-01T00:00:00"/>
  </r>
  <r>
    <s v="ORD200781"/>
    <d v="2024-01-10T00:00:00"/>
    <s v="C43524"/>
    <x v="1"/>
    <n v="5"/>
    <n v="524.26"/>
    <x v="3"/>
    <x v="3"/>
    <n v="5"/>
    <s v="FREESHIP"/>
    <x v="1"/>
    <n v="2621.3000000000002"/>
    <s v="Electronics"/>
    <s v="High"/>
    <n v="120000"/>
    <n v="2621.3000000000002"/>
    <x v="25"/>
    <d v="2024-01-01T00:00:00"/>
  </r>
  <r>
    <s v="ORD200782"/>
    <d v="2024-08-11T00:00:00"/>
    <s v="C58063"/>
    <x v="0"/>
    <n v="2"/>
    <n v="493.63"/>
    <x v="1"/>
    <x v="2"/>
    <n v="6"/>
    <s v="SAVE10"/>
    <x v="1"/>
    <n v="987.26"/>
    <s v="Electronics"/>
    <s v="Medium"/>
    <n v="90000"/>
    <n v="987.26"/>
    <x v="1"/>
    <d v="2024-08-01T00:00:00"/>
  </r>
  <r>
    <s v="ORD200783"/>
    <d v="2025-05-26T00:00:00"/>
    <s v="C19937"/>
    <x v="4"/>
    <n v="1"/>
    <n v="438.34"/>
    <x v="3"/>
    <x v="2"/>
    <n v="5"/>
    <s v="FREESHIP"/>
    <x v="3"/>
    <n v="438.34"/>
    <s v="Electronics"/>
    <s v="Medium"/>
    <n v="80000"/>
    <n v="438.34"/>
    <x v="4"/>
    <d v="2025-05-01T00:00:00"/>
  </r>
  <r>
    <s v="ORD200784"/>
    <d v="2025-05-16T00:00:00"/>
    <s v="C21191"/>
    <x v="5"/>
    <n v="1"/>
    <n v="325.81"/>
    <x v="2"/>
    <x v="4"/>
    <n v="1"/>
    <s v="WINTER15"/>
    <x v="1"/>
    <n v="325.81"/>
    <s v="Electronics"/>
    <s v="High"/>
    <n v="150000"/>
    <n v="325.81"/>
    <x v="4"/>
    <d v="2025-05-01T00:00:00"/>
  </r>
  <r>
    <s v="ORD200785"/>
    <d v="2023-07-29T00:00:00"/>
    <s v="C45862"/>
    <x v="3"/>
    <n v="1"/>
    <n v="176.1"/>
    <x v="2"/>
    <x v="4"/>
    <n v="1"/>
    <s v="SAVE10"/>
    <x v="0"/>
    <n v="176.1"/>
    <s v="Furniture"/>
    <s v="Medium"/>
    <n v="70000"/>
    <n v="176.1"/>
    <x v="13"/>
    <d v="2023-07-01T00:00:00"/>
  </r>
  <r>
    <s v="ORD200786"/>
    <d v="2023-08-23T00:00:00"/>
    <s v="C39130"/>
    <x v="3"/>
    <n v="5"/>
    <n v="45.31"/>
    <x v="1"/>
    <x v="1"/>
    <n v="8"/>
    <m/>
    <x v="1"/>
    <n v="226.55"/>
    <s v="Furniture"/>
    <s v="Medium"/>
    <n v="70000"/>
    <n v="226.55"/>
    <x v="11"/>
    <d v="2023-08-01T00:00:00"/>
  </r>
  <r>
    <s v="ORD200787"/>
    <d v="2024-03-17T00:00:00"/>
    <s v="C18167"/>
    <x v="6"/>
    <n v="4"/>
    <n v="221.96"/>
    <x v="4"/>
    <x v="3"/>
    <n v="7"/>
    <m/>
    <x v="4"/>
    <n v="887.84"/>
    <s v="Furniture"/>
    <s v="High"/>
    <n v="75000"/>
    <n v="887.84"/>
    <x v="14"/>
    <d v="2024-03-01T00:00:00"/>
  </r>
  <r>
    <s v="ORD200788"/>
    <d v="2023-11-02T00:00:00"/>
    <s v="C47307"/>
    <x v="3"/>
    <n v="2"/>
    <n v="601.42999999999995"/>
    <x v="1"/>
    <x v="4"/>
    <n v="5"/>
    <s v="FREESHIP"/>
    <x v="0"/>
    <n v="1202.8599999999999"/>
    <s v="Furniture"/>
    <s v="Medium"/>
    <n v="70000"/>
    <n v="1202.8599999999999"/>
    <x v="8"/>
    <d v="2023-11-01T00:00:00"/>
  </r>
  <r>
    <s v="ORD200789"/>
    <d v="2023-08-17T00:00:00"/>
    <s v="C57276"/>
    <x v="2"/>
    <n v="5"/>
    <n v="691.28"/>
    <x v="1"/>
    <x v="3"/>
    <n v="10"/>
    <s v="SAVE10"/>
    <x v="2"/>
    <n v="3456.4"/>
    <s v="Electronics"/>
    <s v="Medium"/>
    <n v="100000"/>
    <n v="3456.4"/>
    <x v="11"/>
    <d v="2023-08-01T00:00:00"/>
  </r>
  <r>
    <s v="ORD200790"/>
    <d v="2024-09-14T00:00:00"/>
    <s v="C38928"/>
    <x v="5"/>
    <n v="4"/>
    <n v="417.89"/>
    <x v="3"/>
    <x v="4"/>
    <n v="4"/>
    <m/>
    <x v="4"/>
    <n v="1671.56"/>
    <s v="Electronics"/>
    <s v="High"/>
    <n v="150000"/>
    <n v="1671.56"/>
    <x v="18"/>
    <d v="2024-09-01T00:00:00"/>
  </r>
  <r>
    <s v="ORD200791"/>
    <d v="2024-01-13T00:00:00"/>
    <s v="C49710"/>
    <x v="3"/>
    <n v="4"/>
    <n v="409.28"/>
    <x v="4"/>
    <x v="4"/>
    <n v="8"/>
    <m/>
    <x v="2"/>
    <n v="1637.12"/>
    <s v="Furniture"/>
    <s v="Medium"/>
    <n v="70000"/>
    <n v="1637.12"/>
    <x v="25"/>
    <d v="2024-01-01T00:00:00"/>
  </r>
  <r>
    <s v="ORD200792"/>
    <d v="2023-06-16T00:00:00"/>
    <s v="C41709"/>
    <x v="6"/>
    <n v="2"/>
    <n v="356.35"/>
    <x v="0"/>
    <x v="2"/>
    <n v="6"/>
    <s v="WINTER15"/>
    <x v="3"/>
    <n v="712.7"/>
    <s v="Furniture"/>
    <s v="High"/>
    <n v="75000"/>
    <n v="712.7"/>
    <x v="19"/>
    <d v="2023-06-01T00:00:00"/>
  </r>
  <r>
    <s v="ORD200793"/>
    <d v="2024-04-15T00:00:00"/>
    <s v="C91255"/>
    <x v="3"/>
    <n v="5"/>
    <n v="170.22"/>
    <x v="0"/>
    <x v="3"/>
    <n v="8"/>
    <m/>
    <x v="1"/>
    <n v="851.1"/>
    <s v="Furniture"/>
    <s v="Medium"/>
    <n v="70000"/>
    <n v="851.1"/>
    <x v="28"/>
    <d v="2024-04-01T00:00:00"/>
  </r>
  <r>
    <s v="ORD200794"/>
    <d v="2023-03-09T00:00:00"/>
    <s v="C76653"/>
    <x v="4"/>
    <n v="4"/>
    <n v="384.85"/>
    <x v="1"/>
    <x v="3"/>
    <n v="9"/>
    <s v="FREESHIP"/>
    <x v="0"/>
    <n v="1539.4"/>
    <s v="Electronics"/>
    <s v="Medium"/>
    <n v="80000"/>
    <n v="1539.4"/>
    <x v="12"/>
    <d v="2023-03-01T00:00:00"/>
  </r>
  <r>
    <s v="ORD200795"/>
    <d v="2024-11-20T00:00:00"/>
    <s v="C95667"/>
    <x v="5"/>
    <n v="4"/>
    <n v="115.77"/>
    <x v="1"/>
    <x v="4"/>
    <n v="7"/>
    <s v="SAVE10"/>
    <x v="0"/>
    <n v="463.08"/>
    <s v="Electronics"/>
    <s v="High"/>
    <n v="150000"/>
    <n v="463.08"/>
    <x v="16"/>
    <d v="2024-11-01T00:00:00"/>
  </r>
  <r>
    <s v="ORD200796"/>
    <d v="2025-04-29T00:00:00"/>
    <s v="C33313"/>
    <x v="1"/>
    <n v="3"/>
    <n v="579.54999999999995"/>
    <x v="3"/>
    <x v="2"/>
    <n v="8"/>
    <s v="WINTER15"/>
    <x v="3"/>
    <n v="1738.65"/>
    <s v="Electronics"/>
    <s v="High"/>
    <n v="120000"/>
    <n v="1738.65"/>
    <x v="7"/>
    <d v="2025-04-01T00:00:00"/>
  </r>
  <r>
    <s v="ORD200797"/>
    <d v="2023-02-27T00:00:00"/>
    <s v="C36825"/>
    <x v="5"/>
    <n v="2"/>
    <n v="438.76"/>
    <x v="0"/>
    <x v="2"/>
    <n v="2"/>
    <m/>
    <x v="3"/>
    <n v="877.52"/>
    <s v="Electronics"/>
    <s v="High"/>
    <n v="150000"/>
    <n v="877.52"/>
    <x v="26"/>
    <d v="2023-02-01T00:00:00"/>
  </r>
  <r>
    <s v="ORD200798"/>
    <d v="2025-05-19T00:00:00"/>
    <s v="C20861"/>
    <x v="1"/>
    <n v="5"/>
    <n v="488.35"/>
    <x v="0"/>
    <x v="2"/>
    <n v="9"/>
    <s v="FREESHIP"/>
    <x v="2"/>
    <n v="2441.75"/>
    <s v="Electronics"/>
    <s v="High"/>
    <n v="120000"/>
    <n v="2441.75"/>
    <x v="4"/>
    <d v="2025-05-01T00:00:00"/>
  </r>
  <r>
    <s v="ORD200799"/>
    <d v="2023-04-16T00:00:00"/>
    <s v="C26364"/>
    <x v="5"/>
    <n v="4"/>
    <n v="328.56"/>
    <x v="0"/>
    <x v="2"/>
    <n v="4"/>
    <s v="FREESHIP"/>
    <x v="2"/>
    <n v="1314.24"/>
    <s v="Electronics"/>
    <s v="High"/>
    <n v="150000"/>
    <n v="1314.24"/>
    <x v="29"/>
    <d v="2023-04-01T00:00:00"/>
  </r>
  <r>
    <s v="ORD200800"/>
    <d v="2025-03-28T00:00:00"/>
    <s v="C34686"/>
    <x v="2"/>
    <n v="1"/>
    <n v="68.39"/>
    <x v="1"/>
    <x v="2"/>
    <n v="3"/>
    <s v="WINTER15"/>
    <x v="3"/>
    <n v="68.39"/>
    <s v="Electronics"/>
    <s v="Medium"/>
    <n v="100000"/>
    <n v="68.39"/>
    <x v="15"/>
    <d v="2025-03-01T00:00:00"/>
  </r>
  <r>
    <s v="ORD200801"/>
    <d v="2023-05-03T00:00:00"/>
    <s v="C97593"/>
    <x v="4"/>
    <n v="4"/>
    <n v="595.62"/>
    <x v="0"/>
    <x v="4"/>
    <n v="8"/>
    <s v="FREESHIP"/>
    <x v="3"/>
    <n v="2382.48"/>
    <s v="Electronics"/>
    <s v="Medium"/>
    <n v="80000"/>
    <n v="2382.48"/>
    <x v="6"/>
    <d v="2023-05-01T00:00:00"/>
  </r>
  <r>
    <s v="ORD200802"/>
    <d v="2024-02-17T00:00:00"/>
    <s v="C84331"/>
    <x v="3"/>
    <n v="5"/>
    <n v="644.64"/>
    <x v="3"/>
    <x v="1"/>
    <n v="6"/>
    <s v="FREESHIP"/>
    <x v="2"/>
    <n v="3223.2"/>
    <s v="Furniture"/>
    <s v="Medium"/>
    <n v="70000"/>
    <n v="3223.2"/>
    <x v="2"/>
    <d v="2024-02-01T00:00:00"/>
  </r>
  <r>
    <s v="ORD200803"/>
    <d v="2023-08-20T00:00:00"/>
    <s v="C88775"/>
    <x v="0"/>
    <n v="5"/>
    <n v="397.81"/>
    <x v="0"/>
    <x v="2"/>
    <n v="5"/>
    <s v="SAVE10"/>
    <x v="1"/>
    <n v="1989.05"/>
    <s v="Electronics"/>
    <s v="Medium"/>
    <n v="90000"/>
    <n v="1989.05"/>
    <x v="11"/>
    <d v="2023-08-01T00:00:00"/>
  </r>
  <r>
    <s v="ORD200804"/>
    <d v="2024-01-01T00:00:00"/>
    <s v="C76362"/>
    <x v="3"/>
    <n v="3"/>
    <n v="236.5"/>
    <x v="1"/>
    <x v="3"/>
    <n v="8"/>
    <s v="FREESHIP"/>
    <x v="2"/>
    <n v="709.5"/>
    <s v="Furniture"/>
    <s v="Medium"/>
    <n v="70000"/>
    <n v="709.5"/>
    <x v="25"/>
    <d v="2024-01-01T00:00:00"/>
  </r>
  <r>
    <s v="ORD200805"/>
    <d v="2024-10-15T00:00:00"/>
    <s v="C59278"/>
    <x v="5"/>
    <n v="5"/>
    <n v="472.01"/>
    <x v="3"/>
    <x v="1"/>
    <n v="10"/>
    <s v="SAVE10"/>
    <x v="2"/>
    <n v="2360.0500000000002"/>
    <s v="Electronics"/>
    <s v="High"/>
    <n v="150000"/>
    <n v="2360.0500000000002"/>
    <x v="10"/>
    <d v="2024-10-01T00:00:00"/>
  </r>
  <r>
    <s v="ORD200806"/>
    <d v="2023-09-01T00:00:00"/>
    <s v="C55819"/>
    <x v="3"/>
    <n v="5"/>
    <n v="253.75"/>
    <x v="1"/>
    <x v="4"/>
    <n v="9"/>
    <s v="WINTER15"/>
    <x v="0"/>
    <n v="1268.75"/>
    <s v="Furniture"/>
    <s v="Medium"/>
    <n v="70000"/>
    <n v="1268.75"/>
    <x v="24"/>
    <d v="2023-09-01T00:00:00"/>
  </r>
  <r>
    <s v="ORD200807"/>
    <d v="2024-11-10T00:00:00"/>
    <s v="C82344"/>
    <x v="0"/>
    <n v="3"/>
    <n v="676.21"/>
    <x v="1"/>
    <x v="3"/>
    <n v="5"/>
    <s v="SAVE10"/>
    <x v="4"/>
    <n v="2028.63"/>
    <s v="Electronics"/>
    <s v="Medium"/>
    <n v="90000"/>
    <n v="2028.63"/>
    <x v="16"/>
    <d v="2024-11-01T00:00:00"/>
  </r>
  <r>
    <s v="ORD200808"/>
    <d v="2024-02-13T00:00:00"/>
    <s v="C65565"/>
    <x v="6"/>
    <n v="3"/>
    <n v="134.05000000000001"/>
    <x v="2"/>
    <x v="0"/>
    <n v="3"/>
    <m/>
    <x v="4"/>
    <n v="402.15"/>
    <s v="Furniture"/>
    <s v="High"/>
    <n v="75000"/>
    <n v="402.15"/>
    <x v="2"/>
    <d v="2024-02-01T00:00:00"/>
  </r>
  <r>
    <s v="ORD200809"/>
    <d v="2024-04-09T00:00:00"/>
    <s v="C80416"/>
    <x v="6"/>
    <n v="5"/>
    <n v="217.43"/>
    <x v="0"/>
    <x v="0"/>
    <n v="10"/>
    <s v="SAVE10"/>
    <x v="0"/>
    <n v="1087.1500000000001"/>
    <s v="Furniture"/>
    <s v="High"/>
    <n v="75000"/>
    <n v="1087.1500000000001"/>
    <x v="28"/>
    <d v="2024-04-01T00:00:00"/>
  </r>
  <r>
    <s v="ORD200810"/>
    <d v="2023-05-31T00:00:00"/>
    <s v="C23637"/>
    <x v="2"/>
    <n v="1"/>
    <n v="553.55999999999995"/>
    <x v="2"/>
    <x v="1"/>
    <n v="5"/>
    <m/>
    <x v="1"/>
    <n v="553.55999999999995"/>
    <s v="Electronics"/>
    <s v="Medium"/>
    <n v="100000"/>
    <n v="553.55999999999995"/>
    <x v="6"/>
    <d v="2023-05-01T00:00:00"/>
  </r>
  <r>
    <s v="ORD200811"/>
    <d v="2023-11-05T00:00:00"/>
    <s v="C24769"/>
    <x v="5"/>
    <n v="2"/>
    <n v="28.55"/>
    <x v="3"/>
    <x v="0"/>
    <n v="7"/>
    <s v="SAVE10"/>
    <x v="2"/>
    <n v="57.1"/>
    <s v="Electronics"/>
    <s v="High"/>
    <n v="150000"/>
    <n v="57.1"/>
    <x v="8"/>
    <d v="2023-11-01T00:00:00"/>
  </r>
  <r>
    <s v="ORD200812"/>
    <d v="2024-01-26T00:00:00"/>
    <s v="C81547"/>
    <x v="1"/>
    <n v="2"/>
    <n v="255.26"/>
    <x v="2"/>
    <x v="1"/>
    <n v="6"/>
    <s v="FREESHIP"/>
    <x v="4"/>
    <n v="510.52"/>
    <s v="Electronics"/>
    <s v="High"/>
    <n v="120000"/>
    <n v="510.52"/>
    <x v="25"/>
    <d v="2024-01-01T00:00:00"/>
  </r>
  <r>
    <s v="ORD200813"/>
    <d v="2025-03-15T00:00:00"/>
    <s v="C12813"/>
    <x v="5"/>
    <n v="5"/>
    <n v="292.54000000000002"/>
    <x v="0"/>
    <x v="1"/>
    <n v="8"/>
    <s v="FREESHIP"/>
    <x v="2"/>
    <n v="1462.7"/>
    <s v="Electronics"/>
    <s v="High"/>
    <n v="150000"/>
    <n v="1462.7"/>
    <x v="15"/>
    <d v="2025-03-01T00:00:00"/>
  </r>
  <r>
    <s v="ORD200814"/>
    <d v="2024-12-11T00:00:00"/>
    <s v="C50732"/>
    <x v="3"/>
    <n v="4"/>
    <n v="147.51"/>
    <x v="0"/>
    <x v="4"/>
    <n v="4"/>
    <s v="WINTER15"/>
    <x v="0"/>
    <n v="590.04"/>
    <s v="Furniture"/>
    <s v="Medium"/>
    <n v="70000"/>
    <n v="590.04"/>
    <x v="20"/>
    <d v="2024-12-01T00:00:00"/>
  </r>
  <r>
    <s v="ORD200815"/>
    <d v="2024-08-04T00:00:00"/>
    <s v="C41320"/>
    <x v="4"/>
    <n v="3"/>
    <n v="569.84"/>
    <x v="3"/>
    <x v="1"/>
    <n v="8"/>
    <s v="WINTER15"/>
    <x v="0"/>
    <n v="1709.52"/>
    <s v="Electronics"/>
    <s v="Medium"/>
    <n v="80000"/>
    <n v="1709.52"/>
    <x v="1"/>
    <d v="2024-08-01T00:00:00"/>
  </r>
  <r>
    <s v="ORD200816"/>
    <d v="2024-02-21T00:00:00"/>
    <s v="C55286"/>
    <x v="2"/>
    <n v="5"/>
    <n v="574.79"/>
    <x v="2"/>
    <x v="4"/>
    <n v="8"/>
    <s v="WINTER15"/>
    <x v="1"/>
    <n v="2873.95"/>
    <s v="Electronics"/>
    <s v="Medium"/>
    <n v="100000"/>
    <n v="2873.95"/>
    <x v="2"/>
    <d v="2024-02-01T00:00:00"/>
  </r>
  <r>
    <s v="ORD200817"/>
    <d v="2023-10-05T00:00:00"/>
    <s v="C87994"/>
    <x v="3"/>
    <n v="4"/>
    <n v="598.19000000000005"/>
    <x v="2"/>
    <x v="3"/>
    <n v="7"/>
    <s v="WINTER15"/>
    <x v="2"/>
    <n v="2392.7600000000002"/>
    <s v="Furniture"/>
    <s v="Medium"/>
    <n v="70000"/>
    <n v="2392.7600000000002"/>
    <x v="3"/>
    <d v="2023-10-01T00:00:00"/>
  </r>
  <r>
    <s v="ORD200818"/>
    <d v="2023-03-02T00:00:00"/>
    <s v="C25580"/>
    <x v="1"/>
    <n v="4"/>
    <n v="390.84"/>
    <x v="2"/>
    <x v="1"/>
    <n v="9"/>
    <s v="WINTER15"/>
    <x v="1"/>
    <n v="1563.36"/>
    <s v="Electronics"/>
    <s v="High"/>
    <n v="120000"/>
    <n v="1563.36"/>
    <x v="12"/>
    <d v="2023-03-01T00:00:00"/>
  </r>
  <r>
    <s v="ORD200819"/>
    <d v="2024-09-28T00:00:00"/>
    <s v="C66196"/>
    <x v="1"/>
    <n v="2"/>
    <n v="398.45"/>
    <x v="0"/>
    <x v="1"/>
    <n v="7"/>
    <s v="SAVE10"/>
    <x v="4"/>
    <n v="796.9"/>
    <s v="Electronics"/>
    <s v="High"/>
    <n v="120000"/>
    <n v="796.9"/>
    <x v="18"/>
    <d v="2024-09-01T00:00:00"/>
  </r>
  <r>
    <s v="ORD200820"/>
    <d v="2023-05-27T00:00:00"/>
    <s v="C35377"/>
    <x v="1"/>
    <n v="5"/>
    <n v="623.80999999999995"/>
    <x v="4"/>
    <x v="2"/>
    <n v="6"/>
    <s v="FREESHIP"/>
    <x v="2"/>
    <n v="3119.05"/>
    <s v="Electronics"/>
    <s v="High"/>
    <n v="120000"/>
    <n v="3119.05"/>
    <x v="6"/>
    <d v="2023-05-01T00:00:00"/>
  </r>
  <r>
    <s v="ORD200821"/>
    <d v="2024-12-14T00:00:00"/>
    <s v="C40771"/>
    <x v="5"/>
    <n v="4"/>
    <n v="174.49"/>
    <x v="2"/>
    <x v="3"/>
    <n v="5"/>
    <s v="SAVE10"/>
    <x v="3"/>
    <n v="697.96"/>
    <s v="Electronics"/>
    <s v="High"/>
    <n v="150000"/>
    <n v="697.96"/>
    <x v="20"/>
    <d v="2024-12-01T00:00:00"/>
  </r>
  <r>
    <s v="ORD200822"/>
    <d v="2025-03-15T00:00:00"/>
    <s v="C20624"/>
    <x v="1"/>
    <n v="1"/>
    <n v="479.56"/>
    <x v="3"/>
    <x v="2"/>
    <n v="1"/>
    <s v="SAVE10"/>
    <x v="4"/>
    <n v="479.56"/>
    <s v="Electronics"/>
    <s v="High"/>
    <n v="120000"/>
    <n v="479.56"/>
    <x v="15"/>
    <d v="2025-03-01T00:00:00"/>
  </r>
  <r>
    <s v="ORD200823"/>
    <d v="2024-10-07T00:00:00"/>
    <s v="C27070"/>
    <x v="5"/>
    <n v="4"/>
    <n v="653.13"/>
    <x v="2"/>
    <x v="0"/>
    <n v="8"/>
    <s v="WINTER15"/>
    <x v="0"/>
    <n v="2612.52"/>
    <s v="Electronics"/>
    <s v="High"/>
    <n v="150000"/>
    <n v="2612.52"/>
    <x v="10"/>
    <d v="2024-10-01T00:00:00"/>
  </r>
  <r>
    <s v="ORD200824"/>
    <d v="2023-08-29T00:00:00"/>
    <s v="C18826"/>
    <x v="0"/>
    <n v="3"/>
    <n v="481.1"/>
    <x v="2"/>
    <x v="2"/>
    <n v="3"/>
    <s v="FREESHIP"/>
    <x v="3"/>
    <n v="1443.3"/>
    <s v="Electronics"/>
    <s v="Medium"/>
    <n v="90000"/>
    <n v="1443.3"/>
    <x v="11"/>
    <d v="2023-08-01T00:00:00"/>
  </r>
  <r>
    <s v="ORD200825"/>
    <d v="2025-03-26T00:00:00"/>
    <s v="C23899"/>
    <x v="6"/>
    <n v="5"/>
    <n v="271.69"/>
    <x v="1"/>
    <x v="2"/>
    <n v="7"/>
    <s v="FREESHIP"/>
    <x v="0"/>
    <n v="1358.45"/>
    <s v="Furniture"/>
    <s v="High"/>
    <n v="75000"/>
    <n v="1358.45"/>
    <x v="15"/>
    <d v="2025-03-01T00:00:00"/>
  </r>
  <r>
    <s v="ORD200826"/>
    <d v="2025-03-08T00:00:00"/>
    <s v="C43249"/>
    <x v="4"/>
    <n v="3"/>
    <n v="463.81"/>
    <x v="1"/>
    <x v="2"/>
    <n v="8"/>
    <s v="WINTER15"/>
    <x v="2"/>
    <n v="1391.43"/>
    <s v="Electronics"/>
    <s v="Medium"/>
    <n v="80000"/>
    <n v="1391.43"/>
    <x v="15"/>
    <d v="2025-03-01T00:00:00"/>
  </r>
  <r>
    <s v="ORD200827"/>
    <d v="2023-05-25T00:00:00"/>
    <s v="C95856"/>
    <x v="2"/>
    <n v="2"/>
    <n v="639.88"/>
    <x v="4"/>
    <x v="3"/>
    <n v="5"/>
    <s v="WINTER15"/>
    <x v="0"/>
    <n v="1279.76"/>
    <s v="Electronics"/>
    <s v="Medium"/>
    <n v="100000"/>
    <n v="1279.76"/>
    <x v="6"/>
    <d v="2023-05-01T00:00:00"/>
  </r>
  <r>
    <s v="ORD200828"/>
    <d v="2024-07-24T00:00:00"/>
    <s v="C86266"/>
    <x v="3"/>
    <n v="4"/>
    <n v="404.58"/>
    <x v="4"/>
    <x v="0"/>
    <n v="5"/>
    <s v="FREESHIP"/>
    <x v="0"/>
    <n v="1618.32"/>
    <s v="Furniture"/>
    <s v="Medium"/>
    <n v="70000"/>
    <n v="1618.32"/>
    <x v="17"/>
    <d v="2024-07-01T00:00:00"/>
  </r>
  <r>
    <s v="ORD200829"/>
    <d v="2023-02-05T00:00:00"/>
    <s v="C39551"/>
    <x v="0"/>
    <n v="1"/>
    <n v="76.930000000000007"/>
    <x v="0"/>
    <x v="3"/>
    <n v="6"/>
    <s v="WINTER15"/>
    <x v="0"/>
    <n v="76.930000000000007"/>
    <s v="Electronics"/>
    <s v="Medium"/>
    <n v="90000"/>
    <n v="76.930000000000007"/>
    <x v="26"/>
    <d v="2023-02-01T00:00:00"/>
  </r>
  <r>
    <s v="ORD200830"/>
    <d v="2024-12-11T00:00:00"/>
    <s v="C90310"/>
    <x v="2"/>
    <n v="4"/>
    <n v="190.64"/>
    <x v="4"/>
    <x v="3"/>
    <n v="5"/>
    <s v="SAVE10"/>
    <x v="2"/>
    <n v="762.56"/>
    <s v="Electronics"/>
    <s v="Medium"/>
    <n v="100000"/>
    <n v="762.56"/>
    <x v="20"/>
    <d v="2024-12-01T00:00:00"/>
  </r>
  <r>
    <s v="ORD200831"/>
    <d v="2023-12-18T00:00:00"/>
    <s v="C20124"/>
    <x v="4"/>
    <n v="2"/>
    <n v="88.73"/>
    <x v="1"/>
    <x v="4"/>
    <n v="5"/>
    <m/>
    <x v="4"/>
    <n v="177.46"/>
    <s v="Electronics"/>
    <s v="Medium"/>
    <n v="80000"/>
    <n v="177.46"/>
    <x v="9"/>
    <d v="2023-12-01T00:00:00"/>
  </r>
  <r>
    <s v="ORD200832"/>
    <d v="2024-03-12T00:00:00"/>
    <s v="C63372"/>
    <x v="3"/>
    <n v="5"/>
    <n v="485.71"/>
    <x v="1"/>
    <x v="4"/>
    <n v="10"/>
    <s v="SAVE10"/>
    <x v="1"/>
    <n v="2428.5500000000002"/>
    <s v="Furniture"/>
    <s v="Medium"/>
    <n v="70000"/>
    <n v="2428.5500000000002"/>
    <x v="14"/>
    <d v="2024-03-01T00:00:00"/>
  </r>
  <r>
    <s v="ORD200833"/>
    <d v="2025-03-14T00:00:00"/>
    <s v="C90595"/>
    <x v="1"/>
    <n v="5"/>
    <n v="78.290000000000006"/>
    <x v="2"/>
    <x v="0"/>
    <n v="5"/>
    <s v="WINTER15"/>
    <x v="1"/>
    <n v="391.45"/>
    <s v="Electronics"/>
    <s v="High"/>
    <n v="120000"/>
    <n v="391.45"/>
    <x v="15"/>
    <d v="2025-03-01T00:00:00"/>
  </r>
  <r>
    <s v="ORD200834"/>
    <d v="2024-04-11T00:00:00"/>
    <s v="C98483"/>
    <x v="4"/>
    <n v="5"/>
    <n v="22.14"/>
    <x v="4"/>
    <x v="2"/>
    <n v="10"/>
    <m/>
    <x v="0"/>
    <n v="110.7"/>
    <s v="Electronics"/>
    <s v="Medium"/>
    <n v="80000"/>
    <n v="110.7"/>
    <x v="28"/>
    <d v="2024-04-01T00:00:00"/>
  </r>
  <r>
    <s v="ORD200835"/>
    <d v="2024-03-26T00:00:00"/>
    <s v="C16429"/>
    <x v="6"/>
    <n v="1"/>
    <n v="679.65"/>
    <x v="0"/>
    <x v="0"/>
    <n v="6"/>
    <s v="FREESHIP"/>
    <x v="4"/>
    <n v="679.65"/>
    <s v="Furniture"/>
    <s v="High"/>
    <n v="75000"/>
    <n v="679.65"/>
    <x v="14"/>
    <d v="2024-03-01T00:00:00"/>
  </r>
  <r>
    <s v="ORD200836"/>
    <d v="2023-02-02T00:00:00"/>
    <s v="C31810"/>
    <x v="1"/>
    <n v="1"/>
    <n v="178.44"/>
    <x v="2"/>
    <x v="1"/>
    <n v="2"/>
    <s v="FREESHIP"/>
    <x v="4"/>
    <n v="178.44"/>
    <s v="Electronics"/>
    <s v="High"/>
    <n v="120000"/>
    <n v="178.44"/>
    <x v="26"/>
    <d v="2023-02-01T00:00:00"/>
  </r>
  <r>
    <s v="ORD200837"/>
    <d v="2025-06-14T00:00:00"/>
    <s v="C88029"/>
    <x v="3"/>
    <n v="5"/>
    <n v="655.55"/>
    <x v="1"/>
    <x v="3"/>
    <n v="5"/>
    <m/>
    <x v="2"/>
    <n v="3277.75"/>
    <s v="Furniture"/>
    <s v="Medium"/>
    <n v="70000"/>
    <n v="3277.75"/>
    <x v="5"/>
    <d v="2025-06-01T00:00:00"/>
  </r>
  <r>
    <s v="ORD200838"/>
    <d v="2024-04-11T00:00:00"/>
    <s v="C57798"/>
    <x v="6"/>
    <n v="4"/>
    <n v="577.08000000000004"/>
    <x v="1"/>
    <x v="4"/>
    <n v="8"/>
    <m/>
    <x v="3"/>
    <n v="2308.3200000000002"/>
    <s v="Furniture"/>
    <s v="High"/>
    <n v="75000"/>
    <n v="2308.3200000000002"/>
    <x v="28"/>
    <d v="2024-04-01T00:00:00"/>
  </r>
  <r>
    <s v="ORD200839"/>
    <d v="2023-08-24T00:00:00"/>
    <s v="C82858"/>
    <x v="3"/>
    <n v="3"/>
    <n v="197.97"/>
    <x v="1"/>
    <x v="1"/>
    <n v="5"/>
    <m/>
    <x v="4"/>
    <n v="593.91"/>
    <s v="Furniture"/>
    <s v="Medium"/>
    <n v="70000"/>
    <n v="593.91"/>
    <x v="11"/>
    <d v="2023-08-01T00:00:00"/>
  </r>
  <r>
    <s v="ORD200840"/>
    <d v="2024-01-14T00:00:00"/>
    <s v="C60699"/>
    <x v="3"/>
    <n v="3"/>
    <n v="411.95"/>
    <x v="2"/>
    <x v="3"/>
    <n v="7"/>
    <s v="FREESHIP"/>
    <x v="1"/>
    <n v="1235.8499999999999"/>
    <s v="Furniture"/>
    <s v="Medium"/>
    <n v="70000"/>
    <n v="1235.8499999999999"/>
    <x v="25"/>
    <d v="2024-01-01T00:00:00"/>
  </r>
  <r>
    <s v="ORD200841"/>
    <d v="2024-09-19T00:00:00"/>
    <s v="C94658"/>
    <x v="4"/>
    <n v="2"/>
    <n v="443.22"/>
    <x v="2"/>
    <x v="3"/>
    <n v="5"/>
    <m/>
    <x v="3"/>
    <n v="886.44"/>
    <s v="Electronics"/>
    <s v="Medium"/>
    <n v="80000"/>
    <n v="886.44"/>
    <x v="18"/>
    <d v="2024-09-01T00:00:00"/>
  </r>
  <r>
    <s v="ORD200842"/>
    <d v="2025-05-07T00:00:00"/>
    <s v="C78305"/>
    <x v="5"/>
    <n v="3"/>
    <n v="364.14"/>
    <x v="1"/>
    <x v="4"/>
    <n v="7"/>
    <s v="WINTER15"/>
    <x v="1"/>
    <n v="1092.42"/>
    <s v="Electronics"/>
    <s v="High"/>
    <n v="150000"/>
    <n v="1092.42"/>
    <x v="4"/>
    <d v="2025-05-01T00:00:00"/>
  </r>
  <r>
    <s v="ORD200843"/>
    <d v="2025-05-13T00:00:00"/>
    <s v="C43538"/>
    <x v="6"/>
    <n v="3"/>
    <n v="430.06"/>
    <x v="3"/>
    <x v="1"/>
    <n v="8"/>
    <s v="FREESHIP"/>
    <x v="0"/>
    <n v="1290.18"/>
    <s v="Furniture"/>
    <s v="High"/>
    <n v="75000"/>
    <n v="1290.18"/>
    <x v="4"/>
    <d v="2025-05-01T00:00:00"/>
  </r>
  <r>
    <s v="ORD200844"/>
    <d v="2024-12-04T00:00:00"/>
    <s v="C47486"/>
    <x v="3"/>
    <n v="1"/>
    <n v="320.92"/>
    <x v="1"/>
    <x v="2"/>
    <n v="5"/>
    <s v="FREESHIP"/>
    <x v="3"/>
    <n v="320.92"/>
    <s v="Furniture"/>
    <s v="Medium"/>
    <n v="70000"/>
    <n v="320.92"/>
    <x v="20"/>
    <d v="2024-12-01T00:00:00"/>
  </r>
  <r>
    <s v="ORD200845"/>
    <d v="2023-10-08T00:00:00"/>
    <s v="C24212"/>
    <x v="1"/>
    <n v="3"/>
    <n v="107.36"/>
    <x v="3"/>
    <x v="3"/>
    <n v="5"/>
    <s v="FREESHIP"/>
    <x v="4"/>
    <n v="322.08"/>
    <s v="Electronics"/>
    <s v="High"/>
    <n v="120000"/>
    <n v="322.08"/>
    <x v="3"/>
    <d v="2023-10-01T00:00:00"/>
  </r>
  <r>
    <s v="ORD200846"/>
    <d v="2024-07-04T00:00:00"/>
    <s v="C24765"/>
    <x v="6"/>
    <n v="2"/>
    <n v="359.86"/>
    <x v="0"/>
    <x v="1"/>
    <n v="4"/>
    <m/>
    <x v="1"/>
    <n v="719.72"/>
    <s v="Furniture"/>
    <s v="High"/>
    <n v="75000"/>
    <n v="719.72"/>
    <x v="17"/>
    <d v="2024-07-01T00:00:00"/>
  </r>
  <r>
    <s v="ORD200847"/>
    <d v="2024-11-18T00:00:00"/>
    <s v="C48176"/>
    <x v="4"/>
    <n v="4"/>
    <n v="434.23"/>
    <x v="1"/>
    <x v="0"/>
    <n v="8"/>
    <s v="FREESHIP"/>
    <x v="2"/>
    <n v="1736.92"/>
    <s v="Electronics"/>
    <s v="Medium"/>
    <n v="80000"/>
    <n v="1736.92"/>
    <x v="16"/>
    <d v="2024-11-01T00:00:00"/>
  </r>
  <r>
    <s v="ORD200848"/>
    <d v="2023-01-01T00:00:00"/>
    <s v="C54675"/>
    <x v="3"/>
    <n v="2"/>
    <n v="645.85"/>
    <x v="1"/>
    <x v="0"/>
    <n v="5"/>
    <m/>
    <x v="1"/>
    <n v="1291.7"/>
    <s v="Furniture"/>
    <s v="Medium"/>
    <n v="70000"/>
    <n v="1291.7"/>
    <x v="0"/>
    <d v="2023-01-01T00:00:00"/>
  </r>
  <r>
    <s v="ORD200849"/>
    <d v="2025-06-09T00:00:00"/>
    <s v="C16675"/>
    <x v="4"/>
    <n v="4"/>
    <n v="214.35"/>
    <x v="0"/>
    <x v="1"/>
    <n v="7"/>
    <s v="WINTER15"/>
    <x v="1"/>
    <n v="857.4"/>
    <s v="Electronics"/>
    <s v="Medium"/>
    <n v="80000"/>
    <n v="857.4"/>
    <x v="5"/>
    <d v="2025-06-01T00:00:00"/>
  </r>
  <r>
    <s v="ORD200850"/>
    <d v="2025-04-27T00:00:00"/>
    <s v="C38557"/>
    <x v="0"/>
    <n v="3"/>
    <n v="638.5"/>
    <x v="0"/>
    <x v="1"/>
    <n v="4"/>
    <s v="FREESHIP"/>
    <x v="0"/>
    <n v="1915.5"/>
    <s v="Electronics"/>
    <s v="Medium"/>
    <n v="90000"/>
    <n v="1915.5"/>
    <x v="7"/>
    <d v="2025-04-01T00:00:00"/>
  </r>
  <r>
    <s v="ORD200851"/>
    <d v="2023-12-12T00:00:00"/>
    <s v="C80183"/>
    <x v="5"/>
    <n v="1"/>
    <n v="365.57"/>
    <x v="1"/>
    <x v="1"/>
    <n v="5"/>
    <s v="SAVE10"/>
    <x v="2"/>
    <n v="365.57"/>
    <s v="Electronics"/>
    <s v="High"/>
    <n v="150000"/>
    <n v="365.57"/>
    <x v="9"/>
    <d v="2023-12-01T00:00:00"/>
  </r>
  <r>
    <s v="ORD200852"/>
    <d v="2024-10-24T00:00:00"/>
    <s v="C39530"/>
    <x v="6"/>
    <n v="3"/>
    <n v="568.04999999999995"/>
    <x v="3"/>
    <x v="4"/>
    <n v="6"/>
    <s v="SAVE10"/>
    <x v="4"/>
    <n v="1704.15"/>
    <s v="Furniture"/>
    <s v="High"/>
    <n v="75000"/>
    <n v="1704.15"/>
    <x v="10"/>
    <d v="2024-10-01T00:00:00"/>
  </r>
  <r>
    <s v="ORD200853"/>
    <d v="2023-10-16T00:00:00"/>
    <s v="C10002"/>
    <x v="4"/>
    <n v="3"/>
    <n v="490.01"/>
    <x v="4"/>
    <x v="2"/>
    <n v="4"/>
    <s v="SAVE10"/>
    <x v="3"/>
    <n v="1470.03"/>
    <s v="Electronics"/>
    <s v="Medium"/>
    <n v="80000"/>
    <n v="1470.03"/>
    <x v="3"/>
    <d v="2023-10-01T00:00:00"/>
  </r>
  <r>
    <s v="ORD200854"/>
    <d v="2025-06-13T00:00:00"/>
    <s v="C56938"/>
    <x v="5"/>
    <n v="3"/>
    <n v="372.6"/>
    <x v="2"/>
    <x v="3"/>
    <n v="7"/>
    <s v="WINTER15"/>
    <x v="1"/>
    <n v="1117.8"/>
    <s v="Electronics"/>
    <s v="High"/>
    <n v="150000"/>
    <n v="1117.8"/>
    <x v="5"/>
    <d v="2025-06-01T00:00:00"/>
  </r>
  <r>
    <s v="ORD200855"/>
    <d v="2023-05-25T00:00:00"/>
    <s v="C41331"/>
    <x v="0"/>
    <n v="5"/>
    <n v="240.61"/>
    <x v="2"/>
    <x v="0"/>
    <n v="10"/>
    <s v="FREESHIP"/>
    <x v="2"/>
    <n v="1203.05"/>
    <s v="Electronics"/>
    <s v="Medium"/>
    <n v="90000"/>
    <n v="1203.05"/>
    <x v="6"/>
    <d v="2023-05-01T00:00:00"/>
  </r>
  <r>
    <s v="ORD200856"/>
    <d v="2024-06-03T00:00:00"/>
    <s v="C94698"/>
    <x v="1"/>
    <n v="1"/>
    <n v="586.62"/>
    <x v="0"/>
    <x v="0"/>
    <n v="5"/>
    <m/>
    <x v="3"/>
    <n v="586.62"/>
    <s v="Electronics"/>
    <s v="High"/>
    <n v="120000"/>
    <n v="586.62"/>
    <x v="23"/>
    <d v="2024-06-01T00:00:00"/>
  </r>
  <r>
    <s v="ORD200857"/>
    <d v="2024-03-10T00:00:00"/>
    <s v="C56506"/>
    <x v="1"/>
    <n v="3"/>
    <n v="257.83999999999997"/>
    <x v="1"/>
    <x v="3"/>
    <n v="4"/>
    <m/>
    <x v="0"/>
    <n v="773.52"/>
    <s v="Electronics"/>
    <s v="High"/>
    <n v="120000"/>
    <n v="773.52"/>
    <x v="14"/>
    <d v="2024-03-01T00:00:00"/>
  </r>
  <r>
    <s v="ORD200858"/>
    <d v="2023-08-20T00:00:00"/>
    <s v="C22167"/>
    <x v="2"/>
    <n v="5"/>
    <n v="435.66"/>
    <x v="1"/>
    <x v="4"/>
    <n v="9"/>
    <m/>
    <x v="3"/>
    <n v="2178.3000000000002"/>
    <s v="Electronics"/>
    <s v="Medium"/>
    <n v="100000"/>
    <n v="2178.3000000000002"/>
    <x v="11"/>
    <d v="2023-08-01T00:00:00"/>
  </r>
  <r>
    <s v="ORD200859"/>
    <d v="2024-08-28T00:00:00"/>
    <s v="C11127"/>
    <x v="3"/>
    <n v="5"/>
    <n v="261.33"/>
    <x v="2"/>
    <x v="2"/>
    <n v="5"/>
    <s v="SAVE10"/>
    <x v="1"/>
    <n v="1306.6500000000001"/>
    <s v="Furniture"/>
    <s v="Medium"/>
    <n v="70000"/>
    <n v="1306.6500000000001"/>
    <x v="1"/>
    <d v="2024-08-01T00:00:00"/>
  </r>
  <r>
    <s v="ORD200860"/>
    <d v="2024-01-23T00:00:00"/>
    <s v="C69542"/>
    <x v="4"/>
    <n v="1"/>
    <n v="422.54"/>
    <x v="4"/>
    <x v="3"/>
    <n v="1"/>
    <s v="SAVE10"/>
    <x v="4"/>
    <n v="422.54"/>
    <s v="Electronics"/>
    <s v="Medium"/>
    <n v="80000"/>
    <n v="422.54"/>
    <x v="25"/>
    <d v="2024-01-01T00:00:00"/>
  </r>
  <r>
    <s v="ORD200861"/>
    <d v="2023-03-19T00:00:00"/>
    <s v="C93276"/>
    <x v="6"/>
    <n v="5"/>
    <n v="330.45"/>
    <x v="3"/>
    <x v="0"/>
    <n v="10"/>
    <s v="FREESHIP"/>
    <x v="4"/>
    <n v="1652.25"/>
    <s v="Furniture"/>
    <s v="High"/>
    <n v="75000"/>
    <n v="1652.25"/>
    <x v="12"/>
    <d v="2023-03-01T00:00:00"/>
  </r>
  <r>
    <s v="ORD200862"/>
    <d v="2023-12-02T00:00:00"/>
    <s v="C37969"/>
    <x v="6"/>
    <n v="3"/>
    <n v="120.82"/>
    <x v="2"/>
    <x v="0"/>
    <n v="5"/>
    <s v="SAVE10"/>
    <x v="1"/>
    <n v="362.46"/>
    <s v="Furniture"/>
    <s v="High"/>
    <n v="75000"/>
    <n v="362.46"/>
    <x v="9"/>
    <d v="2023-12-01T00:00:00"/>
  </r>
  <r>
    <s v="ORD200863"/>
    <d v="2024-05-20T00:00:00"/>
    <s v="C98276"/>
    <x v="1"/>
    <n v="1"/>
    <n v="14.06"/>
    <x v="2"/>
    <x v="4"/>
    <n v="5"/>
    <s v="SAVE10"/>
    <x v="1"/>
    <n v="14.06"/>
    <s v="Electronics"/>
    <s v="High"/>
    <n v="120000"/>
    <n v="14.06"/>
    <x v="22"/>
    <d v="2024-05-01T00:00:00"/>
  </r>
  <r>
    <s v="ORD200864"/>
    <d v="2023-05-03T00:00:00"/>
    <s v="C14240"/>
    <x v="6"/>
    <n v="1"/>
    <n v="491.11"/>
    <x v="2"/>
    <x v="3"/>
    <n v="4"/>
    <s v="SAVE10"/>
    <x v="3"/>
    <n v="491.11"/>
    <s v="Furniture"/>
    <s v="High"/>
    <n v="75000"/>
    <n v="491.11"/>
    <x v="6"/>
    <d v="2023-05-01T00:00:00"/>
  </r>
  <r>
    <s v="ORD200865"/>
    <d v="2023-04-30T00:00:00"/>
    <s v="C72241"/>
    <x v="0"/>
    <n v="4"/>
    <n v="677.37"/>
    <x v="4"/>
    <x v="4"/>
    <n v="8"/>
    <s v="SAVE10"/>
    <x v="4"/>
    <n v="2709.48"/>
    <s v="Electronics"/>
    <s v="Medium"/>
    <n v="90000"/>
    <n v="2709.48"/>
    <x v="29"/>
    <d v="2023-04-01T00:00:00"/>
  </r>
  <r>
    <s v="ORD200866"/>
    <d v="2024-07-26T00:00:00"/>
    <s v="C39664"/>
    <x v="6"/>
    <n v="5"/>
    <n v="189.25"/>
    <x v="0"/>
    <x v="1"/>
    <n v="10"/>
    <s v="WINTER15"/>
    <x v="2"/>
    <n v="946.25"/>
    <s v="Furniture"/>
    <s v="High"/>
    <n v="75000"/>
    <n v="946.25"/>
    <x v="17"/>
    <d v="2024-07-01T00:00:00"/>
  </r>
  <r>
    <s v="ORD200867"/>
    <d v="2024-05-26T00:00:00"/>
    <s v="C53252"/>
    <x v="4"/>
    <n v="4"/>
    <n v="142.58000000000001"/>
    <x v="4"/>
    <x v="3"/>
    <n v="4"/>
    <s v="FREESHIP"/>
    <x v="3"/>
    <n v="570.32000000000005"/>
    <s v="Electronics"/>
    <s v="Medium"/>
    <n v="80000"/>
    <n v="570.32000000000005"/>
    <x v="22"/>
    <d v="2024-05-01T00:00:00"/>
  </r>
  <r>
    <s v="ORD200868"/>
    <d v="2024-06-29T00:00:00"/>
    <s v="C70452"/>
    <x v="0"/>
    <n v="4"/>
    <n v="316.32"/>
    <x v="0"/>
    <x v="3"/>
    <n v="7"/>
    <m/>
    <x v="3"/>
    <n v="1265.28"/>
    <s v="Electronics"/>
    <s v="Medium"/>
    <n v="90000"/>
    <n v="1265.28"/>
    <x v="23"/>
    <d v="2024-06-01T00:00:00"/>
  </r>
  <r>
    <s v="ORD200869"/>
    <d v="2024-03-17T00:00:00"/>
    <s v="C29905"/>
    <x v="6"/>
    <n v="2"/>
    <n v="533.95000000000005"/>
    <x v="1"/>
    <x v="3"/>
    <n v="5"/>
    <s v="WINTER15"/>
    <x v="4"/>
    <n v="1067.9000000000001"/>
    <s v="Furniture"/>
    <s v="High"/>
    <n v="75000"/>
    <n v="1067.9000000000001"/>
    <x v="14"/>
    <d v="2024-03-01T00:00:00"/>
  </r>
  <r>
    <s v="ORD200870"/>
    <d v="2025-06-01T00:00:00"/>
    <s v="C78725"/>
    <x v="1"/>
    <n v="4"/>
    <n v="470.09"/>
    <x v="0"/>
    <x v="3"/>
    <n v="4"/>
    <s v="FREESHIP"/>
    <x v="4"/>
    <n v="1880.36"/>
    <s v="Electronics"/>
    <s v="High"/>
    <n v="120000"/>
    <n v="1880.36"/>
    <x v="5"/>
    <d v="2025-06-01T00:00:00"/>
  </r>
  <r>
    <s v="ORD200871"/>
    <d v="2024-05-16T00:00:00"/>
    <s v="C93768"/>
    <x v="2"/>
    <n v="3"/>
    <n v="324.3"/>
    <x v="0"/>
    <x v="4"/>
    <n v="8"/>
    <s v="FREESHIP"/>
    <x v="2"/>
    <n v="972.90000000000009"/>
    <s v="Electronics"/>
    <s v="Medium"/>
    <n v="100000"/>
    <n v="972.90000000000009"/>
    <x v="22"/>
    <d v="2024-05-01T00:00:00"/>
  </r>
  <r>
    <s v="ORD200872"/>
    <d v="2023-07-10T00:00:00"/>
    <s v="C59169"/>
    <x v="3"/>
    <n v="4"/>
    <n v="629.34"/>
    <x v="4"/>
    <x v="0"/>
    <n v="7"/>
    <m/>
    <x v="2"/>
    <n v="2517.36"/>
    <s v="Furniture"/>
    <s v="Medium"/>
    <n v="70000"/>
    <n v="2517.36"/>
    <x v="13"/>
    <d v="2023-07-01T00:00:00"/>
  </r>
  <r>
    <s v="ORD200873"/>
    <d v="2024-05-12T00:00:00"/>
    <s v="C53488"/>
    <x v="6"/>
    <n v="3"/>
    <n v="136.84"/>
    <x v="4"/>
    <x v="3"/>
    <n v="3"/>
    <s v="SAVE10"/>
    <x v="3"/>
    <n v="410.52"/>
    <s v="Furniture"/>
    <s v="High"/>
    <n v="75000"/>
    <n v="410.52"/>
    <x v="22"/>
    <d v="2024-05-01T00:00:00"/>
  </r>
  <r>
    <s v="ORD200874"/>
    <d v="2023-10-31T00:00:00"/>
    <s v="C92180"/>
    <x v="3"/>
    <n v="2"/>
    <n v="488.9"/>
    <x v="4"/>
    <x v="3"/>
    <n v="7"/>
    <s v="FREESHIP"/>
    <x v="3"/>
    <n v="977.8"/>
    <s v="Furniture"/>
    <s v="Medium"/>
    <n v="70000"/>
    <n v="977.8"/>
    <x v="3"/>
    <d v="2023-10-01T00:00:00"/>
  </r>
  <r>
    <s v="ORD200875"/>
    <d v="2023-08-03T00:00:00"/>
    <s v="C25918"/>
    <x v="5"/>
    <n v="5"/>
    <n v="133.38999999999999"/>
    <x v="2"/>
    <x v="3"/>
    <n v="6"/>
    <s v="FREESHIP"/>
    <x v="1"/>
    <n v="666.94999999999993"/>
    <s v="Electronics"/>
    <s v="High"/>
    <n v="150000"/>
    <n v="666.94999999999993"/>
    <x v="11"/>
    <d v="2023-08-01T00:00:00"/>
  </r>
  <r>
    <s v="ORD200876"/>
    <d v="2024-06-09T00:00:00"/>
    <s v="C90363"/>
    <x v="3"/>
    <n v="5"/>
    <n v="608.91"/>
    <x v="3"/>
    <x v="4"/>
    <n v="6"/>
    <s v="SAVE10"/>
    <x v="4"/>
    <n v="3044.55"/>
    <s v="Furniture"/>
    <s v="Medium"/>
    <n v="70000"/>
    <n v="3044.55"/>
    <x v="23"/>
    <d v="2024-06-01T00:00:00"/>
  </r>
  <r>
    <s v="ORD200877"/>
    <d v="2024-07-25T00:00:00"/>
    <s v="C43867"/>
    <x v="2"/>
    <n v="1"/>
    <n v="524.05999999999995"/>
    <x v="0"/>
    <x v="4"/>
    <n v="3"/>
    <s v="FREESHIP"/>
    <x v="2"/>
    <n v="524.05999999999995"/>
    <s v="Electronics"/>
    <s v="Medium"/>
    <n v="100000"/>
    <n v="524.05999999999995"/>
    <x v="17"/>
    <d v="2024-07-01T00:00:00"/>
  </r>
  <r>
    <s v="ORD200878"/>
    <d v="2023-06-01T00:00:00"/>
    <s v="C73873"/>
    <x v="6"/>
    <n v="2"/>
    <n v="330.69"/>
    <x v="1"/>
    <x v="1"/>
    <n v="5"/>
    <s v="SAVE10"/>
    <x v="4"/>
    <n v="661.38"/>
    <s v="Furniture"/>
    <s v="High"/>
    <n v="75000"/>
    <n v="661.38"/>
    <x v="19"/>
    <d v="2023-06-01T00:00:00"/>
  </r>
  <r>
    <s v="ORD200879"/>
    <d v="2025-04-08T00:00:00"/>
    <s v="C56622"/>
    <x v="1"/>
    <n v="2"/>
    <n v="547.66999999999996"/>
    <x v="3"/>
    <x v="0"/>
    <n v="3"/>
    <m/>
    <x v="0"/>
    <n v="1095.3399999999999"/>
    <s v="Electronics"/>
    <s v="High"/>
    <n v="120000"/>
    <n v="1095.3399999999999"/>
    <x v="7"/>
    <d v="2025-04-01T00:00:00"/>
  </r>
  <r>
    <s v="ORD200880"/>
    <d v="2025-03-12T00:00:00"/>
    <s v="C85074"/>
    <x v="5"/>
    <n v="4"/>
    <n v="233.7"/>
    <x v="1"/>
    <x v="0"/>
    <n v="8"/>
    <s v="SAVE10"/>
    <x v="3"/>
    <n v="934.8"/>
    <s v="Electronics"/>
    <s v="High"/>
    <n v="150000"/>
    <n v="934.8"/>
    <x v="15"/>
    <d v="2025-03-01T00:00:00"/>
  </r>
  <r>
    <s v="ORD200881"/>
    <d v="2023-01-03T00:00:00"/>
    <s v="C59579"/>
    <x v="2"/>
    <n v="2"/>
    <n v="448.85"/>
    <x v="2"/>
    <x v="4"/>
    <n v="6"/>
    <m/>
    <x v="0"/>
    <n v="897.7"/>
    <s v="Electronics"/>
    <s v="Medium"/>
    <n v="100000"/>
    <n v="897.7"/>
    <x v="0"/>
    <d v="2023-01-01T00:00:00"/>
  </r>
  <r>
    <s v="ORD200882"/>
    <d v="2025-06-28T00:00:00"/>
    <s v="C43335"/>
    <x v="1"/>
    <n v="2"/>
    <n v="274.12"/>
    <x v="4"/>
    <x v="3"/>
    <n v="6"/>
    <s v="FREESHIP"/>
    <x v="1"/>
    <n v="548.24"/>
    <s v="Electronics"/>
    <s v="High"/>
    <n v="120000"/>
    <n v="548.24"/>
    <x v="5"/>
    <d v="2025-06-01T00:00:00"/>
  </r>
  <r>
    <s v="ORD200883"/>
    <d v="2025-05-13T00:00:00"/>
    <s v="C43595"/>
    <x v="4"/>
    <n v="5"/>
    <n v="561.48"/>
    <x v="1"/>
    <x v="3"/>
    <n v="9"/>
    <s v="FREESHIP"/>
    <x v="3"/>
    <n v="2807.4"/>
    <s v="Electronics"/>
    <s v="Medium"/>
    <n v="80000"/>
    <n v="2807.4"/>
    <x v="4"/>
    <d v="2025-05-01T00:00:00"/>
  </r>
  <r>
    <s v="ORD200884"/>
    <d v="2024-05-15T00:00:00"/>
    <s v="C71471"/>
    <x v="3"/>
    <n v="1"/>
    <n v="595.54"/>
    <x v="3"/>
    <x v="0"/>
    <n v="4"/>
    <m/>
    <x v="0"/>
    <n v="595.54"/>
    <s v="Furniture"/>
    <s v="Medium"/>
    <n v="70000"/>
    <n v="595.54"/>
    <x v="22"/>
    <d v="2024-05-01T00:00:00"/>
  </r>
  <r>
    <s v="ORD200885"/>
    <d v="2024-04-07T00:00:00"/>
    <s v="C61090"/>
    <x v="5"/>
    <n v="4"/>
    <n v="515.59"/>
    <x v="2"/>
    <x v="0"/>
    <n v="7"/>
    <s v="FREESHIP"/>
    <x v="4"/>
    <n v="2062.36"/>
    <s v="Electronics"/>
    <s v="High"/>
    <n v="150000"/>
    <n v="2062.36"/>
    <x v="28"/>
    <d v="2024-04-01T00:00:00"/>
  </r>
  <r>
    <s v="ORD200886"/>
    <d v="2023-10-25T00:00:00"/>
    <s v="C29620"/>
    <x v="1"/>
    <n v="1"/>
    <n v="460.13"/>
    <x v="2"/>
    <x v="2"/>
    <n v="1"/>
    <m/>
    <x v="4"/>
    <n v="460.13"/>
    <s v="Electronics"/>
    <s v="High"/>
    <n v="120000"/>
    <n v="460.13"/>
    <x v="3"/>
    <d v="2023-10-01T00:00:00"/>
  </r>
  <r>
    <s v="ORD200887"/>
    <d v="2024-12-19T00:00:00"/>
    <s v="C67932"/>
    <x v="3"/>
    <n v="3"/>
    <n v="171.66"/>
    <x v="0"/>
    <x v="3"/>
    <n v="7"/>
    <m/>
    <x v="4"/>
    <n v="514.98"/>
    <s v="Furniture"/>
    <s v="Medium"/>
    <n v="70000"/>
    <n v="514.98"/>
    <x v="20"/>
    <d v="2024-12-01T00:00:00"/>
  </r>
  <r>
    <s v="ORD200888"/>
    <d v="2024-07-23T00:00:00"/>
    <s v="C14427"/>
    <x v="5"/>
    <n v="2"/>
    <n v="266.95"/>
    <x v="2"/>
    <x v="4"/>
    <n v="3"/>
    <m/>
    <x v="0"/>
    <n v="533.9"/>
    <s v="Electronics"/>
    <s v="High"/>
    <n v="150000"/>
    <n v="533.9"/>
    <x v="17"/>
    <d v="2024-07-01T00:00:00"/>
  </r>
  <r>
    <s v="ORD200889"/>
    <d v="2024-10-27T00:00:00"/>
    <s v="C36725"/>
    <x v="0"/>
    <n v="5"/>
    <n v="650.72"/>
    <x v="2"/>
    <x v="1"/>
    <n v="8"/>
    <s v="WINTER15"/>
    <x v="2"/>
    <n v="3253.6"/>
    <s v="Electronics"/>
    <s v="Medium"/>
    <n v="90000"/>
    <n v="3253.6"/>
    <x v="10"/>
    <d v="2024-10-01T00:00:00"/>
  </r>
  <r>
    <s v="ORD200890"/>
    <d v="2023-08-11T00:00:00"/>
    <s v="C51921"/>
    <x v="5"/>
    <n v="3"/>
    <n v="439.53"/>
    <x v="0"/>
    <x v="4"/>
    <n v="5"/>
    <m/>
    <x v="4"/>
    <n v="1318.59"/>
    <s v="Electronics"/>
    <s v="High"/>
    <n v="150000"/>
    <n v="1318.59"/>
    <x v="11"/>
    <d v="2023-08-01T00:00:00"/>
  </r>
  <r>
    <s v="ORD200891"/>
    <d v="2023-11-11T00:00:00"/>
    <s v="C36534"/>
    <x v="0"/>
    <n v="3"/>
    <n v="654.54"/>
    <x v="4"/>
    <x v="2"/>
    <n v="7"/>
    <s v="SAVE10"/>
    <x v="1"/>
    <n v="1963.62"/>
    <s v="Electronics"/>
    <s v="Medium"/>
    <n v="90000"/>
    <n v="1963.62"/>
    <x v="8"/>
    <d v="2023-11-01T00:00:00"/>
  </r>
  <r>
    <s v="ORD200892"/>
    <d v="2024-06-04T00:00:00"/>
    <s v="C72043"/>
    <x v="6"/>
    <n v="1"/>
    <n v="394.53"/>
    <x v="4"/>
    <x v="0"/>
    <n v="2"/>
    <s v="FREESHIP"/>
    <x v="1"/>
    <n v="394.53"/>
    <s v="Furniture"/>
    <s v="High"/>
    <n v="75000"/>
    <n v="394.53"/>
    <x v="23"/>
    <d v="2024-06-01T00:00:00"/>
  </r>
  <r>
    <s v="ORD200893"/>
    <d v="2023-03-21T00:00:00"/>
    <s v="C99533"/>
    <x v="0"/>
    <n v="1"/>
    <n v="678.01"/>
    <x v="4"/>
    <x v="4"/>
    <n v="4"/>
    <s v="FREESHIP"/>
    <x v="1"/>
    <n v="678.01"/>
    <s v="Electronics"/>
    <s v="Medium"/>
    <n v="90000"/>
    <n v="678.01"/>
    <x v="12"/>
    <d v="2023-03-01T00:00:00"/>
  </r>
  <r>
    <s v="ORD200894"/>
    <d v="2023-05-23T00:00:00"/>
    <s v="C90852"/>
    <x v="2"/>
    <n v="3"/>
    <n v="575.01"/>
    <x v="1"/>
    <x v="1"/>
    <n v="8"/>
    <s v="WINTER15"/>
    <x v="0"/>
    <n v="1725.03"/>
    <s v="Electronics"/>
    <s v="Medium"/>
    <n v="100000"/>
    <n v="1725.03"/>
    <x v="6"/>
    <d v="2023-05-01T00:00:00"/>
  </r>
  <r>
    <s v="ORD200895"/>
    <d v="2023-11-09T00:00:00"/>
    <s v="C81882"/>
    <x v="3"/>
    <n v="3"/>
    <n v="154.63999999999999"/>
    <x v="0"/>
    <x v="4"/>
    <n v="6"/>
    <s v="WINTER15"/>
    <x v="3"/>
    <n v="463.92"/>
    <s v="Furniture"/>
    <s v="Medium"/>
    <n v="70000"/>
    <n v="463.92"/>
    <x v="8"/>
    <d v="2023-11-01T00:00:00"/>
  </r>
  <r>
    <s v="ORD200896"/>
    <d v="2024-10-18T00:00:00"/>
    <s v="C85466"/>
    <x v="6"/>
    <n v="3"/>
    <n v="147.29"/>
    <x v="3"/>
    <x v="0"/>
    <n v="3"/>
    <s v="FREESHIP"/>
    <x v="4"/>
    <n v="441.87"/>
    <s v="Furniture"/>
    <s v="High"/>
    <n v="75000"/>
    <n v="441.87"/>
    <x v="10"/>
    <d v="2024-10-01T00:00:00"/>
  </r>
  <r>
    <s v="ORD200897"/>
    <d v="2024-09-03T00:00:00"/>
    <s v="C87995"/>
    <x v="5"/>
    <n v="4"/>
    <n v="481.48"/>
    <x v="3"/>
    <x v="3"/>
    <n v="5"/>
    <s v="SAVE10"/>
    <x v="0"/>
    <n v="1925.92"/>
    <s v="Electronics"/>
    <s v="High"/>
    <n v="150000"/>
    <n v="1925.92"/>
    <x v="18"/>
    <d v="2024-09-01T00:00:00"/>
  </r>
  <r>
    <s v="ORD200898"/>
    <d v="2025-03-05T00:00:00"/>
    <s v="C44619"/>
    <x v="0"/>
    <n v="3"/>
    <n v="158.37"/>
    <x v="4"/>
    <x v="0"/>
    <n v="6"/>
    <m/>
    <x v="1"/>
    <n v="475.11"/>
    <s v="Electronics"/>
    <s v="Medium"/>
    <n v="90000"/>
    <n v="475.11"/>
    <x v="15"/>
    <d v="2025-03-01T00:00:00"/>
  </r>
  <r>
    <s v="ORD200899"/>
    <d v="2025-04-23T00:00:00"/>
    <s v="C99904"/>
    <x v="4"/>
    <n v="2"/>
    <n v="323.37"/>
    <x v="1"/>
    <x v="4"/>
    <n v="3"/>
    <s v="SAVE10"/>
    <x v="0"/>
    <n v="646.74"/>
    <s v="Electronics"/>
    <s v="Medium"/>
    <n v="80000"/>
    <n v="646.74"/>
    <x v="7"/>
    <d v="2025-04-01T00:00:00"/>
  </r>
  <r>
    <s v="ORD200900"/>
    <d v="2025-02-07T00:00:00"/>
    <s v="C52342"/>
    <x v="5"/>
    <n v="5"/>
    <n v="73.83"/>
    <x v="0"/>
    <x v="4"/>
    <n v="9"/>
    <m/>
    <x v="0"/>
    <n v="369.15"/>
    <s v="Electronics"/>
    <s v="High"/>
    <n v="150000"/>
    <n v="369.15"/>
    <x v="21"/>
    <d v="2025-02-01T00:00:00"/>
  </r>
  <r>
    <s v="ORD200901"/>
    <d v="2024-04-28T00:00:00"/>
    <s v="C44277"/>
    <x v="2"/>
    <n v="1"/>
    <n v="458.63"/>
    <x v="0"/>
    <x v="2"/>
    <n v="4"/>
    <s v="WINTER15"/>
    <x v="1"/>
    <n v="458.63"/>
    <s v="Electronics"/>
    <s v="Medium"/>
    <n v="100000"/>
    <n v="458.63"/>
    <x v="28"/>
    <d v="2024-04-01T00:00:00"/>
  </r>
  <r>
    <s v="ORD200902"/>
    <d v="2024-07-13T00:00:00"/>
    <s v="C61162"/>
    <x v="0"/>
    <n v="4"/>
    <n v="180.25"/>
    <x v="0"/>
    <x v="1"/>
    <n v="7"/>
    <m/>
    <x v="3"/>
    <n v="721"/>
    <s v="Electronics"/>
    <s v="Medium"/>
    <n v="90000"/>
    <n v="721"/>
    <x v="17"/>
    <d v="2024-07-01T00:00:00"/>
  </r>
  <r>
    <s v="ORD200903"/>
    <d v="2023-05-17T00:00:00"/>
    <s v="C80868"/>
    <x v="0"/>
    <n v="3"/>
    <n v="473.49"/>
    <x v="2"/>
    <x v="4"/>
    <n v="7"/>
    <m/>
    <x v="2"/>
    <n v="1420.47"/>
    <s v="Electronics"/>
    <s v="Medium"/>
    <n v="90000"/>
    <n v="1420.47"/>
    <x v="6"/>
    <d v="2023-05-01T00:00:00"/>
  </r>
  <r>
    <s v="ORD200904"/>
    <d v="2025-02-05T00:00:00"/>
    <s v="C16693"/>
    <x v="0"/>
    <n v="4"/>
    <n v="237.43"/>
    <x v="4"/>
    <x v="1"/>
    <n v="8"/>
    <s v="WINTER15"/>
    <x v="1"/>
    <n v="949.72"/>
    <s v="Electronics"/>
    <s v="Medium"/>
    <n v="90000"/>
    <n v="949.72"/>
    <x v="21"/>
    <d v="2025-02-01T00:00:00"/>
  </r>
  <r>
    <s v="ORD200905"/>
    <d v="2023-11-23T00:00:00"/>
    <s v="C67818"/>
    <x v="5"/>
    <n v="1"/>
    <n v="442.39"/>
    <x v="3"/>
    <x v="4"/>
    <n v="6"/>
    <s v="FREESHIP"/>
    <x v="3"/>
    <n v="442.39"/>
    <s v="Electronics"/>
    <s v="High"/>
    <n v="150000"/>
    <n v="442.39"/>
    <x v="8"/>
    <d v="2023-11-01T00:00:00"/>
  </r>
  <r>
    <s v="ORD200906"/>
    <d v="2024-09-03T00:00:00"/>
    <s v="C49938"/>
    <x v="0"/>
    <n v="1"/>
    <n v="62.12"/>
    <x v="4"/>
    <x v="2"/>
    <n v="2"/>
    <m/>
    <x v="2"/>
    <n v="62.12"/>
    <s v="Electronics"/>
    <s v="Medium"/>
    <n v="90000"/>
    <n v="62.12"/>
    <x v="18"/>
    <d v="2024-09-01T00:00:00"/>
  </r>
  <r>
    <s v="ORD200907"/>
    <d v="2024-08-04T00:00:00"/>
    <s v="C90898"/>
    <x v="6"/>
    <n v="5"/>
    <n v="298.39"/>
    <x v="3"/>
    <x v="1"/>
    <n v="7"/>
    <s v="WINTER15"/>
    <x v="1"/>
    <n v="1491.95"/>
    <s v="Furniture"/>
    <s v="High"/>
    <n v="75000"/>
    <n v="1491.95"/>
    <x v="1"/>
    <d v="2024-08-01T00:00:00"/>
  </r>
  <r>
    <s v="ORD200908"/>
    <d v="2025-05-06T00:00:00"/>
    <s v="C35117"/>
    <x v="6"/>
    <n v="2"/>
    <n v="697.93"/>
    <x v="2"/>
    <x v="1"/>
    <n v="2"/>
    <s v="SAVE10"/>
    <x v="4"/>
    <n v="1395.86"/>
    <s v="Furniture"/>
    <s v="High"/>
    <n v="75000"/>
    <n v="1395.86"/>
    <x v="4"/>
    <d v="2025-05-01T00:00:00"/>
  </r>
  <r>
    <s v="ORD200909"/>
    <d v="2024-05-27T00:00:00"/>
    <s v="C60203"/>
    <x v="2"/>
    <n v="2"/>
    <n v="291.85000000000002"/>
    <x v="4"/>
    <x v="0"/>
    <n v="5"/>
    <s v="FREESHIP"/>
    <x v="0"/>
    <n v="583.70000000000005"/>
    <s v="Electronics"/>
    <s v="Medium"/>
    <n v="100000"/>
    <n v="583.70000000000005"/>
    <x v="22"/>
    <d v="2024-05-01T00:00:00"/>
  </r>
  <r>
    <s v="ORD200910"/>
    <d v="2024-05-31T00:00:00"/>
    <s v="C36174"/>
    <x v="4"/>
    <n v="3"/>
    <n v="308.98"/>
    <x v="4"/>
    <x v="3"/>
    <n v="3"/>
    <s v="SAVE10"/>
    <x v="0"/>
    <n v="926.94"/>
    <s v="Electronics"/>
    <s v="Medium"/>
    <n v="80000"/>
    <n v="926.94"/>
    <x v="22"/>
    <d v="2024-05-01T00:00:00"/>
  </r>
  <r>
    <s v="ORD200911"/>
    <d v="2024-08-13T00:00:00"/>
    <s v="C80872"/>
    <x v="6"/>
    <n v="5"/>
    <n v="396.86"/>
    <x v="4"/>
    <x v="1"/>
    <n v="9"/>
    <s v="SAVE10"/>
    <x v="0"/>
    <n v="1984.3"/>
    <s v="Furniture"/>
    <s v="High"/>
    <n v="75000"/>
    <n v="1984.3"/>
    <x v="1"/>
    <d v="2024-08-01T00:00:00"/>
  </r>
  <r>
    <s v="ORD200912"/>
    <d v="2024-01-22T00:00:00"/>
    <s v="C67604"/>
    <x v="6"/>
    <n v="2"/>
    <n v="139.69"/>
    <x v="1"/>
    <x v="2"/>
    <n v="7"/>
    <s v="FREESHIP"/>
    <x v="2"/>
    <n v="279.38"/>
    <s v="Furniture"/>
    <s v="High"/>
    <n v="75000"/>
    <n v="279.38"/>
    <x v="25"/>
    <d v="2024-01-01T00:00:00"/>
  </r>
  <r>
    <s v="ORD200913"/>
    <d v="2023-02-16T00:00:00"/>
    <s v="C45599"/>
    <x v="4"/>
    <n v="5"/>
    <n v="475.95"/>
    <x v="2"/>
    <x v="2"/>
    <n v="8"/>
    <s v="WINTER15"/>
    <x v="3"/>
    <n v="2379.75"/>
    <s v="Electronics"/>
    <s v="Medium"/>
    <n v="80000"/>
    <n v="2379.75"/>
    <x v="26"/>
    <d v="2023-02-01T00:00:00"/>
  </r>
  <r>
    <s v="ORD200914"/>
    <d v="2025-02-10T00:00:00"/>
    <s v="C70352"/>
    <x v="6"/>
    <n v="1"/>
    <n v="626.6"/>
    <x v="3"/>
    <x v="2"/>
    <n v="4"/>
    <s v="WINTER15"/>
    <x v="3"/>
    <n v="626.6"/>
    <s v="Furniture"/>
    <s v="High"/>
    <n v="75000"/>
    <n v="626.6"/>
    <x v="21"/>
    <d v="2025-02-01T00:00:00"/>
  </r>
  <r>
    <s v="ORD200915"/>
    <d v="2024-02-16T00:00:00"/>
    <s v="C20643"/>
    <x v="5"/>
    <n v="4"/>
    <n v="502.99"/>
    <x v="0"/>
    <x v="0"/>
    <n v="4"/>
    <s v="WINTER15"/>
    <x v="1"/>
    <n v="2011.96"/>
    <s v="Electronics"/>
    <s v="High"/>
    <n v="150000"/>
    <n v="2011.96"/>
    <x v="2"/>
    <d v="2024-02-01T00:00:00"/>
  </r>
  <r>
    <s v="ORD200916"/>
    <d v="2024-06-21T00:00:00"/>
    <s v="C35669"/>
    <x v="4"/>
    <n v="5"/>
    <n v="578.83000000000004"/>
    <x v="4"/>
    <x v="2"/>
    <n v="6"/>
    <m/>
    <x v="1"/>
    <n v="2894.15"/>
    <s v="Electronics"/>
    <s v="Medium"/>
    <n v="80000"/>
    <n v="2894.15"/>
    <x v="23"/>
    <d v="2024-06-01T00:00:00"/>
  </r>
  <r>
    <s v="ORD200917"/>
    <d v="2025-01-20T00:00:00"/>
    <s v="C65524"/>
    <x v="5"/>
    <n v="5"/>
    <n v="383.82"/>
    <x v="2"/>
    <x v="2"/>
    <n v="7"/>
    <s v="FREESHIP"/>
    <x v="4"/>
    <n v="1919.1"/>
    <s v="Electronics"/>
    <s v="High"/>
    <n v="150000"/>
    <n v="1919.1"/>
    <x v="27"/>
    <d v="2025-01-01T00:00:00"/>
  </r>
  <r>
    <s v="ORD200918"/>
    <d v="2025-06-24T00:00:00"/>
    <s v="C74359"/>
    <x v="5"/>
    <n v="5"/>
    <n v="368.25"/>
    <x v="1"/>
    <x v="3"/>
    <n v="5"/>
    <m/>
    <x v="0"/>
    <n v="1841.25"/>
    <s v="Electronics"/>
    <s v="High"/>
    <n v="150000"/>
    <n v="1841.25"/>
    <x v="5"/>
    <d v="2025-06-01T00:00:00"/>
  </r>
  <r>
    <s v="ORD200919"/>
    <d v="2025-02-07T00:00:00"/>
    <s v="C92086"/>
    <x v="4"/>
    <n v="2"/>
    <n v="374.6"/>
    <x v="1"/>
    <x v="0"/>
    <n v="3"/>
    <s v="FREESHIP"/>
    <x v="1"/>
    <n v="749.2"/>
    <s v="Electronics"/>
    <s v="Medium"/>
    <n v="80000"/>
    <n v="749.2"/>
    <x v="21"/>
    <d v="2025-02-01T00:00:00"/>
  </r>
  <r>
    <s v="ORD200920"/>
    <d v="2025-03-12T00:00:00"/>
    <s v="C26137"/>
    <x v="2"/>
    <n v="2"/>
    <n v="428.09"/>
    <x v="2"/>
    <x v="2"/>
    <n v="6"/>
    <m/>
    <x v="0"/>
    <n v="856.18"/>
    <s v="Electronics"/>
    <s v="Medium"/>
    <n v="100000"/>
    <n v="856.18"/>
    <x v="15"/>
    <d v="2025-03-01T00:00:00"/>
  </r>
  <r>
    <s v="ORD200921"/>
    <d v="2023-07-24T00:00:00"/>
    <s v="C90573"/>
    <x v="2"/>
    <n v="1"/>
    <n v="438.93"/>
    <x v="3"/>
    <x v="1"/>
    <n v="3"/>
    <s v="SAVE10"/>
    <x v="1"/>
    <n v="438.93"/>
    <s v="Electronics"/>
    <s v="Medium"/>
    <n v="100000"/>
    <n v="438.93"/>
    <x v="13"/>
    <d v="2023-07-01T00:00:00"/>
  </r>
  <r>
    <s v="ORD200922"/>
    <d v="2024-06-17T00:00:00"/>
    <s v="C81857"/>
    <x v="6"/>
    <n v="2"/>
    <n v="563.82000000000005"/>
    <x v="2"/>
    <x v="4"/>
    <n v="3"/>
    <m/>
    <x v="0"/>
    <n v="1127.6400000000001"/>
    <s v="Furniture"/>
    <s v="High"/>
    <n v="75000"/>
    <n v="1127.6400000000001"/>
    <x v="23"/>
    <d v="2024-06-01T00:00:00"/>
  </r>
  <r>
    <s v="ORD200923"/>
    <d v="2023-02-11T00:00:00"/>
    <s v="C91582"/>
    <x v="4"/>
    <n v="3"/>
    <n v="649.92999999999995"/>
    <x v="2"/>
    <x v="4"/>
    <n v="7"/>
    <s v="WINTER15"/>
    <x v="3"/>
    <n v="1949.79"/>
    <s v="Electronics"/>
    <s v="Medium"/>
    <n v="80000"/>
    <n v="1949.79"/>
    <x v="26"/>
    <d v="2023-02-01T00:00:00"/>
  </r>
  <r>
    <s v="ORD200924"/>
    <d v="2025-03-22T00:00:00"/>
    <s v="C81319"/>
    <x v="4"/>
    <n v="5"/>
    <n v="268.43"/>
    <x v="4"/>
    <x v="2"/>
    <n v="5"/>
    <s v="SAVE10"/>
    <x v="2"/>
    <n v="1342.15"/>
    <s v="Electronics"/>
    <s v="Medium"/>
    <n v="80000"/>
    <n v="1342.15"/>
    <x v="15"/>
    <d v="2025-03-01T00:00:00"/>
  </r>
  <r>
    <s v="ORD200925"/>
    <d v="2024-12-20T00:00:00"/>
    <s v="C78500"/>
    <x v="0"/>
    <n v="5"/>
    <n v="502.47"/>
    <x v="1"/>
    <x v="0"/>
    <n v="10"/>
    <s v="WINTER15"/>
    <x v="2"/>
    <n v="2512.35"/>
    <s v="Electronics"/>
    <s v="Medium"/>
    <n v="90000"/>
    <n v="2512.35"/>
    <x v="20"/>
    <d v="2024-12-01T00:00:00"/>
  </r>
  <r>
    <s v="ORD200926"/>
    <d v="2024-03-20T00:00:00"/>
    <s v="C67533"/>
    <x v="6"/>
    <n v="1"/>
    <n v="26.95"/>
    <x v="4"/>
    <x v="3"/>
    <n v="1"/>
    <s v="WINTER15"/>
    <x v="2"/>
    <n v="26.95"/>
    <s v="Furniture"/>
    <s v="High"/>
    <n v="75000"/>
    <n v="26.95"/>
    <x v="14"/>
    <d v="2024-03-01T00:00:00"/>
  </r>
  <r>
    <s v="ORD200927"/>
    <d v="2023-02-14T00:00:00"/>
    <s v="C35566"/>
    <x v="5"/>
    <n v="4"/>
    <n v="64.69"/>
    <x v="0"/>
    <x v="0"/>
    <n v="7"/>
    <s v="WINTER15"/>
    <x v="4"/>
    <n v="258.76"/>
    <s v="Electronics"/>
    <s v="High"/>
    <n v="150000"/>
    <n v="258.76"/>
    <x v="26"/>
    <d v="2023-02-01T00:00:00"/>
  </r>
  <r>
    <s v="ORD200928"/>
    <d v="2024-05-09T00:00:00"/>
    <s v="C77166"/>
    <x v="5"/>
    <n v="3"/>
    <n v="247.11"/>
    <x v="0"/>
    <x v="2"/>
    <n v="3"/>
    <s v="WINTER15"/>
    <x v="1"/>
    <n v="741.33"/>
    <s v="Electronics"/>
    <s v="High"/>
    <n v="150000"/>
    <n v="741.33"/>
    <x v="22"/>
    <d v="2024-05-01T00:00:00"/>
  </r>
  <r>
    <s v="ORD200929"/>
    <d v="2024-10-16T00:00:00"/>
    <s v="C67936"/>
    <x v="2"/>
    <n v="2"/>
    <n v="536.25"/>
    <x v="0"/>
    <x v="4"/>
    <n v="3"/>
    <m/>
    <x v="2"/>
    <n v="1072.5"/>
    <s v="Electronics"/>
    <s v="Medium"/>
    <n v="100000"/>
    <n v="1072.5"/>
    <x v="10"/>
    <d v="2024-10-01T00:00:00"/>
  </r>
  <r>
    <s v="ORD200930"/>
    <d v="2024-12-16T00:00:00"/>
    <s v="C59554"/>
    <x v="1"/>
    <n v="2"/>
    <n v="456.04"/>
    <x v="0"/>
    <x v="2"/>
    <n v="4"/>
    <s v="FREESHIP"/>
    <x v="2"/>
    <n v="912.08"/>
    <s v="Electronics"/>
    <s v="High"/>
    <n v="120000"/>
    <n v="912.08"/>
    <x v="20"/>
    <d v="2024-12-01T00:00:00"/>
  </r>
  <r>
    <s v="ORD200931"/>
    <d v="2024-01-01T00:00:00"/>
    <s v="C14005"/>
    <x v="4"/>
    <n v="2"/>
    <n v="40.229999999999997"/>
    <x v="2"/>
    <x v="1"/>
    <n v="4"/>
    <s v="SAVE10"/>
    <x v="4"/>
    <n v="80.459999999999994"/>
    <s v="Electronics"/>
    <s v="Medium"/>
    <n v="80000"/>
    <n v="80.459999999999994"/>
    <x v="25"/>
    <d v="2024-01-01T00:00:00"/>
  </r>
  <r>
    <s v="ORD200932"/>
    <d v="2023-03-26T00:00:00"/>
    <s v="C26118"/>
    <x v="5"/>
    <n v="2"/>
    <n v="72.39"/>
    <x v="1"/>
    <x v="3"/>
    <n v="7"/>
    <s v="WINTER15"/>
    <x v="0"/>
    <n v="144.78"/>
    <s v="Electronics"/>
    <s v="High"/>
    <n v="150000"/>
    <n v="144.78"/>
    <x v="12"/>
    <d v="2023-03-01T00:00:00"/>
  </r>
  <r>
    <s v="ORD200933"/>
    <d v="2023-01-26T00:00:00"/>
    <s v="C59685"/>
    <x v="0"/>
    <n v="2"/>
    <n v="394.16"/>
    <x v="1"/>
    <x v="0"/>
    <n v="2"/>
    <m/>
    <x v="1"/>
    <n v="788.32"/>
    <s v="Electronics"/>
    <s v="Medium"/>
    <n v="90000"/>
    <n v="788.32"/>
    <x v="0"/>
    <d v="2023-01-01T00:00:00"/>
  </r>
  <r>
    <s v="ORD200934"/>
    <d v="2025-06-01T00:00:00"/>
    <s v="C40304"/>
    <x v="5"/>
    <n v="4"/>
    <n v="119.84"/>
    <x v="3"/>
    <x v="0"/>
    <n v="8"/>
    <s v="FREESHIP"/>
    <x v="1"/>
    <n v="479.36"/>
    <s v="Electronics"/>
    <s v="High"/>
    <n v="150000"/>
    <n v="479.36"/>
    <x v="5"/>
    <d v="2025-06-01T00:00:00"/>
  </r>
  <r>
    <s v="ORD200935"/>
    <d v="2023-11-24T00:00:00"/>
    <s v="C39593"/>
    <x v="1"/>
    <n v="3"/>
    <n v="692.71"/>
    <x v="2"/>
    <x v="3"/>
    <n v="3"/>
    <s v="FREESHIP"/>
    <x v="0"/>
    <n v="2078.13"/>
    <s v="Electronics"/>
    <s v="High"/>
    <n v="120000"/>
    <n v="2078.13"/>
    <x v="8"/>
    <d v="2023-11-01T00:00:00"/>
  </r>
  <r>
    <s v="ORD200936"/>
    <d v="2024-01-12T00:00:00"/>
    <s v="C50612"/>
    <x v="3"/>
    <n v="4"/>
    <n v="56.66"/>
    <x v="1"/>
    <x v="3"/>
    <n v="4"/>
    <s v="SAVE10"/>
    <x v="0"/>
    <n v="226.64"/>
    <s v="Furniture"/>
    <s v="Medium"/>
    <n v="70000"/>
    <n v="226.64"/>
    <x v="25"/>
    <d v="2024-01-01T00:00:00"/>
  </r>
  <r>
    <s v="ORD200937"/>
    <d v="2024-01-16T00:00:00"/>
    <s v="C39791"/>
    <x v="3"/>
    <n v="2"/>
    <n v="298.52999999999997"/>
    <x v="0"/>
    <x v="1"/>
    <n v="5"/>
    <s v="WINTER15"/>
    <x v="2"/>
    <n v="597.05999999999995"/>
    <s v="Furniture"/>
    <s v="Medium"/>
    <n v="70000"/>
    <n v="597.05999999999995"/>
    <x v="25"/>
    <d v="2024-01-01T00:00:00"/>
  </r>
  <r>
    <s v="ORD200938"/>
    <d v="2023-07-12T00:00:00"/>
    <s v="C39017"/>
    <x v="3"/>
    <n v="3"/>
    <n v="331.46"/>
    <x v="2"/>
    <x v="1"/>
    <n v="6"/>
    <s v="WINTER15"/>
    <x v="1"/>
    <n v="994.37999999999988"/>
    <s v="Furniture"/>
    <s v="Medium"/>
    <n v="70000"/>
    <n v="994.37999999999988"/>
    <x v="13"/>
    <d v="2023-07-01T00:00:00"/>
  </r>
  <r>
    <s v="ORD200939"/>
    <d v="2025-04-16T00:00:00"/>
    <s v="C48510"/>
    <x v="5"/>
    <n v="2"/>
    <n v="521.4"/>
    <x v="4"/>
    <x v="3"/>
    <n v="7"/>
    <s v="SAVE10"/>
    <x v="0"/>
    <n v="1042.8"/>
    <s v="Electronics"/>
    <s v="High"/>
    <n v="150000"/>
    <n v="1042.8"/>
    <x v="7"/>
    <d v="2025-04-01T00:00:00"/>
  </r>
  <r>
    <s v="ORD200940"/>
    <d v="2023-03-27T00:00:00"/>
    <s v="C74003"/>
    <x v="4"/>
    <n v="4"/>
    <n v="305.32"/>
    <x v="1"/>
    <x v="1"/>
    <n v="4"/>
    <s v="SAVE10"/>
    <x v="4"/>
    <n v="1221.28"/>
    <s v="Electronics"/>
    <s v="Medium"/>
    <n v="80000"/>
    <n v="1221.28"/>
    <x v="12"/>
    <d v="2023-03-01T00:00:00"/>
  </r>
  <r>
    <s v="ORD200941"/>
    <d v="2023-07-17T00:00:00"/>
    <s v="C91155"/>
    <x v="4"/>
    <n v="5"/>
    <n v="111.7"/>
    <x v="2"/>
    <x v="1"/>
    <n v="9"/>
    <s v="FREESHIP"/>
    <x v="2"/>
    <n v="558.5"/>
    <s v="Electronics"/>
    <s v="Medium"/>
    <n v="80000"/>
    <n v="558.5"/>
    <x v="13"/>
    <d v="2023-07-01T00:00:00"/>
  </r>
  <r>
    <s v="ORD200942"/>
    <d v="2023-09-29T00:00:00"/>
    <s v="C17591"/>
    <x v="2"/>
    <n v="1"/>
    <n v="479.76"/>
    <x v="2"/>
    <x v="4"/>
    <n v="1"/>
    <m/>
    <x v="2"/>
    <n v="479.76"/>
    <s v="Electronics"/>
    <s v="Medium"/>
    <n v="100000"/>
    <n v="479.76"/>
    <x v="24"/>
    <d v="2023-09-01T00:00:00"/>
  </r>
  <r>
    <s v="ORD200943"/>
    <d v="2023-12-27T00:00:00"/>
    <s v="C43330"/>
    <x v="0"/>
    <n v="3"/>
    <n v="193.49"/>
    <x v="3"/>
    <x v="2"/>
    <n v="6"/>
    <s v="FREESHIP"/>
    <x v="3"/>
    <n v="580.47"/>
    <s v="Electronics"/>
    <s v="Medium"/>
    <n v="90000"/>
    <n v="580.47"/>
    <x v="9"/>
    <d v="2023-12-01T00:00:00"/>
  </r>
  <r>
    <s v="ORD200944"/>
    <d v="2024-12-16T00:00:00"/>
    <s v="C32687"/>
    <x v="5"/>
    <n v="2"/>
    <n v="426.22"/>
    <x v="1"/>
    <x v="3"/>
    <n v="7"/>
    <s v="WINTER15"/>
    <x v="4"/>
    <n v="852.44"/>
    <s v="Electronics"/>
    <s v="High"/>
    <n v="150000"/>
    <n v="852.44"/>
    <x v="20"/>
    <d v="2024-12-01T00:00:00"/>
  </r>
  <r>
    <s v="ORD200945"/>
    <d v="2023-08-20T00:00:00"/>
    <s v="C79722"/>
    <x v="2"/>
    <n v="5"/>
    <n v="276.44"/>
    <x v="3"/>
    <x v="0"/>
    <n v="10"/>
    <s v="FREESHIP"/>
    <x v="1"/>
    <n v="1382.2"/>
    <s v="Electronics"/>
    <s v="Medium"/>
    <n v="100000"/>
    <n v="1382.2"/>
    <x v="11"/>
    <d v="2023-08-01T00:00:00"/>
  </r>
  <r>
    <s v="ORD200946"/>
    <d v="2024-05-04T00:00:00"/>
    <s v="C65021"/>
    <x v="1"/>
    <n v="2"/>
    <n v="404.96"/>
    <x v="4"/>
    <x v="0"/>
    <n v="4"/>
    <s v="SAVE10"/>
    <x v="2"/>
    <n v="809.92"/>
    <s v="Electronics"/>
    <s v="High"/>
    <n v="120000"/>
    <n v="809.92"/>
    <x v="22"/>
    <d v="2024-05-01T00:00:00"/>
  </r>
  <r>
    <s v="ORD200947"/>
    <d v="2023-09-07T00:00:00"/>
    <s v="C85520"/>
    <x v="1"/>
    <n v="4"/>
    <n v="465.66"/>
    <x v="1"/>
    <x v="2"/>
    <n v="9"/>
    <s v="FREESHIP"/>
    <x v="2"/>
    <n v="1862.64"/>
    <s v="Electronics"/>
    <s v="High"/>
    <n v="120000"/>
    <n v="1862.64"/>
    <x v="24"/>
    <d v="2023-09-01T00:00:00"/>
  </r>
  <r>
    <s v="ORD200948"/>
    <d v="2024-06-21T00:00:00"/>
    <s v="C94569"/>
    <x v="1"/>
    <n v="2"/>
    <n v="594.07000000000005"/>
    <x v="3"/>
    <x v="1"/>
    <n v="2"/>
    <m/>
    <x v="4"/>
    <n v="1188.1400000000001"/>
    <s v="Electronics"/>
    <s v="High"/>
    <n v="120000"/>
    <n v="1188.1400000000001"/>
    <x v="23"/>
    <d v="2024-06-01T00:00:00"/>
  </r>
  <r>
    <s v="ORD200949"/>
    <d v="2023-11-09T00:00:00"/>
    <s v="C55778"/>
    <x v="6"/>
    <n v="5"/>
    <n v="110.38"/>
    <x v="4"/>
    <x v="4"/>
    <n v="10"/>
    <m/>
    <x v="1"/>
    <n v="551.9"/>
    <s v="Furniture"/>
    <s v="High"/>
    <n v="75000"/>
    <n v="551.9"/>
    <x v="8"/>
    <d v="2023-11-01T00:00:00"/>
  </r>
  <r>
    <s v="ORD200950"/>
    <d v="2024-05-31T00:00:00"/>
    <s v="C19722"/>
    <x v="5"/>
    <n v="1"/>
    <n v="596.24"/>
    <x v="2"/>
    <x v="2"/>
    <n v="4"/>
    <s v="FREESHIP"/>
    <x v="0"/>
    <n v="596.24"/>
    <s v="Electronics"/>
    <s v="High"/>
    <n v="150000"/>
    <n v="596.24"/>
    <x v="22"/>
    <d v="2024-05-01T00:00:00"/>
  </r>
  <r>
    <s v="ORD200951"/>
    <d v="2024-07-22T00:00:00"/>
    <s v="C74928"/>
    <x v="4"/>
    <n v="2"/>
    <n v="306.24"/>
    <x v="1"/>
    <x v="2"/>
    <n v="4"/>
    <s v="FREESHIP"/>
    <x v="2"/>
    <n v="612.48"/>
    <s v="Electronics"/>
    <s v="Medium"/>
    <n v="80000"/>
    <n v="612.48"/>
    <x v="17"/>
    <d v="2024-07-01T00:00:00"/>
  </r>
  <r>
    <s v="ORD200952"/>
    <d v="2025-02-27T00:00:00"/>
    <s v="C49111"/>
    <x v="0"/>
    <n v="3"/>
    <n v="503.39"/>
    <x v="1"/>
    <x v="4"/>
    <n v="5"/>
    <m/>
    <x v="3"/>
    <n v="1510.17"/>
    <s v="Electronics"/>
    <s v="Medium"/>
    <n v="90000"/>
    <n v="1510.17"/>
    <x v="21"/>
    <d v="2025-02-01T00:00:00"/>
  </r>
  <r>
    <s v="ORD200953"/>
    <d v="2023-02-06T00:00:00"/>
    <s v="C43721"/>
    <x v="1"/>
    <n v="1"/>
    <n v="131.61000000000001"/>
    <x v="4"/>
    <x v="0"/>
    <n v="2"/>
    <s v="FREESHIP"/>
    <x v="3"/>
    <n v="131.61000000000001"/>
    <s v="Electronics"/>
    <s v="High"/>
    <n v="120000"/>
    <n v="131.61000000000001"/>
    <x v="26"/>
    <d v="2023-02-01T00:00:00"/>
  </r>
  <r>
    <s v="ORD200954"/>
    <d v="2024-10-22T00:00:00"/>
    <s v="C68609"/>
    <x v="3"/>
    <n v="3"/>
    <n v="443.44"/>
    <x v="3"/>
    <x v="0"/>
    <n v="3"/>
    <s v="FREESHIP"/>
    <x v="4"/>
    <n v="1330.32"/>
    <s v="Furniture"/>
    <s v="Medium"/>
    <n v="70000"/>
    <n v="1330.32"/>
    <x v="10"/>
    <d v="2024-10-01T00:00:00"/>
  </r>
  <r>
    <s v="ORD200955"/>
    <d v="2023-01-23T00:00:00"/>
    <s v="C82068"/>
    <x v="3"/>
    <n v="1"/>
    <n v="408.13"/>
    <x v="3"/>
    <x v="0"/>
    <n v="3"/>
    <s v="WINTER15"/>
    <x v="0"/>
    <n v="408.13"/>
    <s v="Furniture"/>
    <s v="Medium"/>
    <n v="70000"/>
    <n v="408.13"/>
    <x v="0"/>
    <d v="2023-01-01T00:00:00"/>
  </r>
  <r>
    <s v="ORD200956"/>
    <d v="2024-04-11T00:00:00"/>
    <s v="C21191"/>
    <x v="1"/>
    <n v="2"/>
    <n v="160.97999999999999"/>
    <x v="0"/>
    <x v="3"/>
    <n v="3"/>
    <s v="SAVE10"/>
    <x v="1"/>
    <n v="321.95999999999998"/>
    <s v="Electronics"/>
    <s v="High"/>
    <n v="120000"/>
    <n v="321.95999999999998"/>
    <x v="28"/>
    <d v="2024-04-01T00:00:00"/>
  </r>
  <r>
    <s v="ORD200957"/>
    <d v="2023-01-12T00:00:00"/>
    <s v="C73575"/>
    <x v="0"/>
    <n v="5"/>
    <n v="643.89"/>
    <x v="4"/>
    <x v="2"/>
    <n v="8"/>
    <s v="WINTER15"/>
    <x v="3"/>
    <n v="3219.45"/>
    <s v="Electronics"/>
    <s v="Medium"/>
    <n v="90000"/>
    <n v="3219.45"/>
    <x v="0"/>
    <d v="2023-01-01T00:00:00"/>
  </r>
  <r>
    <s v="ORD200958"/>
    <d v="2023-05-13T00:00:00"/>
    <s v="C82685"/>
    <x v="6"/>
    <n v="3"/>
    <n v="158.66"/>
    <x v="3"/>
    <x v="3"/>
    <n v="7"/>
    <s v="WINTER15"/>
    <x v="2"/>
    <n v="475.98"/>
    <s v="Furniture"/>
    <s v="High"/>
    <n v="75000"/>
    <n v="475.98"/>
    <x v="6"/>
    <d v="2023-05-01T00:00:00"/>
  </r>
  <r>
    <s v="ORD200959"/>
    <d v="2024-04-13T00:00:00"/>
    <s v="C73996"/>
    <x v="2"/>
    <n v="2"/>
    <n v="143.82"/>
    <x v="2"/>
    <x v="2"/>
    <n v="6"/>
    <s v="SAVE10"/>
    <x v="0"/>
    <n v="287.64"/>
    <s v="Electronics"/>
    <s v="Medium"/>
    <n v="100000"/>
    <n v="287.64"/>
    <x v="28"/>
    <d v="2024-04-01T00:00:00"/>
  </r>
  <r>
    <s v="ORD200960"/>
    <d v="2023-12-11T00:00:00"/>
    <s v="C87687"/>
    <x v="5"/>
    <n v="3"/>
    <n v="379.07"/>
    <x v="3"/>
    <x v="4"/>
    <n v="3"/>
    <s v="WINTER15"/>
    <x v="4"/>
    <n v="1137.21"/>
    <s v="Electronics"/>
    <s v="High"/>
    <n v="150000"/>
    <n v="1137.21"/>
    <x v="9"/>
    <d v="2023-12-01T00:00:00"/>
  </r>
  <r>
    <s v="ORD200961"/>
    <d v="2024-11-11T00:00:00"/>
    <s v="C55464"/>
    <x v="1"/>
    <n v="1"/>
    <n v="601.36"/>
    <x v="1"/>
    <x v="0"/>
    <n v="1"/>
    <m/>
    <x v="3"/>
    <n v="601.36"/>
    <s v="Electronics"/>
    <s v="High"/>
    <n v="120000"/>
    <n v="601.36"/>
    <x v="16"/>
    <d v="2024-11-01T00:00:00"/>
  </r>
  <r>
    <s v="ORD200962"/>
    <d v="2024-09-06T00:00:00"/>
    <s v="C12459"/>
    <x v="1"/>
    <n v="2"/>
    <n v="142.08000000000001"/>
    <x v="3"/>
    <x v="3"/>
    <n v="4"/>
    <s v="SAVE10"/>
    <x v="1"/>
    <n v="284.16000000000003"/>
    <s v="Electronics"/>
    <s v="High"/>
    <n v="120000"/>
    <n v="284.16000000000003"/>
    <x v="18"/>
    <d v="2024-09-01T00:00:00"/>
  </r>
  <r>
    <s v="ORD200963"/>
    <d v="2024-03-11T00:00:00"/>
    <s v="C88075"/>
    <x v="3"/>
    <n v="5"/>
    <n v="530.34"/>
    <x v="1"/>
    <x v="0"/>
    <n v="9"/>
    <s v="FREESHIP"/>
    <x v="4"/>
    <n v="2651.7"/>
    <s v="Furniture"/>
    <s v="Medium"/>
    <n v="70000"/>
    <n v="2651.7"/>
    <x v="14"/>
    <d v="2024-03-01T00:00:00"/>
  </r>
  <r>
    <s v="ORD200964"/>
    <d v="2023-08-20T00:00:00"/>
    <s v="C18583"/>
    <x v="1"/>
    <n v="5"/>
    <n v="364.42"/>
    <x v="2"/>
    <x v="1"/>
    <n v="10"/>
    <s v="SAVE10"/>
    <x v="1"/>
    <n v="1822.1"/>
    <s v="Electronics"/>
    <s v="High"/>
    <n v="120000"/>
    <n v="1822.1"/>
    <x v="11"/>
    <d v="2023-08-01T00:00:00"/>
  </r>
  <r>
    <s v="ORD200965"/>
    <d v="2025-06-18T00:00:00"/>
    <s v="C70412"/>
    <x v="5"/>
    <n v="4"/>
    <n v="578.28"/>
    <x v="3"/>
    <x v="1"/>
    <n v="5"/>
    <s v="FREESHIP"/>
    <x v="2"/>
    <n v="2313.12"/>
    <s v="Electronics"/>
    <s v="High"/>
    <n v="150000"/>
    <n v="2313.12"/>
    <x v="5"/>
    <d v="2025-06-01T00:00:00"/>
  </r>
  <r>
    <s v="ORD200966"/>
    <d v="2025-05-20T00:00:00"/>
    <s v="C58503"/>
    <x v="0"/>
    <n v="5"/>
    <n v="280.52"/>
    <x v="2"/>
    <x v="1"/>
    <n v="7"/>
    <s v="WINTER15"/>
    <x v="3"/>
    <n v="1402.6"/>
    <s v="Electronics"/>
    <s v="Medium"/>
    <n v="90000"/>
    <n v="1402.6"/>
    <x v="4"/>
    <d v="2025-05-01T00:00:00"/>
  </r>
  <r>
    <s v="ORD200967"/>
    <d v="2025-05-06T00:00:00"/>
    <s v="C52879"/>
    <x v="2"/>
    <n v="5"/>
    <n v="638.91999999999996"/>
    <x v="2"/>
    <x v="2"/>
    <n v="5"/>
    <s v="FREESHIP"/>
    <x v="4"/>
    <n v="3194.6"/>
    <s v="Electronics"/>
    <s v="Medium"/>
    <n v="100000"/>
    <n v="3194.6"/>
    <x v="4"/>
    <d v="2025-05-01T00:00:00"/>
  </r>
  <r>
    <s v="ORD200968"/>
    <d v="2024-02-08T00:00:00"/>
    <s v="C67870"/>
    <x v="0"/>
    <n v="4"/>
    <n v="412.2"/>
    <x v="2"/>
    <x v="0"/>
    <n v="6"/>
    <s v="WINTER15"/>
    <x v="1"/>
    <n v="1648.8"/>
    <s v="Electronics"/>
    <s v="Medium"/>
    <n v="90000"/>
    <n v="1648.8"/>
    <x v="2"/>
    <d v="2024-02-01T00:00:00"/>
  </r>
  <r>
    <s v="ORD200969"/>
    <d v="2025-06-05T00:00:00"/>
    <s v="C19439"/>
    <x v="6"/>
    <n v="1"/>
    <n v="440.34"/>
    <x v="3"/>
    <x v="0"/>
    <n v="2"/>
    <s v="WINTER15"/>
    <x v="3"/>
    <n v="440.34"/>
    <s v="Furniture"/>
    <s v="High"/>
    <n v="75000"/>
    <n v="440.34"/>
    <x v="5"/>
    <d v="2025-06-01T00:00:00"/>
  </r>
  <r>
    <s v="ORD200970"/>
    <d v="2024-09-07T00:00:00"/>
    <s v="C72664"/>
    <x v="6"/>
    <n v="1"/>
    <n v="627.15"/>
    <x v="4"/>
    <x v="3"/>
    <n v="5"/>
    <s v="SAVE10"/>
    <x v="0"/>
    <n v="627.15"/>
    <s v="Furniture"/>
    <s v="High"/>
    <n v="75000"/>
    <n v="627.15"/>
    <x v="18"/>
    <d v="2024-09-01T00:00:00"/>
  </r>
  <r>
    <s v="ORD200971"/>
    <d v="2024-05-27T00:00:00"/>
    <s v="C32650"/>
    <x v="0"/>
    <n v="2"/>
    <n v="605.26"/>
    <x v="4"/>
    <x v="1"/>
    <n v="4"/>
    <s v="WINTER15"/>
    <x v="1"/>
    <n v="1210.52"/>
    <s v="Electronics"/>
    <s v="Medium"/>
    <n v="90000"/>
    <n v="1210.52"/>
    <x v="22"/>
    <d v="2024-05-01T00:00:00"/>
  </r>
  <r>
    <s v="ORD200972"/>
    <d v="2024-06-09T00:00:00"/>
    <s v="C66438"/>
    <x v="5"/>
    <n v="1"/>
    <n v="90.27"/>
    <x v="4"/>
    <x v="3"/>
    <n v="5"/>
    <s v="SAVE10"/>
    <x v="3"/>
    <n v="90.27"/>
    <s v="Electronics"/>
    <s v="High"/>
    <n v="150000"/>
    <n v="90.27"/>
    <x v="23"/>
    <d v="2024-06-01T00:00:00"/>
  </r>
  <r>
    <s v="ORD200973"/>
    <d v="2025-06-09T00:00:00"/>
    <s v="C70010"/>
    <x v="6"/>
    <n v="5"/>
    <n v="230.77"/>
    <x v="1"/>
    <x v="4"/>
    <n v="10"/>
    <s v="WINTER15"/>
    <x v="1"/>
    <n v="1153.8499999999999"/>
    <s v="Furniture"/>
    <s v="High"/>
    <n v="75000"/>
    <n v="1153.8499999999999"/>
    <x v="5"/>
    <d v="2025-06-01T00:00:00"/>
  </r>
  <r>
    <s v="ORD200974"/>
    <d v="2023-09-27T00:00:00"/>
    <s v="C30722"/>
    <x v="6"/>
    <n v="5"/>
    <n v="266.77999999999997"/>
    <x v="3"/>
    <x v="1"/>
    <n v="5"/>
    <m/>
    <x v="2"/>
    <n v="1333.9"/>
    <s v="Furniture"/>
    <s v="High"/>
    <n v="75000"/>
    <n v="1333.9"/>
    <x v="24"/>
    <d v="2023-09-01T00:00:00"/>
  </r>
  <r>
    <s v="ORD200975"/>
    <d v="2023-05-18T00:00:00"/>
    <s v="C70529"/>
    <x v="6"/>
    <n v="1"/>
    <n v="105.92"/>
    <x v="3"/>
    <x v="2"/>
    <n v="6"/>
    <s v="SAVE10"/>
    <x v="2"/>
    <n v="105.92"/>
    <s v="Furniture"/>
    <s v="High"/>
    <n v="75000"/>
    <n v="105.92"/>
    <x v="6"/>
    <d v="2023-05-01T00:00:00"/>
  </r>
  <r>
    <s v="ORD200976"/>
    <d v="2024-04-04T00:00:00"/>
    <s v="C18984"/>
    <x v="2"/>
    <n v="3"/>
    <n v="589.29999999999995"/>
    <x v="2"/>
    <x v="2"/>
    <n v="6"/>
    <s v="WINTER15"/>
    <x v="1"/>
    <n v="1767.9"/>
    <s v="Electronics"/>
    <s v="Medium"/>
    <n v="100000"/>
    <n v="1767.9"/>
    <x v="28"/>
    <d v="2024-04-01T00:00:00"/>
  </r>
  <r>
    <s v="ORD200977"/>
    <d v="2023-01-28T00:00:00"/>
    <s v="C85841"/>
    <x v="3"/>
    <n v="4"/>
    <n v="649.47"/>
    <x v="4"/>
    <x v="4"/>
    <n v="8"/>
    <s v="SAVE10"/>
    <x v="4"/>
    <n v="2597.88"/>
    <s v="Furniture"/>
    <s v="Medium"/>
    <n v="70000"/>
    <n v="2597.88"/>
    <x v="0"/>
    <d v="2023-01-01T00:00:00"/>
  </r>
  <r>
    <s v="ORD200978"/>
    <d v="2024-06-25T00:00:00"/>
    <s v="C41508"/>
    <x v="4"/>
    <n v="4"/>
    <n v="107.49"/>
    <x v="4"/>
    <x v="3"/>
    <n v="5"/>
    <m/>
    <x v="4"/>
    <n v="429.96"/>
    <s v="Electronics"/>
    <s v="Medium"/>
    <n v="80000"/>
    <n v="429.96"/>
    <x v="23"/>
    <d v="2024-06-01T00:00:00"/>
  </r>
  <r>
    <s v="ORD200979"/>
    <d v="2023-05-31T00:00:00"/>
    <s v="C75018"/>
    <x v="0"/>
    <n v="3"/>
    <n v="669.06"/>
    <x v="4"/>
    <x v="3"/>
    <n v="7"/>
    <s v="SAVE10"/>
    <x v="3"/>
    <n v="2007.18"/>
    <s v="Electronics"/>
    <s v="Medium"/>
    <n v="90000"/>
    <n v="2007.18"/>
    <x v="6"/>
    <d v="2023-05-01T00:00:00"/>
  </r>
  <r>
    <s v="ORD200980"/>
    <d v="2023-10-14T00:00:00"/>
    <s v="C84320"/>
    <x v="3"/>
    <n v="3"/>
    <n v="69.650000000000006"/>
    <x v="4"/>
    <x v="3"/>
    <n v="7"/>
    <s v="WINTER15"/>
    <x v="0"/>
    <n v="208.95"/>
    <s v="Furniture"/>
    <s v="Medium"/>
    <n v="70000"/>
    <n v="208.95"/>
    <x v="3"/>
    <d v="2023-10-01T00:00:00"/>
  </r>
  <r>
    <s v="ORD200981"/>
    <d v="2023-11-26T00:00:00"/>
    <s v="C12609"/>
    <x v="1"/>
    <n v="4"/>
    <n v="136.83000000000001"/>
    <x v="0"/>
    <x v="4"/>
    <n v="8"/>
    <s v="SAVE10"/>
    <x v="2"/>
    <n v="547.32000000000005"/>
    <s v="Electronics"/>
    <s v="High"/>
    <n v="120000"/>
    <n v="547.32000000000005"/>
    <x v="8"/>
    <d v="2023-11-01T00:00:00"/>
  </r>
  <r>
    <s v="ORD200982"/>
    <d v="2024-09-06T00:00:00"/>
    <s v="C64935"/>
    <x v="0"/>
    <n v="1"/>
    <n v="304.11"/>
    <x v="3"/>
    <x v="0"/>
    <n v="2"/>
    <s v="SAVE10"/>
    <x v="1"/>
    <n v="304.11"/>
    <s v="Electronics"/>
    <s v="Medium"/>
    <n v="90000"/>
    <n v="304.11"/>
    <x v="18"/>
    <d v="2024-09-01T00:00:00"/>
  </r>
  <r>
    <s v="ORD200983"/>
    <d v="2024-11-24T00:00:00"/>
    <s v="C67528"/>
    <x v="0"/>
    <n v="4"/>
    <n v="296.27999999999997"/>
    <x v="3"/>
    <x v="0"/>
    <n v="5"/>
    <s v="SAVE10"/>
    <x v="2"/>
    <n v="1185.1199999999999"/>
    <s v="Electronics"/>
    <s v="Medium"/>
    <n v="90000"/>
    <n v="1185.1199999999999"/>
    <x v="16"/>
    <d v="2024-11-01T00:00:00"/>
  </r>
  <r>
    <s v="ORD200984"/>
    <d v="2025-02-28T00:00:00"/>
    <s v="C44176"/>
    <x v="6"/>
    <n v="1"/>
    <n v="77.64"/>
    <x v="2"/>
    <x v="0"/>
    <n v="1"/>
    <s v="FREESHIP"/>
    <x v="3"/>
    <n v="77.64"/>
    <s v="Furniture"/>
    <s v="High"/>
    <n v="75000"/>
    <n v="77.64"/>
    <x v="21"/>
    <d v="2025-02-01T00:00:00"/>
  </r>
  <r>
    <s v="ORD200985"/>
    <d v="2024-07-20T00:00:00"/>
    <s v="C92788"/>
    <x v="6"/>
    <n v="1"/>
    <n v="243.71"/>
    <x v="3"/>
    <x v="3"/>
    <n v="6"/>
    <s v="SAVE10"/>
    <x v="4"/>
    <n v="243.71"/>
    <s v="Furniture"/>
    <s v="High"/>
    <n v="75000"/>
    <n v="243.71"/>
    <x v="17"/>
    <d v="2024-07-01T00:00:00"/>
  </r>
  <r>
    <s v="ORD200986"/>
    <d v="2024-09-07T00:00:00"/>
    <s v="C69213"/>
    <x v="5"/>
    <n v="4"/>
    <n v="644.96"/>
    <x v="2"/>
    <x v="4"/>
    <n v="7"/>
    <s v="FREESHIP"/>
    <x v="2"/>
    <n v="2579.84"/>
    <s v="Electronics"/>
    <s v="High"/>
    <n v="150000"/>
    <n v="2579.84"/>
    <x v="18"/>
    <d v="2024-09-01T00:00:00"/>
  </r>
  <r>
    <s v="ORD200987"/>
    <d v="2025-06-05T00:00:00"/>
    <s v="C67387"/>
    <x v="1"/>
    <n v="5"/>
    <n v="283.73"/>
    <x v="3"/>
    <x v="4"/>
    <n v="8"/>
    <s v="FREESHIP"/>
    <x v="0"/>
    <n v="1418.65"/>
    <s v="Electronics"/>
    <s v="High"/>
    <n v="120000"/>
    <n v="1418.65"/>
    <x v="5"/>
    <d v="2025-06-01T00:00:00"/>
  </r>
  <r>
    <s v="ORD200988"/>
    <d v="2025-02-04T00:00:00"/>
    <s v="C90318"/>
    <x v="6"/>
    <n v="2"/>
    <n v="629.55999999999995"/>
    <x v="3"/>
    <x v="1"/>
    <n v="5"/>
    <s v="WINTER15"/>
    <x v="0"/>
    <n v="1259.1199999999999"/>
    <s v="Furniture"/>
    <s v="High"/>
    <n v="75000"/>
    <n v="1259.1199999999999"/>
    <x v="21"/>
    <d v="2025-02-01T00:00:00"/>
  </r>
  <r>
    <s v="ORD200989"/>
    <d v="2023-03-23T00:00:00"/>
    <s v="C49995"/>
    <x v="5"/>
    <n v="4"/>
    <n v="246.11"/>
    <x v="2"/>
    <x v="4"/>
    <n v="4"/>
    <s v="SAVE10"/>
    <x v="0"/>
    <n v="984.44"/>
    <s v="Electronics"/>
    <s v="High"/>
    <n v="150000"/>
    <n v="984.44"/>
    <x v="12"/>
    <d v="2023-03-01T00:00:00"/>
  </r>
  <r>
    <s v="ORD200990"/>
    <d v="2023-11-19T00:00:00"/>
    <s v="C52313"/>
    <x v="1"/>
    <n v="2"/>
    <n v="418.26"/>
    <x v="0"/>
    <x v="4"/>
    <n v="2"/>
    <s v="SAVE10"/>
    <x v="4"/>
    <n v="836.52"/>
    <s v="Electronics"/>
    <s v="High"/>
    <n v="120000"/>
    <n v="836.52"/>
    <x v="8"/>
    <d v="2023-11-01T00:00:00"/>
  </r>
  <r>
    <s v="ORD200991"/>
    <d v="2024-05-09T00:00:00"/>
    <s v="C10211"/>
    <x v="6"/>
    <n v="5"/>
    <n v="127.18"/>
    <x v="0"/>
    <x v="1"/>
    <n v="10"/>
    <s v="FREESHIP"/>
    <x v="4"/>
    <n v="635.90000000000009"/>
    <s v="Furniture"/>
    <s v="High"/>
    <n v="75000"/>
    <n v="635.90000000000009"/>
    <x v="22"/>
    <d v="2024-05-01T00:00:00"/>
  </r>
  <r>
    <s v="ORD200992"/>
    <d v="2024-08-27T00:00:00"/>
    <s v="C97907"/>
    <x v="4"/>
    <n v="3"/>
    <n v="586.21"/>
    <x v="3"/>
    <x v="4"/>
    <n v="4"/>
    <s v="WINTER15"/>
    <x v="1"/>
    <n v="1758.63"/>
    <s v="Electronics"/>
    <s v="Medium"/>
    <n v="80000"/>
    <n v="1758.63"/>
    <x v="1"/>
    <d v="2024-08-01T00:00:00"/>
  </r>
  <r>
    <s v="ORD200993"/>
    <d v="2024-04-06T00:00:00"/>
    <s v="C61384"/>
    <x v="0"/>
    <n v="3"/>
    <n v="267.45"/>
    <x v="3"/>
    <x v="3"/>
    <n v="5"/>
    <s v="WINTER15"/>
    <x v="0"/>
    <n v="802.34999999999991"/>
    <s v="Electronics"/>
    <s v="Medium"/>
    <n v="90000"/>
    <n v="802.34999999999991"/>
    <x v="28"/>
    <d v="2024-04-01T00:00:00"/>
  </r>
  <r>
    <s v="ORD200994"/>
    <d v="2024-06-27T00:00:00"/>
    <s v="C27613"/>
    <x v="2"/>
    <n v="4"/>
    <n v="615.65"/>
    <x v="0"/>
    <x v="3"/>
    <n v="9"/>
    <s v="WINTER15"/>
    <x v="4"/>
    <n v="2462.6"/>
    <s v="Electronics"/>
    <s v="Medium"/>
    <n v="100000"/>
    <n v="2462.6"/>
    <x v="23"/>
    <d v="2024-06-01T00:00:00"/>
  </r>
  <r>
    <s v="ORD200995"/>
    <d v="2023-11-18T00:00:00"/>
    <s v="C99271"/>
    <x v="0"/>
    <n v="2"/>
    <n v="113.29"/>
    <x v="4"/>
    <x v="4"/>
    <n v="5"/>
    <s v="SAVE10"/>
    <x v="3"/>
    <n v="226.58"/>
    <s v="Electronics"/>
    <s v="Medium"/>
    <n v="90000"/>
    <n v="226.58"/>
    <x v="8"/>
    <d v="2023-11-01T00:00:00"/>
  </r>
  <r>
    <s v="ORD200996"/>
    <d v="2024-04-28T00:00:00"/>
    <s v="C28648"/>
    <x v="0"/>
    <n v="4"/>
    <n v="473.86"/>
    <x v="0"/>
    <x v="3"/>
    <n v="7"/>
    <s v="SAVE10"/>
    <x v="3"/>
    <n v="1895.44"/>
    <s v="Electronics"/>
    <s v="Medium"/>
    <n v="90000"/>
    <n v="1895.44"/>
    <x v="28"/>
    <d v="2024-04-01T00:00:00"/>
  </r>
  <r>
    <s v="ORD200997"/>
    <d v="2023-11-27T00:00:00"/>
    <s v="C26210"/>
    <x v="5"/>
    <n v="3"/>
    <n v="444.75"/>
    <x v="4"/>
    <x v="3"/>
    <n v="6"/>
    <s v="SAVE10"/>
    <x v="3"/>
    <n v="1334.25"/>
    <s v="Electronics"/>
    <s v="High"/>
    <n v="150000"/>
    <n v="1334.25"/>
    <x v="8"/>
    <d v="2023-11-01T00:00:00"/>
  </r>
  <r>
    <s v="ORD200998"/>
    <d v="2023-05-19T00:00:00"/>
    <s v="C90350"/>
    <x v="1"/>
    <n v="2"/>
    <n v="183.67"/>
    <x v="0"/>
    <x v="1"/>
    <n v="6"/>
    <s v="SAVE10"/>
    <x v="4"/>
    <n v="367.34"/>
    <s v="Electronics"/>
    <s v="High"/>
    <n v="120000"/>
    <n v="367.34"/>
    <x v="6"/>
    <d v="2023-05-01T00:00:00"/>
  </r>
  <r>
    <s v="ORD200999"/>
    <d v="2023-12-24T00:00:00"/>
    <s v="C61957"/>
    <x v="4"/>
    <n v="1"/>
    <n v="483.38"/>
    <x v="4"/>
    <x v="4"/>
    <n v="6"/>
    <s v="FREESHIP"/>
    <x v="4"/>
    <n v="483.38"/>
    <s v="Electronics"/>
    <s v="Medium"/>
    <n v="80000"/>
    <n v="483.38"/>
    <x v="9"/>
    <d v="2023-12-01T00:00:00"/>
  </r>
  <r>
    <s v="ORD201000"/>
    <d v="2023-06-21T00:00:00"/>
    <s v="C90132"/>
    <x v="4"/>
    <n v="5"/>
    <n v="260.93"/>
    <x v="1"/>
    <x v="3"/>
    <n v="9"/>
    <s v="SAVE10"/>
    <x v="2"/>
    <n v="1304.6500000000001"/>
    <s v="Electronics"/>
    <s v="Medium"/>
    <n v="80000"/>
    <n v="1304.6500000000001"/>
    <x v="19"/>
    <d v="2023-06-01T00:00:00"/>
  </r>
  <r>
    <s v="ORD201001"/>
    <d v="2023-12-08T00:00:00"/>
    <s v="C31371"/>
    <x v="4"/>
    <n v="2"/>
    <n v="253.68"/>
    <x v="3"/>
    <x v="0"/>
    <n v="6"/>
    <m/>
    <x v="1"/>
    <n v="507.36"/>
    <s v="Electronics"/>
    <s v="Medium"/>
    <n v="80000"/>
    <n v="507.36"/>
    <x v="9"/>
    <d v="2023-12-01T00:00:00"/>
  </r>
  <r>
    <s v="ORD201002"/>
    <d v="2025-06-19T00:00:00"/>
    <s v="C83911"/>
    <x v="2"/>
    <n v="4"/>
    <n v="699.88"/>
    <x v="4"/>
    <x v="4"/>
    <n v="5"/>
    <s v="WINTER15"/>
    <x v="1"/>
    <n v="2799.52"/>
    <s v="Electronics"/>
    <s v="Medium"/>
    <n v="100000"/>
    <n v="2799.52"/>
    <x v="5"/>
    <d v="2025-06-01T00:00:00"/>
  </r>
  <r>
    <s v="ORD201003"/>
    <d v="2023-01-11T00:00:00"/>
    <s v="C84700"/>
    <x v="4"/>
    <n v="5"/>
    <n v="319.97000000000003"/>
    <x v="4"/>
    <x v="0"/>
    <n v="7"/>
    <s v="SAVE10"/>
    <x v="4"/>
    <n v="1599.85"/>
    <s v="Electronics"/>
    <s v="Medium"/>
    <n v="80000"/>
    <n v="1599.85"/>
    <x v="0"/>
    <d v="2023-01-01T00:00:00"/>
  </r>
  <r>
    <s v="ORD201004"/>
    <d v="2025-06-09T00:00:00"/>
    <s v="C87529"/>
    <x v="3"/>
    <n v="4"/>
    <n v="246.91"/>
    <x v="1"/>
    <x v="4"/>
    <n v="8"/>
    <s v="SAVE10"/>
    <x v="1"/>
    <n v="987.64"/>
    <s v="Furniture"/>
    <s v="Medium"/>
    <n v="70000"/>
    <n v="987.64"/>
    <x v="5"/>
    <d v="2025-06-01T00:00:00"/>
  </r>
  <r>
    <s v="ORD201005"/>
    <d v="2023-03-02T00:00:00"/>
    <s v="C38065"/>
    <x v="4"/>
    <n v="3"/>
    <n v="392.85"/>
    <x v="2"/>
    <x v="2"/>
    <n v="6"/>
    <m/>
    <x v="4"/>
    <n v="1178.55"/>
    <s v="Electronics"/>
    <s v="Medium"/>
    <n v="80000"/>
    <n v="1178.55"/>
    <x v="12"/>
    <d v="2023-03-01T00:00:00"/>
  </r>
  <r>
    <s v="ORD201006"/>
    <d v="2024-05-27T00:00:00"/>
    <s v="C27435"/>
    <x v="2"/>
    <n v="5"/>
    <n v="420.98"/>
    <x v="4"/>
    <x v="3"/>
    <n v="7"/>
    <s v="SAVE10"/>
    <x v="3"/>
    <n v="2104.9"/>
    <s v="Electronics"/>
    <s v="Medium"/>
    <n v="100000"/>
    <n v="2104.9"/>
    <x v="22"/>
    <d v="2024-05-01T00:00:00"/>
  </r>
  <r>
    <s v="ORD201007"/>
    <d v="2024-03-20T00:00:00"/>
    <s v="C46651"/>
    <x v="0"/>
    <n v="2"/>
    <n v="73.260000000000005"/>
    <x v="4"/>
    <x v="4"/>
    <n v="4"/>
    <s v="WINTER15"/>
    <x v="3"/>
    <n v="146.52000000000001"/>
    <s v="Electronics"/>
    <s v="Medium"/>
    <n v="90000"/>
    <n v="146.52000000000001"/>
    <x v="14"/>
    <d v="2024-03-01T00:00:00"/>
  </r>
  <r>
    <s v="ORD201008"/>
    <d v="2023-01-13T00:00:00"/>
    <s v="C62557"/>
    <x v="0"/>
    <n v="3"/>
    <n v="410.88"/>
    <x v="4"/>
    <x v="3"/>
    <n v="8"/>
    <s v="FREESHIP"/>
    <x v="0"/>
    <n v="1232.6400000000001"/>
    <s v="Electronics"/>
    <s v="Medium"/>
    <n v="90000"/>
    <n v="1232.6400000000001"/>
    <x v="0"/>
    <d v="2023-01-01T00:00:00"/>
  </r>
  <r>
    <s v="ORD201009"/>
    <d v="2023-09-02T00:00:00"/>
    <s v="C54494"/>
    <x v="2"/>
    <n v="2"/>
    <n v="176.46"/>
    <x v="2"/>
    <x v="3"/>
    <n v="2"/>
    <s v="FREESHIP"/>
    <x v="2"/>
    <n v="352.92"/>
    <s v="Electronics"/>
    <s v="Medium"/>
    <n v="100000"/>
    <n v="352.92"/>
    <x v="24"/>
    <d v="2023-09-01T00:00:00"/>
  </r>
  <r>
    <s v="ORD201010"/>
    <d v="2023-03-31T00:00:00"/>
    <s v="C33729"/>
    <x v="0"/>
    <n v="3"/>
    <n v="659.57"/>
    <x v="2"/>
    <x v="1"/>
    <n v="6"/>
    <s v="SAVE10"/>
    <x v="2"/>
    <n v="1978.71"/>
    <s v="Electronics"/>
    <s v="Medium"/>
    <n v="90000"/>
    <n v="1978.71"/>
    <x v="12"/>
    <d v="2023-03-01T00:00:00"/>
  </r>
  <r>
    <s v="ORD201011"/>
    <d v="2024-12-03T00:00:00"/>
    <s v="C47823"/>
    <x v="1"/>
    <n v="2"/>
    <n v="478.36"/>
    <x v="1"/>
    <x v="0"/>
    <n v="3"/>
    <m/>
    <x v="4"/>
    <n v="956.72"/>
    <s v="Electronics"/>
    <s v="High"/>
    <n v="120000"/>
    <n v="956.72"/>
    <x v="20"/>
    <d v="2024-12-01T00:00:00"/>
  </r>
  <r>
    <s v="ORD201012"/>
    <d v="2024-12-03T00:00:00"/>
    <s v="C84570"/>
    <x v="4"/>
    <n v="4"/>
    <n v="30.05"/>
    <x v="1"/>
    <x v="2"/>
    <n v="6"/>
    <m/>
    <x v="3"/>
    <n v="120.2"/>
    <s v="Electronics"/>
    <s v="Medium"/>
    <n v="80000"/>
    <n v="120.2"/>
    <x v="20"/>
    <d v="2024-12-01T00:00:00"/>
  </r>
  <r>
    <s v="ORD201013"/>
    <d v="2025-04-26T00:00:00"/>
    <s v="C91123"/>
    <x v="5"/>
    <n v="4"/>
    <n v="300.56"/>
    <x v="4"/>
    <x v="1"/>
    <n v="9"/>
    <s v="FREESHIP"/>
    <x v="3"/>
    <n v="1202.24"/>
    <s v="Electronics"/>
    <s v="High"/>
    <n v="150000"/>
    <n v="1202.24"/>
    <x v="7"/>
    <d v="2025-04-01T00:00:00"/>
  </r>
  <r>
    <s v="ORD201014"/>
    <d v="2024-02-04T00:00:00"/>
    <s v="C92548"/>
    <x v="2"/>
    <n v="5"/>
    <n v="226.45"/>
    <x v="0"/>
    <x v="2"/>
    <n v="6"/>
    <s v="FREESHIP"/>
    <x v="2"/>
    <n v="1132.25"/>
    <s v="Electronics"/>
    <s v="Medium"/>
    <n v="100000"/>
    <n v="1132.25"/>
    <x v="2"/>
    <d v="2024-02-01T00:00:00"/>
  </r>
  <r>
    <s v="ORD201015"/>
    <d v="2024-01-26T00:00:00"/>
    <s v="C97454"/>
    <x v="4"/>
    <n v="2"/>
    <n v="349.4"/>
    <x v="1"/>
    <x v="0"/>
    <n v="2"/>
    <s v="SAVE10"/>
    <x v="0"/>
    <n v="698.8"/>
    <s v="Electronics"/>
    <s v="Medium"/>
    <n v="80000"/>
    <n v="698.8"/>
    <x v="25"/>
    <d v="2024-01-01T00:00:00"/>
  </r>
  <r>
    <s v="ORD201016"/>
    <d v="2023-12-29T00:00:00"/>
    <s v="C20257"/>
    <x v="2"/>
    <n v="5"/>
    <n v="268.77999999999997"/>
    <x v="0"/>
    <x v="3"/>
    <n v="7"/>
    <s v="WINTER15"/>
    <x v="2"/>
    <n v="1343.9"/>
    <s v="Electronics"/>
    <s v="Medium"/>
    <n v="100000"/>
    <n v="1343.9"/>
    <x v="9"/>
    <d v="2023-12-01T00:00:00"/>
  </r>
  <r>
    <s v="ORD201017"/>
    <d v="2024-08-25T00:00:00"/>
    <s v="C51694"/>
    <x v="3"/>
    <n v="2"/>
    <n v="680.85"/>
    <x v="3"/>
    <x v="3"/>
    <n v="6"/>
    <s v="FREESHIP"/>
    <x v="1"/>
    <n v="1361.7"/>
    <s v="Furniture"/>
    <s v="Medium"/>
    <n v="70000"/>
    <n v="1361.7"/>
    <x v="1"/>
    <d v="2024-08-01T00:00:00"/>
  </r>
  <r>
    <s v="ORD201018"/>
    <d v="2023-07-08T00:00:00"/>
    <s v="C77499"/>
    <x v="5"/>
    <n v="3"/>
    <n v="182.48"/>
    <x v="4"/>
    <x v="3"/>
    <n v="3"/>
    <m/>
    <x v="0"/>
    <n v="547.43999999999994"/>
    <s v="Electronics"/>
    <s v="High"/>
    <n v="150000"/>
    <n v="547.43999999999994"/>
    <x v="13"/>
    <d v="2023-07-01T00:00:00"/>
  </r>
  <r>
    <s v="ORD201019"/>
    <d v="2024-04-06T00:00:00"/>
    <s v="C28386"/>
    <x v="6"/>
    <n v="1"/>
    <n v="277.08999999999997"/>
    <x v="4"/>
    <x v="2"/>
    <n v="2"/>
    <s v="SAVE10"/>
    <x v="1"/>
    <n v="277.08999999999997"/>
    <s v="Furniture"/>
    <s v="High"/>
    <n v="75000"/>
    <n v="277.08999999999997"/>
    <x v="28"/>
    <d v="2024-04-01T00:00:00"/>
  </r>
  <r>
    <s v="ORD201020"/>
    <d v="2024-04-22T00:00:00"/>
    <s v="C50211"/>
    <x v="2"/>
    <n v="2"/>
    <n v="26.5"/>
    <x v="1"/>
    <x v="3"/>
    <n v="3"/>
    <s v="SAVE10"/>
    <x v="0"/>
    <n v="53"/>
    <s v="Electronics"/>
    <s v="Medium"/>
    <n v="100000"/>
    <n v="53"/>
    <x v="28"/>
    <d v="2024-04-01T00:00:00"/>
  </r>
  <r>
    <s v="ORD201021"/>
    <d v="2023-10-23T00:00:00"/>
    <s v="C74519"/>
    <x v="1"/>
    <n v="3"/>
    <n v="315.27"/>
    <x v="2"/>
    <x v="1"/>
    <n v="4"/>
    <s v="SAVE10"/>
    <x v="2"/>
    <n v="945.81"/>
    <s v="Electronics"/>
    <s v="High"/>
    <n v="120000"/>
    <n v="945.81"/>
    <x v="3"/>
    <d v="2023-10-01T00:00:00"/>
  </r>
  <r>
    <s v="ORD201022"/>
    <d v="2025-02-24T00:00:00"/>
    <s v="C19071"/>
    <x v="2"/>
    <n v="3"/>
    <n v="450.98"/>
    <x v="2"/>
    <x v="0"/>
    <n v="8"/>
    <s v="SAVE10"/>
    <x v="1"/>
    <n v="1352.94"/>
    <s v="Electronics"/>
    <s v="Medium"/>
    <n v="100000"/>
    <n v="1352.94"/>
    <x v="21"/>
    <d v="2025-02-01T00:00:00"/>
  </r>
  <r>
    <s v="ORD201023"/>
    <d v="2024-09-23T00:00:00"/>
    <s v="C65251"/>
    <x v="5"/>
    <n v="5"/>
    <n v="233.67"/>
    <x v="4"/>
    <x v="0"/>
    <n v="10"/>
    <m/>
    <x v="1"/>
    <n v="1168.3499999999999"/>
    <s v="Electronics"/>
    <s v="High"/>
    <n v="150000"/>
    <n v="1168.3499999999999"/>
    <x v="18"/>
    <d v="2024-09-01T00:00:00"/>
  </r>
  <r>
    <s v="ORD201024"/>
    <d v="2024-01-29T00:00:00"/>
    <s v="C90612"/>
    <x v="3"/>
    <n v="3"/>
    <n v="367.75"/>
    <x v="4"/>
    <x v="4"/>
    <n v="7"/>
    <s v="FREESHIP"/>
    <x v="3"/>
    <n v="1103.25"/>
    <s v="Furniture"/>
    <s v="Medium"/>
    <n v="70000"/>
    <n v="1103.25"/>
    <x v="25"/>
    <d v="2024-01-01T00:00:00"/>
  </r>
  <r>
    <s v="ORD201025"/>
    <d v="2025-05-17T00:00:00"/>
    <s v="C28406"/>
    <x v="3"/>
    <n v="1"/>
    <n v="23.53"/>
    <x v="3"/>
    <x v="3"/>
    <n v="2"/>
    <s v="FREESHIP"/>
    <x v="0"/>
    <n v="23.53"/>
    <s v="Furniture"/>
    <s v="Medium"/>
    <n v="70000"/>
    <n v="23.53"/>
    <x v="4"/>
    <d v="2025-05-01T00:00:00"/>
  </r>
  <r>
    <s v="ORD201026"/>
    <d v="2023-05-01T00:00:00"/>
    <s v="C55454"/>
    <x v="0"/>
    <n v="1"/>
    <n v="677.48"/>
    <x v="1"/>
    <x v="3"/>
    <n v="1"/>
    <s v="WINTER15"/>
    <x v="3"/>
    <n v="677.48"/>
    <s v="Electronics"/>
    <s v="Medium"/>
    <n v="90000"/>
    <n v="677.48"/>
    <x v="6"/>
    <d v="2023-05-01T00:00:00"/>
  </r>
  <r>
    <s v="ORD201027"/>
    <d v="2024-05-21T00:00:00"/>
    <s v="C93467"/>
    <x v="5"/>
    <n v="4"/>
    <n v="554.83000000000004"/>
    <x v="4"/>
    <x v="2"/>
    <n v="6"/>
    <m/>
    <x v="4"/>
    <n v="2219.3200000000002"/>
    <s v="Electronics"/>
    <s v="High"/>
    <n v="150000"/>
    <n v="2219.3200000000002"/>
    <x v="22"/>
    <d v="2024-05-01T00:00:00"/>
  </r>
  <r>
    <s v="ORD201028"/>
    <d v="2023-02-17T00:00:00"/>
    <s v="C60042"/>
    <x v="6"/>
    <n v="4"/>
    <n v="440.31"/>
    <x v="4"/>
    <x v="1"/>
    <n v="6"/>
    <m/>
    <x v="0"/>
    <n v="1761.24"/>
    <s v="Furniture"/>
    <s v="High"/>
    <n v="75000"/>
    <n v="1761.24"/>
    <x v="26"/>
    <d v="2023-02-01T00:00:00"/>
  </r>
  <r>
    <s v="ORD201029"/>
    <d v="2025-03-01T00:00:00"/>
    <s v="C44733"/>
    <x v="6"/>
    <n v="1"/>
    <n v="87.06"/>
    <x v="2"/>
    <x v="0"/>
    <n v="4"/>
    <s v="FREESHIP"/>
    <x v="2"/>
    <n v="87.06"/>
    <s v="Furniture"/>
    <s v="High"/>
    <n v="75000"/>
    <n v="87.06"/>
    <x v="15"/>
    <d v="2025-03-01T00:00:00"/>
  </r>
  <r>
    <s v="ORD201030"/>
    <d v="2023-10-02T00:00:00"/>
    <s v="C61773"/>
    <x v="1"/>
    <n v="4"/>
    <n v="245.28"/>
    <x v="2"/>
    <x v="3"/>
    <n v="6"/>
    <s v="WINTER15"/>
    <x v="2"/>
    <n v="981.12"/>
    <s v="Electronics"/>
    <s v="High"/>
    <n v="120000"/>
    <n v="981.12"/>
    <x v="3"/>
    <d v="2023-10-01T00:00:00"/>
  </r>
  <r>
    <s v="ORD201031"/>
    <d v="2023-02-28T00:00:00"/>
    <s v="C59183"/>
    <x v="1"/>
    <n v="5"/>
    <n v="664.51"/>
    <x v="0"/>
    <x v="4"/>
    <n v="8"/>
    <s v="SAVE10"/>
    <x v="2"/>
    <n v="3322.55"/>
    <s v="Electronics"/>
    <s v="High"/>
    <n v="120000"/>
    <n v="3322.55"/>
    <x v="26"/>
    <d v="2023-02-01T00:00:00"/>
  </r>
  <r>
    <s v="ORD201032"/>
    <d v="2023-04-20T00:00:00"/>
    <s v="C26188"/>
    <x v="3"/>
    <n v="1"/>
    <n v="618.67999999999995"/>
    <x v="1"/>
    <x v="3"/>
    <n v="6"/>
    <s v="WINTER15"/>
    <x v="1"/>
    <n v="618.67999999999995"/>
    <s v="Furniture"/>
    <s v="Medium"/>
    <n v="70000"/>
    <n v="618.67999999999995"/>
    <x v="29"/>
    <d v="2023-04-01T00:00:00"/>
  </r>
  <r>
    <s v="ORD201033"/>
    <d v="2024-12-24T00:00:00"/>
    <s v="C20338"/>
    <x v="0"/>
    <n v="1"/>
    <n v="370.85"/>
    <x v="3"/>
    <x v="3"/>
    <n v="2"/>
    <s v="FREESHIP"/>
    <x v="1"/>
    <n v="370.85"/>
    <s v="Electronics"/>
    <s v="Medium"/>
    <n v="90000"/>
    <n v="370.85"/>
    <x v="20"/>
    <d v="2024-12-01T00:00:00"/>
  </r>
  <r>
    <s v="ORD201034"/>
    <d v="2024-06-16T00:00:00"/>
    <s v="C84524"/>
    <x v="4"/>
    <n v="4"/>
    <n v="517.98"/>
    <x v="4"/>
    <x v="1"/>
    <n v="8"/>
    <s v="FREESHIP"/>
    <x v="3"/>
    <n v="2071.92"/>
    <s v="Electronics"/>
    <s v="Medium"/>
    <n v="80000"/>
    <n v="2071.92"/>
    <x v="23"/>
    <d v="2024-06-01T00:00:00"/>
  </r>
  <r>
    <s v="ORD201035"/>
    <d v="2023-11-12T00:00:00"/>
    <s v="C70315"/>
    <x v="5"/>
    <n v="4"/>
    <n v="506.11"/>
    <x v="4"/>
    <x v="1"/>
    <n v="5"/>
    <m/>
    <x v="1"/>
    <n v="2024.44"/>
    <s v="Electronics"/>
    <s v="High"/>
    <n v="150000"/>
    <n v="2024.44"/>
    <x v="8"/>
    <d v="2023-11-01T00:00:00"/>
  </r>
  <r>
    <s v="ORD201036"/>
    <d v="2024-05-31T00:00:00"/>
    <s v="C98278"/>
    <x v="1"/>
    <n v="3"/>
    <n v="413.83"/>
    <x v="3"/>
    <x v="0"/>
    <n v="8"/>
    <s v="SAVE10"/>
    <x v="3"/>
    <n v="1241.49"/>
    <s v="Electronics"/>
    <s v="High"/>
    <n v="120000"/>
    <n v="1241.49"/>
    <x v="22"/>
    <d v="2024-05-01T00:00:00"/>
  </r>
  <r>
    <s v="ORD201037"/>
    <d v="2023-12-13T00:00:00"/>
    <s v="C32347"/>
    <x v="4"/>
    <n v="1"/>
    <n v="249.81"/>
    <x v="4"/>
    <x v="4"/>
    <n v="1"/>
    <s v="SAVE10"/>
    <x v="4"/>
    <n v="249.81"/>
    <s v="Electronics"/>
    <s v="Medium"/>
    <n v="80000"/>
    <n v="249.81"/>
    <x v="9"/>
    <d v="2023-12-01T00:00:00"/>
  </r>
  <r>
    <s v="ORD201038"/>
    <d v="2025-03-15T00:00:00"/>
    <s v="C77961"/>
    <x v="2"/>
    <n v="3"/>
    <n v="362.53"/>
    <x v="0"/>
    <x v="2"/>
    <n v="5"/>
    <m/>
    <x v="3"/>
    <n v="1087.5899999999999"/>
    <s v="Electronics"/>
    <s v="Medium"/>
    <n v="100000"/>
    <n v="1087.5899999999999"/>
    <x v="15"/>
    <d v="2025-03-01T00:00:00"/>
  </r>
  <r>
    <s v="ORD201039"/>
    <d v="2025-06-28T00:00:00"/>
    <s v="C49137"/>
    <x v="6"/>
    <n v="2"/>
    <n v="299.23"/>
    <x v="2"/>
    <x v="1"/>
    <n v="2"/>
    <s v="WINTER15"/>
    <x v="0"/>
    <n v="598.46"/>
    <s v="Furniture"/>
    <s v="High"/>
    <n v="75000"/>
    <n v="598.46"/>
    <x v="5"/>
    <d v="2025-06-01T00:00:00"/>
  </r>
  <r>
    <s v="ORD201040"/>
    <d v="2023-11-15T00:00:00"/>
    <s v="C13169"/>
    <x v="2"/>
    <n v="1"/>
    <n v="536.07000000000005"/>
    <x v="0"/>
    <x v="3"/>
    <n v="5"/>
    <s v="FREESHIP"/>
    <x v="4"/>
    <n v="536.07000000000005"/>
    <s v="Electronics"/>
    <s v="Medium"/>
    <n v="100000"/>
    <n v="536.07000000000005"/>
    <x v="8"/>
    <d v="2023-11-01T00:00:00"/>
  </r>
  <r>
    <s v="ORD201041"/>
    <d v="2023-02-11T00:00:00"/>
    <s v="C21167"/>
    <x v="0"/>
    <n v="4"/>
    <n v="558.9"/>
    <x v="3"/>
    <x v="0"/>
    <n v="9"/>
    <s v="WINTER15"/>
    <x v="4"/>
    <n v="2235.6"/>
    <s v="Electronics"/>
    <s v="Medium"/>
    <n v="90000"/>
    <n v="2235.6"/>
    <x v="26"/>
    <d v="2023-02-01T00:00:00"/>
  </r>
  <r>
    <s v="ORD201042"/>
    <d v="2024-12-09T00:00:00"/>
    <s v="C59724"/>
    <x v="2"/>
    <n v="2"/>
    <n v="409.75"/>
    <x v="0"/>
    <x v="0"/>
    <n v="2"/>
    <s v="WINTER15"/>
    <x v="3"/>
    <n v="819.5"/>
    <s v="Electronics"/>
    <s v="Medium"/>
    <n v="100000"/>
    <n v="819.5"/>
    <x v="20"/>
    <d v="2024-12-01T00:00:00"/>
  </r>
  <r>
    <s v="ORD201043"/>
    <d v="2025-01-11T00:00:00"/>
    <s v="C43965"/>
    <x v="2"/>
    <n v="2"/>
    <n v="179.96"/>
    <x v="3"/>
    <x v="0"/>
    <n v="5"/>
    <m/>
    <x v="0"/>
    <n v="359.92"/>
    <s v="Electronics"/>
    <s v="Medium"/>
    <n v="100000"/>
    <n v="359.92"/>
    <x v="27"/>
    <d v="2025-01-01T00:00:00"/>
  </r>
  <r>
    <s v="ORD201044"/>
    <d v="2025-06-22T00:00:00"/>
    <s v="C63018"/>
    <x v="4"/>
    <n v="1"/>
    <n v="38.49"/>
    <x v="2"/>
    <x v="3"/>
    <n v="4"/>
    <s v="FREESHIP"/>
    <x v="1"/>
    <n v="38.49"/>
    <s v="Electronics"/>
    <s v="Medium"/>
    <n v="80000"/>
    <n v="38.49"/>
    <x v="5"/>
    <d v="2025-06-01T00:00:00"/>
  </r>
  <r>
    <s v="ORD201045"/>
    <d v="2024-09-20T00:00:00"/>
    <s v="C11893"/>
    <x v="5"/>
    <n v="5"/>
    <n v="316.39999999999998"/>
    <x v="3"/>
    <x v="2"/>
    <n v="7"/>
    <m/>
    <x v="2"/>
    <n v="1582"/>
    <s v="Electronics"/>
    <s v="High"/>
    <n v="150000"/>
    <n v="1582"/>
    <x v="18"/>
    <d v="2024-09-01T00:00:00"/>
  </r>
  <r>
    <s v="ORD201046"/>
    <d v="2024-10-07T00:00:00"/>
    <s v="C85421"/>
    <x v="2"/>
    <n v="3"/>
    <n v="547.15"/>
    <x v="1"/>
    <x v="0"/>
    <n v="4"/>
    <s v="WINTER15"/>
    <x v="0"/>
    <n v="1641.45"/>
    <s v="Electronics"/>
    <s v="Medium"/>
    <n v="100000"/>
    <n v="1641.45"/>
    <x v="10"/>
    <d v="2024-10-01T00:00:00"/>
  </r>
  <r>
    <s v="ORD201047"/>
    <d v="2023-06-23T00:00:00"/>
    <s v="C81726"/>
    <x v="3"/>
    <n v="4"/>
    <n v="540.34"/>
    <x v="3"/>
    <x v="0"/>
    <n v="6"/>
    <s v="WINTER15"/>
    <x v="1"/>
    <n v="2161.36"/>
    <s v="Furniture"/>
    <s v="Medium"/>
    <n v="70000"/>
    <n v="2161.36"/>
    <x v="19"/>
    <d v="2023-06-01T00:00:00"/>
  </r>
  <r>
    <s v="ORD201048"/>
    <d v="2024-09-09T00:00:00"/>
    <s v="C57601"/>
    <x v="0"/>
    <n v="4"/>
    <n v="73.650000000000006"/>
    <x v="0"/>
    <x v="0"/>
    <n v="9"/>
    <m/>
    <x v="4"/>
    <n v="294.60000000000002"/>
    <s v="Electronics"/>
    <s v="Medium"/>
    <n v="90000"/>
    <n v="294.60000000000002"/>
    <x v="18"/>
    <d v="2024-09-01T00:00:00"/>
  </r>
  <r>
    <s v="ORD201049"/>
    <d v="2024-07-18T00:00:00"/>
    <s v="C60575"/>
    <x v="6"/>
    <n v="5"/>
    <n v="391.86"/>
    <x v="2"/>
    <x v="0"/>
    <n v="6"/>
    <m/>
    <x v="0"/>
    <n v="1959.3"/>
    <s v="Furniture"/>
    <s v="High"/>
    <n v="75000"/>
    <n v="1959.3"/>
    <x v="17"/>
    <d v="2024-07-01T00:00:00"/>
  </r>
  <r>
    <s v="ORD201050"/>
    <d v="2023-08-20T00:00:00"/>
    <s v="C70659"/>
    <x v="5"/>
    <n v="5"/>
    <n v="69.7"/>
    <x v="1"/>
    <x v="2"/>
    <n v="9"/>
    <m/>
    <x v="0"/>
    <n v="348.5"/>
    <s v="Electronics"/>
    <s v="High"/>
    <n v="150000"/>
    <n v="348.5"/>
    <x v="11"/>
    <d v="2023-08-01T00:00:00"/>
  </r>
  <r>
    <s v="ORD201051"/>
    <d v="2025-03-05T00:00:00"/>
    <s v="C35043"/>
    <x v="0"/>
    <n v="5"/>
    <n v="26.43"/>
    <x v="3"/>
    <x v="0"/>
    <n v="5"/>
    <s v="FREESHIP"/>
    <x v="3"/>
    <n v="132.15"/>
    <s v="Electronics"/>
    <s v="Medium"/>
    <n v="90000"/>
    <n v="132.15"/>
    <x v="15"/>
    <d v="2025-03-01T00:00:00"/>
  </r>
  <r>
    <s v="ORD201052"/>
    <d v="2023-09-11T00:00:00"/>
    <s v="C12301"/>
    <x v="2"/>
    <n v="1"/>
    <n v="531.74"/>
    <x v="1"/>
    <x v="0"/>
    <n v="1"/>
    <s v="WINTER15"/>
    <x v="4"/>
    <n v="531.74"/>
    <s v="Electronics"/>
    <s v="Medium"/>
    <n v="100000"/>
    <n v="531.74"/>
    <x v="24"/>
    <d v="2023-09-01T00:00:00"/>
  </r>
  <r>
    <s v="ORD201053"/>
    <d v="2024-09-15T00:00:00"/>
    <s v="C32798"/>
    <x v="1"/>
    <n v="2"/>
    <n v="496.62"/>
    <x v="1"/>
    <x v="4"/>
    <n v="2"/>
    <s v="SAVE10"/>
    <x v="0"/>
    <n v="993.24"/>
    <s v="Electronics"/>
    <s v="High"/>
    <n v="120000"/>
    <n v="993.24"/>
    <x v="18"/>
    <d v="2024-09-01T00:00:00"/>
  </r>
  <r>
    <s v="ORD201054"/>
    <d v="2023-11-29T00:00:00"/>
    <s v="C42949"/>
    <x v="4"/>
    <n v="1"/>
    <n v="660.66"/>
    <x v="0"/>
    <x v="3"/>
    <n v="3"/>
    <s v="WINTER15"/>
    <x v="0"/>
    <n v="660.66"/>
    <s v="Electronics"/>
    <s v="Medium"/>
    <n v="80000"/>
    <n v="660.66"/>
    <x v="8"/>
    <d v="2023-11-01T00:00:00"/>
  </r>
  <r>
    <s v="ORD201055"/>
    <d v="2023-10-23T00:00:00"/>
    <s v="C10787"/>
    <x v="0"/>
    <n v="4"/>
    <n v="274.82"/>
    <x v="0"/>
    <x v="3"/>
    <n v="9"/>
    <s v="WINTER15"/>
    <x v="2"/>
    <n v="1099.28"/>
    <s v="Electronics"/>
    <s v="Medium"/>
    <n v="90000"/>
    <n v="1099.28"/>
    <x v="3"/>
    <d v="2023-10-01T00:00:00"/>
  </r>
  <r>
    <s v="ORD201056"/>
    <d v="2024-06-14T00:00:00"/>
    <s v="C26152"/>
    <x v="1"/>
    <n v="2"/>
    <n v="486.35"/>
    <x v="1"/>
    <x v="4"/>
    <n v="6"/>
    <s v="SAVE10"/>
    <x v="1"/>
    <n v="972.7"/>
    <s v="Electronics"/>
    <s v="High"/>
    <n v="120000"/>
    <n v="972.7"/>
    <x v="23"/>
    <d v="2024-06-01T00:00:00"/>
  </r>
  <r>
    <s v="ORD201057"/>
    <d v="2024-09-24T00:00:00"/>
    <s v="C46210"/>
    <x v="5"/>
    <n v="3"/>
    <n v="428.88"/>
    <x v="0"/>
    <x v="0"/>
    <n v="3"/>
    <s v="WINTER15"/>
    <x v="3"/>
    <n v="1286.6400000000001"/>
    <s v="Electronics"/>
    <s v="High"/>
    <n v="150000"/>
    <n v="1286.6400000000001"/>
    <x v="18"/>
    <d v="2024-09-01T00:00:00"/>
  </r>
  <r>
    <s v="ORD201058"/>
    <d v="2023-09-08T00:00:00"/>
    <s v="C32943"/>
    <x v="6"/>
    <n v="2"/>
    <n v="412.14"/>
    <x v="2"/>
    <x v="2"/>
    <n v="2"/>
    <s v="FREESHIP"/>
    <x v="0"/>
    <n v="824.28"/>
    <s v="Furniture"/>
    <s v="High"/>
    <n v="75000"/>
    <n v="824.28"/>
    <x v="24"/>
    <d v="2023-09-01T00:00:00"/>
  </r>
  <r>
    <s v="ORD201059"/>
    <d v="2024-09-22T00:00:00"/>
    <s v="C73629"/>
    <x v="6"/>
    <n v="1"/>
    <n v="265.64"/>
    <x v="2"/>
    <x v="2"/>
    <n v="3"/>
    <s v="WINTER15"/>
    <x v="0"/>
    <n v="265.64"/>
    <s v="Furniture"/>
    <s v="High"/>
    <n v="75000"/>
    <n v="265.64"/>
    <x v="18"/>
    <d v="2024-09-01T00:00:00"/>
  </r>
  <r>
    <s v="ORD201060"/>
    <d v="2024-05-07T00:00:00"/>
    <s v="C38024"/>
    <x v="2"/>
    <n v="2"/>
    <n v="273.43"/>
    <x v="4"/>
    <x v="0"/>
    <n v="7"/>
    <s v="WINTER15"/>
    <x v="1"/>
    <n v="546.86"/>
    <s v="Electronics"/>
    <s v="Medium"/>
    <n v="100000"/>
    <n v="546.86"/>
    <x v="22"/>
    <d v="2024-05-01T00:00:00"/>
  </r>
  <r>
    <s v="ORD201061"/>
    <d v="2025-01-29T00:00:00"/>
    <s v="C25445"/>
    <x v="5"/>
    <n v="5"/>
    <n v="131.69999999999999"/>
    <x v="4"/>
    <x v="0"/>
    <n v="8"/>
    <s v="FREESHIP"/>
    <x v="4"/>
    <n v="658.5"/>
    <s v="Electronics"/>
    <s v="High"/>
    <n v="150000"/>
    <n v="658.5"/>
    <x v="27"/>
    <d v="2025-01-01T00:00:00"/>
  </r>
  <r>
    <s v="ORD201062"/>
    <d v="2023-08-23T00:00:00"/>
    <s v="C13501"/>
    <x v="3"/>
    <n v="5"/>
    <n v="85.52"/>
    <x v="3"/>
    <x v="1"/>
    <n v="5"/>
    <m/>
    <x v="3"/>
    <n v="427.6"/>
    <s v="Furniture"/>
    <s v="Medium"/>
    <n v="70000"/>
    <n v="427.6"/>
    <x v="11"/>
    <d v="2023-08-01T00:00:00"/>
  </r>
  <r>
    <s v="ORD201063"/>
    <d v="2024-06-19T00:00:00"/>
    <s v="C42108"/>
    <x v="6"/>
    <n v="2"/>
    <n v="320.68"/>
    <x v="2"/>
    <x v="0"/>
    <n v="5"/>
    <s v="FREESHIP"/>
    <x v="1"/>
    <n v="641.36"/>
    <s v="Furniture"/>
    <s v="High"/>
    <n v="75000"/>
    <n v="641.36"/>
    <x v="23"/>
    <d v="2024-06-01T00:00:00"/>
  </r>
  <r>
    <s v="ORD201064"/>
    <d v="2025-02-12T00:00:00"/>
    <s v="C32121"/>
    <x v="5"/>
    <n v="4"/>
    <n v="198.81"/>
    <x v="4"/>
    <x v="2"/>
    <n v="9"/>
    <s v="FREESHIP"/>
    <x v="1"/>
    <n v="795.24"/>
    <s v="Electronics"/>
    <s v="High"/>
    <n v="150000"/>
    <n v="795.24"/>
    <x v="21"/>
    <d v="2025-02-01T00:00:00"/>
  </r>
  <r>
    <s v="ORD201065"/>
    <d v="2023-10-30T00:00:00"/>
    <s v="C47778"/>
    <x v="4"/>
    <n v="5"/>
    <n v="666.8"/>
    <x v="0"/>
    <x v="3"/>
    <n v="7"/>
    <s v="SAVE10"/>
    <x v="1"/>
    <n v="3334"/>
    <s v="Electronics"/>
    <s v="Medium"/>
    <n v="80000"/>
    <n v="3334"/>
    <x v="3"/>
    <d v="2023-10-01T00:00:00"/>
  </r>
  <r>
    <s v="ORD201066"/>
    <d v="2023-12-20T00:00:00"/>
    <s v="C10791"/>
    <x v="6"/>
    <n v="1"/>
    <n v="355.09"/>
    <x v="0"/>
    <x v="1"/>
    <n v="5"/>
    <s v="SAVE10"/>
    <x v="0"/>
    <n v="355.09"/>
    <s v="Furniture"/>
    <s v="High"/>
    <n v="75000"/>
    <n v="355.09"/>
    <x v="9"/>
    <d v="2023-12-01T00:00:00"/>
  </r>
  <r>
    <s v="ORD201067"/>
    <d v="2023-06-06T00:00:00"/>
    <s v="C78959"/>
    <x v="1"/>
    <n v="2"/>
    <n v="316.2"/>
    <x v="1"/>
    <x v="2"/>
    <n v="2"/>
    <m/>
    <x v="0"/>
    <n v="632.4"/>
    <s v="Electronics"/>
    <s v="High"/>
    <n v="120000"/>
    <n v="632.4"/>
    <x v="19"/>
    <d v="2023-06-01T00:00:00"/>
  </r>
  <r>
    <s v="ORD201068"/>
    <d v="2024-08-03T00:00:00"/>
    <s v="C29914"/>
    <x v="5"/>
    <n v="1"/>
    <n v="133.38999999999999"/>
    <x v="0"/>
    <x v="0"/>
    <n v="2"/>
    <s v="SAVE10"/>
    <x v="1"/>
    <n v="133.38999999999999"/>
    <s v="Electronics"/>
    <s v="High"/>
    <n v="150000"/>
    <n v="133.38999999999999"/>
    <x v="1"/>
    <d v="2024-08-01T00:00:00"/>
  </r>
  <r>
    <s v="ORD201069"/>
    <d v="2023-02-25T00:00:00"/>
    <s v="C70506"/>
    <x v="0"/>
    <n v="1"/>
    <n v="454.23"/>
    <x v="3"/>
    <x v="2"/>
    <n v="3"/>
    <m/>
    <x v="3"/>
    <n v="454.23"/>
    <s v="Electronics"/>
    <s v="Medium"/>
    <n v="90000"/>
    <n v="454.23"/>
    <x v="26"/>
    <d v="2023-02-01T00:00:00"/>
  </r>
  <r>
    <s v="ORD201070"/>
    <d v="2024-09-06T00:00:00"/>
    <s v="C46873"/>
    <x v="6"/>
    <n v="4"/>
    <n v="491.29"/>
    <x v="0"/>
    <x v="4"/>
    <n v="6"/>
    <m/>
    <x v="2"/>
    <n v="1965.16"/>
    <s v="Furniture"/>
    <s v="High"/>
    <n v="75000"/>
    <n v="1965.16"/>
    <x v="18"/>
    <d v="2024-09-01T00:00:00"/>
  </r>
  <r>
    <s v="ORD201071"/>
    <d v="2025-06-24T00:00:00"/>
    <s v="C94037"/>
    <x v="1"/>
    <n v="2"/>
    <n v="255.14"/>
    <x v="4"/>
    <x v="0"/>
    <n v="2"/>
    <m/>
    <x v="4"/>
    <n v="510.28"/>
    <s v="Electronics"/>
    <s v="High"/>
    <n v="120000"/>
    <n v="510.28"/>
    <x v="5"/>
    <d v="2025-06-01T00:00:00"/>
  </r>
  <r>
    <s v="ORD201072"/>
    <d v="2023-02-26T00:00:00"/>
    <s v="C88644"/>
    <x v="0"/>
    <n v="1"/>
    <n v="392.61"/>
    <x v="3"/>
    <x v="1"/>
    <n v="4"/>
    <s v="SAVE10"/>
    <x v="1"/>
    <n v="392.61"/>
    <s v="Electronics"/>
    <s v="Medium"/>
    <n v="90000"/>
    <n v="392.61"/>
    <x v="26"/>
    <d v="2023-02-01T00:00:00"/>
  </r>
  <r>
    <s v="ORD201073"/>
    <d v="2024-10-11T00:00:00"/>
    <s v="C69471"/>
    <x v="2"/>
    <n v="4"/>
    <n v="362.06"/>
    <x v="0"/>
    <x v="2"/>
    <n v="4"/>
    <m/>
    <x v="3"/>
    <n v="1448.24"/>
    <s v="Electronics"/>
    <s v="Medium"/>
    <n v="100000"/>
    <n v="1448.24"/>
    <x v="10"/>
    <d v="2024-10-01T00:00:00"/>
  </r>
  <r>
    <s v="ORD201074"/>
    <d v="2024-05-10T00:00:00"/>
    <s v="C21437"/>
    <x v="1"/>
    <n v="1"/>
    <n v="222.73"/>
    <x v="1"/>
    <x v="2"/>
    <n v="4"/>
    <m/>
    <x v="4"/>
    <n v="222.73"/>
    <s v="Electronics"/>
    <s v="High"/>
    <n v="120000"/>
    <n v="222.73"/>
    <x v="22"/>
    <d v="2024-05-01T00:00:00"/>
  </r>
  <r>
    <s v="ORD201075"/>
    <d v="2024-08-31T00:00:00"/>
    <s v="C40949"/>
    <x v="0"/>
    <n v="2"/>
    <n v="552.63"/>
    <x v="0"/>
    <x v="3"/>
    <n v="7"/>
    <s v="WINTER15"/>
    <x v="0"/>
    <n v="1105.26"/>
    <s v="Electronics"/>
    <s v="Medium"/>
    <n v="90000"/>
    <n v="1105.26"/>
    <x v="1"/>
    <d v="2024-08-01T00:00:00"/>
  </r>
  <r>
    <s v="ORD201076"/>
    <d v="2023-05-08T00:00:00"/>
    <s v="C99116"/>
    <x v="5"/>
    <n v="4"/>
    <n v="686.61"/>
    <x v="4"/>
    <x v="0"/>
    <n v="6"/>
    <m/>
    <x v="1"/>
    <n v="2746.44"/>
    <s v="Electronics"/>
    <s v="High"/>
    <n v="150000"/>
    <n v="2746.44"/>
    <x v="6"/>
    <d v="2023-05-01T00:00:00"/>
  </r>
  <r>
    <s v="ORD201077"/>
    <d v="2025-03-07T00:00:00"/>
    <s v="C57861"/>
    <x v="4"/>
    <n v="3"/>
    <n v="305.16000000000003"/>
    <x v="2"/>
    <x v="1"/>
    <n v="8"/>
    <s v="SAVE10"/>
    <x v="1"/>
    <n v="915.48"/>
    <s v="Electronics"/>
    <s v="Medium"/>
    <n v="80000"/>
    <n v="915.48"/>
    <x v="15"/>
    <d v="2025-03-01T00:00:00"/>
  </r>
  <r>
    <s v="ORD201078"/>
    <d v="2023-03-18T00:00:00"/>
    <s v="C62627"/>
    <x v="6"/>
    <n v="1"/>
    <n v="41.09"/>
    <x v="1"/>
    <x v="2"/>
    <n v="4"/>
    <s v="WINTER15"/>
    <x v="2"/>
    <n v="41.09"/>
    <s v="Furniture"/>
    <s v="High"/>
    <n v="75000"/>
    <n v="41.09"/>
    <x v="12"/>
    <d v="2023-03-01T00:00:00"/>
  </r>
  <r>
    <s v="ORD201079"/>
    <d v="2024-06-20T00:00:00"/>
    <s v="C89979"/>
    <x v="1"/>
    <n v="5"/>
    <n v="634"/>
    <x v="3"/>
    <x v="3"/>
    <n v="8"/>
    <m/>
    <x v="2"/>
    <n v="3170"/>
    <s v="Electronics"/>
    <s v="High"/>
    <n v="120000"/>
    <n v="3170"/>
    <x v="23"/>
    <d v="2024-06-01T00:00:00"/>
  </r>
  <r>
    <s v="ORD201080"/>
    <d v="2023-01-20T00:00:00"/>
    <s v="C70613"/>
    <x v="5"/>
    <n v="5"/>
    <n v="464.74"/>
    <x v="3"/>
    <x v="3"/>
    <n v="7"/>
    <m/>
    <x v="1"/>
    <n v="2323.6999999999998"/>
    <s v="Electronics"/>
    <s v="High"/>
    <n v="150000"/>
    <n v="2323.6999999999998"/>
    <x v="0"/>
    <d v="2023-01-01T00:00:00"/>
  </r>
  <r>
    <s v="ORD201081"/>
    <d v="2023-04-21T00:00:00"/>
    <s v="C55636"/>
    <x v="0"/>
    <n v="4"/>
    <n v="425.6"/>
    <x v="2"/>
    <x v="4"/>
    <n v="5"/>
    <s v="FREESHIP"/>
    <x v="4"/>
    <n v="1702.4"/>
    <s v="Electronics"/>
    <s v="Medium"/>
    <n v="90000"/>
    <n v="1702.4"/>
    <x v="29"/>
    <d v="2023-04-01T00:00:00"/>
  </r>
  <r>
    <s v="ORD201082"/>
    <d v="2023-10-06T00:00:00"/>
    <s v="C96595"/>
    <x v="3"/>
    <n v="3"/>
    <n v="573.22"/>
    <x v="0"/>
    <x v="4"/>
    <n v="5"/>
    <s v="SAVE10"/>
    <x v="2"/>
    <n v="1719.66"/>
    <s v="Furniture"/>
    <s v="Medium"/>
    <n v="70000"/>
    <n v="1719.66"/>
    <x v="3"/>
    <d v="2023-10-01T00:00:00"/>
  </r>
  <r>
    <s v="ORD201083"/>
    <d v="2024-07-09T00:00:00"/>
    <s v="C68508"/>
    <x v="3"/>
    <n v="1"/>
    <n v="123.28"/>
    <x v="2"/>
    <x v="3"/>
    <n v="3"/>
    <s v="SAVE10"/>
    <x v="2"/>
    <n v="123.28"/>
    <s v="Furniture"/>
    <s v="Medium"/>
    <n v="70000"/>
    <n v="123.28"/>
    <x v="17"/>
    <d v="2024-07-01T00:00:00"/>
  </r>
  <r>
    <s v="ORD201084"/>
    <d v="2023-01-08T00:00:00"/>
    <s v="C45175"/>
    <x v="1"/>
    <n v="1"/>
    <n v="70.819999999999993"/>
    <x v="3"/>
    <x v="4"/>
    <n v="1"/>
    <s v="WINTER15"/>
    <x v="0"/>
    <n v="70.819999999999993"/>
    <s v="Electronics"/>
    <s v="High"/>
    <n v="120000"/>
    <n v="70.819999999999993"/>
    <x v="0"/>
    <d v="2023-01-01T00:00:00"/>
  </r>
  <r>
    <s v="ORD201085"/>
    <d v="2023-05-21T00:00:00"/>
    <s v="C28049"/>
    <x v="4"/>
    <n v="2"/>
    <n v="646.69000000000005"/>
    <x v="0"/>
    <x v="0"/>
    <n v="7"/>
    <s v="WINTER15"/>
    <x v="0"/>
    <n v="1293.3800000000001"/>
    <s v="Electronics"/>
    <s v="Medium"/>
    <n v="80000"/>
    <n v="1293.3800000000001"/>
    <x v="6"/>
    <d v="2023-05-01T00:00:00"/>
  </r>
  <r>
    <s v="ORD201086"/>
    <d v="2023-12-23T00:00:00"/>
    <s v="C46967"/>
    <x v="2"/>
    <n v="2"/>
    <n v="513.41999999999996"/>
    <x v="1"/>
    <x v="4"/>
    <n v="5"/>
    <s v="WINTER15"/>
    <x v="0"/>
    <n v="1026.8399999999999"/>
    <s v="Electronics"/>
    <s v="Medium"/>
    <n v="100000"/>
    <n v="1026.8399999999999"/>
    <x v="9"/>
    <d v="2023-12-01T00:00:00"/>
  </r>
  <r>
    <s v="ORD201087"/>
    <d v="2025-03-23T00:00:00"/>
    <s v="C84134"/>
    <x v="5"/>
    <n v="4"/>
    <n v="693.07"/>
    <x v="1"/>
    <x v="0"/>
    <n v="8"/>
    <s v="SAVE10"/>
    <x v="0"/>
    <n v="2772.28"/>
    <s v="Electronics"/>
    <s v="High"/>
    <n v="150000"/>
    <n v="2772.28"/>
    <x v="15"/>
    <d v="2025-03-01T00:00:00"/>
  </r>
  <r>
    <s v="ORD201088"/>
    <d v="2023-11-30T00:00:00"/>
    <s v="C49831"/>
    <x v="6"/>
    <n v="3"/>
    <n v="491.43"/>
    <x v="3"/>
    <x v="0"/>
    <n v="6"/>
    <s v="WINTER15"/>
    <x v="0"/>
    <n v="1474.29"/>
    <s v="Furniture"/>
    <s v="High"/>
    <n v="75000"/>
    <n v="1474.29"/>
    <x v="8"/>
    <d v="2023-11-01T00:00:00"/>
  </r>
  <r>
    <s v="ORD201089"/>
    <d v="2025-03-15T00:00:00"/>
    <s v="C13324"/>
    <x v="2"/>
    <n v="2"/>
    <n v="599.74"/>
    <x v="3"/>
    <x v="0"/>
    <n v="2"/>
    <m/>
    <x v="0"/>
    <n v="1199.48"/>
    <s v="Electronics"/>
    <s v="Medium"/>
    <n v="100000"/>
    <n v="1199.48"/>
    <x v="15"/>
    <d v="2025-03-01T00:00:00"/>
  </r>
  <r>
    <s v="ORD201090"/>
    <d v="2023-02-25T00:00:00"/>
    <s v="C61225"/>
    <x v="0"/>
    <n v="2"/>
    <n v="650.25"/>
    <x v="3"/>
    <x v="2"/>
    <n v="6"/>
    <m/>
    <x v="0"/>
    <n v="1300.5"/>
    <s v="Electronics"/>
    <s v="Medium"/>
    <n v="90000"/>
    <n v="1300.5"/>
    <x v="26"/>
    <d v="2023-02-01T00:00:00"/>
  </r>
  <r>
    <s v="ORD201091"/>
    <d v="2024-10-08T00:00:00"/>
    <s v="C16400"/>
    <x v="5"/>
    <n v="3"/>
    <n v="209.48"/>
    <x v="0"/>
    <x v="4"/>
    <n v="4"/>
    <m/>
    <x v="2"/>
    <n v="628.43999999999994"/>
    <s v="Electronics"/>
    <s v="High"/>
    <n v="150000"/>
    <n v="628.43999999999994"/>
    <x v="10"/>
    <d v="2024-10-01T00:00:00"/>
  </r>
  <r>
    <s v="ORD201092"/>
    <d v="2023-08-21T00:00:00"/>
    <s v="C38642"/>
    <x v="5"/>
    <n v="5"/>
    <n v="209.2"/>
    <x v="0"/>
    <x v="3"/>
    <n v="6"/>
    <s v="WINTER15"/>
    <x v="2"/>
    <n v="1046"/>
    <s v="Electronics"/>
    <s v="High"/>
    <n v="150000"/>
    <n v="1046"/>
    <x v="11"/>
    <d v="2023-08-01T00:00:00"/>
  </r>
  <r>
    <s v="ORD201093"/>
    <d v="2023-06-09T00:00:00"/>
    <s v="C86773"/>
    <x v="1"/>
    <n v="4"/>
    <n v="197.36"/>
    <x v="3"/>
    <x v="2"/>
    <n v="9"/>
    <s v="FREESHIP"/>
    <x v="0"/>
    <n v="789.44"/>
    <s v="Electronics"/>
    <s v="High"/>
    <n v="120000"/>
    <n v="789.44"/>
    <x v="19"/>
    <d v="2023-06-01T00:00:00"/>
  </r>
  <r>
    <s v="ORD201094"/>
    <d v="2023-06-28T00:00:00"/>
    <s v="C66093"/>
    <x v="4"/>
    <n v="4"/>
    <n v="648.91"/>
    <x v="2"/>
    <x v="0"/>
    <n v="6"/>
    <s v="SAVE10"/>
    <x v="0"/>
    <n v="2595.64"/>
    <s v="Electronics"/>
    <s v="Medium"/>
    <n v="80000"/>
    <n v="2595.64"/>
    <x v="19"/>
    <d v="2023-06-01T00:00:00"/>
  </r>
  <r>
    <s v="ORD201095"/>
    <d v="2024-04-23T00:00:00"/>
    <s v="C33051"/>
    <x v="1"/>
    <n v="2"/>
    <n v="441.54"/>
    <x v="1"/>
    <x v="3"/>
    <n v="2"/>
    <s v="SAVE10"/>
    <x v="2"/>
    <n v="883.08"/>
    <s v="Electronics"/>
    <s v="High"/>
    <n v="120000"/>
    <n v="883.08"/>
    <x v="28"/>
    <d v="2024-04-01T00:00:00"/>
  </r>
  <r>
    <s v="ORD201096"/>
    <d v="2025-05-03T00:00:00"/>
    <s v="C18169"/>
    <x v="2"/>
    <n v="2"/>
    <n v="464.92"/>
    <x v="0"/>
    <x v="2"/>
    <n v="2"/>
    <m/>
    <x v="3"/>
    <n v="929.84"/>
    <s v="Electronics"/>
    <s v="Medium"/>
    <n v="100000"/>
    <n v="929.84"/>
    <x v="4"/>
    <d v="2025-05-01T00:00:00"/>
  </r>
  <r>
    <s v="ORD201097"/>
    <d v="2024-12-26T00:00:00"/>
    <s v="C81370"/>
    <x v="0"/>
    <n v="5"/>
    <n v="506.45"/>
    <x v="3"/>
    <x v="0"/>
    <n v="7"/>
    <s v="WINTER15"/>
    <x v="4"/>
    <n v="2532.25"/>
    <s v="Electronics"/>
    <s v="Medium"/>
    <n v="90000"/>
    <n v="2532.25"/>
    <x v="20"/>
    <d v="2024-12-01T00:00:00"/>
  </r>
  <r>
    <s v="ORD201098"/>
    <d v="2023-06-17T00:00:00"/>
    <s v="C91103"/>
    <x v="0"/>
    <n v="4"/>
    <n v="255.86"/>
    <x v="2"/>
    <x v="3"/>
    <n v="7"/>
    <m/>
    <x v="2"/>
    <n v="1023.44"/>
    <s v="Electronics"/>
    <s v="Medium"/>
    <n v="90000"/>
    <n v="1023.44"/>
    <x v="19"/>
    <d v="2023-06-01T00:00:00"/>
  </r>
  <r>
    <s v="ORD201099"/>
    <d v="2024-09-19T00:00:00"/>
    <s v="C21953"/>
    <x v="5"/>
    <n v="2"/>
    <n v="125.23"/>
    <x v="4"/>
    <x v="1"/>
    <n v="3"/>
    <s v="FREESHIP"/>
    <x v="2"/>
    <n v="250.46"/>
    <s v="Electronics"/>
    <s v="High"/>
    <n v="150000"/>
    <n v="250.46"/>
    <x v="18"/>
    <d v="2024-09-01T00:00:00"/>
  </r>
  <r>
    <s v="ORD201100"/>
    <d v="2023-08-17T00:00:00"/>
    <s v="C15146"/>
    <x v="5"/>
    <n v="5"/>
    <n v="38.11"/>
    <x v="0"/>
    <x v="1"/>
    <n v="6"/>
    <s v="WINTER15"/>
    <x v="0"/>
    <n v="190.55"/>
    <s v="Electronics"/>
    <s v="High"/>
    <n v="150000"/>
    <n v="190.55"/>
    <x v="11"/>
    <d v="2023-08-01T00:00:00"/>
  </r>
  <r>
    <s v="ORD201101"/>
    <d v="2025-06-08T00:00:00"/>
    <s v="C43546"/>
    <x v="0"/>
    <n v="3"/>
    <n v="161.97"/>
    <x v="4"/>
    <x v="4"/>
    <n v="4"/>
    <s v="SAVE10"/>
    <x v="2"/>
    <n v="485.91"/>
    <s v="Electronics"/>
    <s v="Medium"/>
    <n v="90000"/>
    <n v="485.91"/>
    <x v="5"/>
    <d v="2025-06-01T00:00:00"/>
  </r>
  <r>
    <s v="ORD201102"/>
    <d v="2024-06-03T00:00:00"/>
    <s v="C98474"/>
    <x v="3"/>
    <n v="4"/>
    <n v="347.17"/>
    <x v="0"/>
    <x v="0"/>
    <n v="8"/>
    <m/>
    <x v="0"/>
    <n v="1388.68"/>
    <s v="Furniture"/>
    <s v="Medium"/>
    <n v="70000"/>
    <n v="1388.68"/>
    <x v="23"/>
    <d v="2024-06-01T00:00:00"/>
  </r>
  <r>
    <s v="ORD201103"/>
    <d v="2023-04-24T00:00:00"/>
    <s v="C90292"/>
    <x v="5"/>
    <n v="4"/>
    <n v="276.32"/>
    <x v="1"/>
    <x v="3"/>
    <n v="5"/>
    <m/>
    <x v="4"/>
    <n v="1105.28"/>
    <s v="Electronics"/>
    <s v="High"/>
    <n v="150000"/>
    <n v="1105.28"/>
    <x v="29"/>
    <d v="2023-04-01T00:00:00"/>
  </r>
  <r>
    <s v="ORD201104"/>
    <d v="2024-07-25T00:00:00"/>
    <s v="C17075"/>
    <x v="2"/>
    <n v="4"/>
    <n v="314.76"/>
    <x v="1"/>
    <x v="0"/>
    <n v="8"/>
    <m/>
    <x v="0"/>
    <n v="1259.04"/>
    <s v="Electronics"/>
    <s v="Medium"/>
    <n v="100000"/>
    <n v="1259.04"/>
    <x v="17"/>
    <d v="2024-07-01T00:00:00"/>
  </r>
  <r>
    <s v="ORD201105"/>
    <d v="2024-01-08T00:00:00"/>
    <s v="C12487"/>
    <x v="2"/>
    <n v="3"/>
    <n v="475.69"/>
    <x v="3"/>
    <x v="1"/>
    <n v="3"/>
    <s v="FREESHIP"/>
    <x v="4"/>
    <n v="1427.07"/>
    <s v="Electronics"/>
    <s v="Medium"/>
    <n v="100000"/>
    <n v="1427.07"/>
    <x v="25"/>
    <d v="2024-01-01T00:00:00"/>
  </r>
  <r>
    <s v="ORD201106"/>
    <d v="2023-03-12T00:00:00"/>
    <s v="C34555"/>
    <x v="3"/>
    <n v="1"/>
    <n v="372.8"/>
    <x v="4"/>
    <x v="1"/>
    <n v="6"/>
    <s v="SAVE10"/>
    <x v="3"/>
    <n v="372.8"/>
    <s v="Furniture"/>
    <s v="Medium"/>
    <n v="70000"/>
    <n v="372.8"/>
    <x v="12"/>
    <d v="2023-03-01T00:00:00"/>
  </r>
  <r>
    <s v="ORD201107"/>
    <d v="2025-06-30T00:00:00"/>
    <s v="C25110"/>
    <x v="2"/>
    <n v="2"/>
    <n v="63.21"/>
    <x v="1"/>
    <x v="1"/>
    <n v="4"/>
    <s v="SAVE10"/>
    <x v="4"/>
    <n v="126.42"/>
    <s v="Electronics"/>
    <s v="Medium"/>
    <n v="100000"/>
    <n v="126.42"/>
    <x v="5"/>
    <d v="2025-06-01T00:00:00"/>
  </r>
  <r>
    <s v="ORD201108"/>
    <d v="2023-03-20T00:00:00"/>
    <s v="C35136"/>
    <x v="5"/>
    <n v="1"/>
    <n v="634.94000000000005"/>
    <x v="1"/>
    <x v="1"/>
    <n v="5"/>
    <s v="WINTER15"/>
    <x v="0"/>
    <n v="634.94000000000005"/>
    <s v="Electronics"/>
    <s v="High"/>
    <n v="150000"/>
    <n v="634.94000000000005"/>
    <x v="12"/>
    <d v="2023-03-01T00:00:00"/>
  </r>
  <r>
    <s v="ORD201109"/>
    <d v="2024-04-08T00:00:00"/>
    <s v="C62277"/>
    <x v="4"/>
    <n v="4"/>
    <n v="77.47"/>
    <x v="3"/>
    <x v="2"/>
    <n v="7"/>
    <s v="SAVE10"/>
    <x v="0"/>
    <n v="309.88"/>
    <s v="Electronics"/>
    <s v="Medium"/>
    <n v="80000"/>
    <n v="309.88"/>
    <x v="28"/>
    <d v="2024-04-01T00:00:00"/>
  </r>
  <r>
    <s v="ORD201110"/>
    <d v="2024-02-25T00:00:00"/>
    <s v="C12472"/>
    <x v="3"/>
    <n v="3"/>
    <n v="84.31"/>
    <x v="2"/>
    <x v="0"/>
    <n v="3"/>
    <s v="SAVE10"/>
    <x v="2"/>
    <n v="252.93"/>
    <s v="Furniture"/>
    <s v="Medium"/>
    <n v="70000"/>
    <n v="252.93"/>
    <x v="2"/>
    <d v="2024-02-01T00:00:00"/>
  </r>
  <r>
    <s v="ORD201111"/>
    <d v="2023-05-06T00:00:00"/>
    <s v="C24047"/>
    <x v="0"/>
    <n v="4"/>
    <n v="234.45"/>
    <x v="1"/>
    <x v="1"/>
    <n v="9"/>
    <s v="FREESHIP"/>
    <x v="0"/>
    <n v="937.8"/>
    <s v="Electronics"/>
    <s v="Medium"/>
    <n v="90000"/>
    <n v="937.8"/>
    <x v="6"/>
    <d v="2023-05-01T00:00:00"/>
  </r>
  <r>
    <s v="ORD201112"/>
    <d v="2023-10-13T00:00:00"/>
    <s v="C76929"/>
    <x v="6"/>
    <n v="1"/>
    <n v="356.81"/>
    <x v="1"/>
    <x v="3"/>
    <n v="1"/>
    <s v="WINTER15"/>
    <x v="0"/>
    <n v="356.81"/>
    <s v="Furniture"/>
    <s v="High"/>
    <n v="75000"/>
    <n v="356.81"/>
    <x v="3"/>
    <d v="2023-10-01T00:00:00"/>
  </r>
  <r>
    <s v="ORD201113"/>
    <d v="2023-03-19T00:00:00"/>
    <s v="C52914"/>
    <x v="6"/>
    <n v="4"/>
    <n v="209.99"/>
    <x v="4"/>
    <x v="3"/>
    <n v="8"/>
    <m/>
    <x v="4"/>
    <n v="839.96"/>
    <s v="Furniture"/>
    <s v="High"/>
    <n v="75000"/>
    <n v="839.96"/>
    <x v="12"/>
    <d v="2023-03-01T00:00:00"/>
  </r>
  <r>
    <s v="ORD201114"/>
    <d v="2023-03-16T00:00:00"/>
    <s v="C55164"/>
    <x v="2"/>
    <n v="3"/>
    <n v="659.88"/>
    <x v="3"/>
    <x v="1"/>
    <n v="3"/>
    <m/>
    <x v="4"/>
    <n v="1979.64"/>
    <s v="Electronics"/>
    <s v="Medium"/>
    <n v="100000"/>
    <n v="1979.64"/>
    <x v="12"/>
    <d v="2023-03-01T00:00:00"/>
  </r>
  <r>
    <s v="ORD201115"/>
    <d v="2025-06-20T00:00:00"/>
    <s v="C70426"/>
    <x v="5"/>
    <n v="2"/>
    <n v="336.32"/>
    <x v="1"/>
    <x v="2"/>
    <n v="3"/>
    <m/>
    <x v="4"/>
    <n v="672.64"/>
    <s v="Electronics"/>
    <s v="High"/>
    <n v="150000"/>
    <n v="672.64"/>
    <x v="5"/>
    <d v="2025-06-01T00:00:00"/>
  </r>
  <r>
    <s v="ORD201116"/>
    <d v="2023-10-14T00:00:00"/>
    <s v="C69149"/>
    <x v="4"/>
    <n v="2"/>
    <n v="531.49"/>
    <x v="2"/>
    <x v="3"/>
    <n v="7"/>
    <s v="WINTER15"/>
    <x v="3"/>
    <n v="1062.98"/>
    <s v="Electronics"/>
    <s v="Medium"/>
    <n v="80000"/>
    <n v="1062.98"/>
    <x v="3"/>
    <d v="2023-10-01T00:00:00"/>
  </r>
  <r>
    <s v="ORD201117"/>
    <d v="2024-05-20T00:00:00"/>
    <s v="C78684"/>
    <x v="3"/>
    <n v="3"/>
    <n v="588.44000000000005"/>
    <x v="3"/>
    <x v="0"/>
    <n v="8"/>
    <s v="WINTER15"/>
    <x v="4"/>
    <n v="1765.32"/>
    <s v="Furniture"/>
    <s v="Medium"/>
    <n v="70000"/>
    <n v="1765.32"/>
    <x v="22"/>
    <d v="2024-05-01T00:00:00"/>
  </r>
  <r>
    <s v="ORD201118"/>
    <d v="2024-05-24T00:00:00"/>
    <s v="C58168"/>
    <x v="1"/>
    <n v="3"/>
    <n v="251.48"/>
    <x v="2"/>
    <x v="2"/>
    <n v="4"/>
    <m/>
    <x v="2"/>
    <n v="754.43999999999994"/>
    <s v="Electronics"/>
    <s v="High"/>
    <n v="120000"/>
    <n v="754.43999999999994"/>
    <x v="22"/>
    <d v="2024-05-01T00:00:00"/>
  </r>
  <r>
    <s v="ORD201119"/>
    <d v="2024-11-24T00:00:00"/>
    <s v="C99024"/>
    <x v="5"/>
    <n v="1"/>
    <n v="684.65"/>
    <x v="2"/>
    <x v="3"/>
    <n v="1"/>
    <s v="FREESHIP"/>
    <x v="2"/>
    <n v="684.65"/>
    <s v="Electronics"/>
    <s v="High"/>
    <n v="150000"/>
    <n v="684.65"/>
    <x v="16"/>
    <d v="2024-11-01T00:00:00"/>
  </r>
  <r>
    <s v="ORD201120"/>
    <d v="2025-05-10T00:00:00"/>
    <s v="C22919"/>
    <x v="2"/>
    <n v="1"/>
    <n v="195.86"/>
    <x v="1"/>
    <x v="4"/>
    <n v="3"/>
    <m/>
    <x v="3"/>
    <n v="195.86"/>
    <s v="Electronics"/>
    <s v="Medium"/>
    <n v="100000"/>
    <n v="195.86"/>
    <x v="4"/>
    <d v="2025-05-01T00:00:00"/>
  </r>
  <r>
    <s v="ORD201121"/>
    <d v="2023-05-28T00:00:00"/>
    <s v="C98354"/>
    <x v="1"/>
    <n v="3"/>
    <n v="50.34"/>
    <x v="3"/>
    <x v="2"/>
    <n v="3"/>
    <s v="FREESHIP"/>
    <x v="0"/>
    <n v="151.02000000000001"/>
    <s v="Electronics"/>
    <s v="High"/>
    <n v="120000"/>
    <n v="151.02000000000001"/>
    <x v="6"/>
    <d v="2023-05-01T00:00:00"/>
  </r>
  <r>
    <s v="ORD201122"/>
    <d v="2023-06-07T00:00:00"/>
    <s v="C38840"/>
    <x v="0"/>
    <n v="5"/>
    <n v="678.19"/>
    <x v="1"/>
    <x v="2"/>
    <n v="8"/>
    <m/>
    <x v="3"/>
    <n v="3390.95"/>
    <s v="Electronics"/>
    <s v="Medium"/>
    <n v="90000"/>
    <n v="3390.95"/>
    <x v="19"/>
    <d v="2023-06-01T00:00:00"/>
  </r>
  <r>
    <s v="ORD201123"/>
    <d v="2023-04-14T00:00:00"/>
    <s v="C68936"/>
    <x v="2"/>
    <n v="3"/>
    <n v="554.25"/>
    <x v="0"/>
    <x v="0"/>
    <n v="6"/>
    <s v="WINTER15"/>
    <x v="1"/>
    <n v="1662.75"/>
    <s v="Electronics"/>
    <s v="Medium"/>
    <n v="100000"/>
    <n v="1662.75"/>
    <x v="29"/>
    <d v="2023-04-01T00:00:00"/>
  </r>
  <r>
    <s v="ORD201124"/>
    <d v="2023-05-09T00:00:00"/>
    <s v="C33744"/>
    <x v="3"/>
    <n v="4"/>
    <n v="576.87"/>
    <x v="3"/>
    <x v="2"/>
    <n v="5"/>
    <m/>
    <x v="0"/>
    <n v="2307.48"/>
    <s v="Furniture"/>
    <s v="Medium"/>
    <n v="70000"/>
    <n v="2307.48"/>
    <x v="6"/>
    <d v="2023-05-01T00:00:00"/>
  </r>
  <r>
    <s v="ORD201125"/>
    <d v="2023-10-16T00:00:00"/>
    <s v="C23555"/>
    <x v="6"/>
    <n v="4"/>
    <n v="408.36"/>
    <x v="3"/>
    <x v="1"/>
    <n v="4"/>
    <s v="FREESHIP"/>
    <x v="1"/>
    <n v="1633.44"/>
    <s v="Furniture"/>
    <s v="High"/>
    <n v="75000"/>
    <n v="1633.44"/>
    <x v="3"/>
    <d v="2023-10-01T00:00:00"/>
  </r>
  <r>
    <s v="ORD201126"/>
    <d v="2024-07-22T00:00:00"/>
    <s v="C34337"/>
    <x v="1"/>
    <n v="5"/>
    <n v="190.11"/>
    <x v="4"/>
    <x v="3"/>
    <n v="7"/>
    <s v="SAVE10"/>
    <x v="4"/>
    <n v="950.55000000000007"/>
    <s v="Electronics"/>
    <s v="High"/>
    <n v="120000"/>
    <n v="950.55000000000007"/>
    <x v="17"/>
    <d v="2024-07-01T00:00:00"/>
  </r>
  <r>
    <s v="ORD201127"/>
    <d v="2025-03-15T00:00:00"/>
    <s v="C69396"/>
    <x v="4"/>
    <n v="3"/>
    <n v="602.75"/>
    <x v="2"/>
    <x v="0"/>
    <n v="6"/>
    <s v="SAVE10"/>
    <x v="2"/>
    <n v="1808.25"/>
    <s v="Electronics"/>
    <s v="Medium"/>
    <n v="80000"/>
    <n v="1808.25"/>
    <x v="15"/>
    <d v="2025-03-01T00:00:00"/>
  </r>
  <r>
    <s v="ORD201128"/>
    <d v="2023-08-17T00:00:00"/>
    <s v="C49198"/>
    <x v="0"/>
    <n v="3"/>
    <n v="646.79"/>
    <x v="4"/>
    <x v="1"/>
    <n v="5"/>
    <s v="WINTER15"/>
    <x v="4"/>
    <n v="1940.37"/>
    <s v="Electronics"/>
    <s v="Medium"/>
    <n v="90000"/>
    <n v="1940.37"/>
    <x v="11"/>
    <d v="2023-08-01T00:00:00"/>
  </r>
  <r>
    <s v="ORD201129"/>
    <d v="2023-06-11T00:00:00"/>
    <s v="C43911"/>
    <x v="3"/>
    <n v="4"/>
    <n v="418.71"/>
    <x v="4"/>
    <x v="4"/>
    <n v="8"/>
    <s v="FREESHIP"/>
    <x v="0"/>
    <n v="1674.84"/>
    <s v="Furniture"/>
    <s v="Medium"/>
    <n v="70000"/>
    <n v="1674.84"/>
    <x v="19"/>
    <d v="2023-06-01T00:00:00"/>
  </r>
  <r>
    <s v="ORD201130"/>
    <d v="2025-02-16T00:00:00"/>
    <s v="C24347"/>
    <x v="5"/>
    <n v="2"/>
    <n v="323.45"/>
    <x v="2"/>
    <x v="2"/>
    <n v="5"/>
    <s v="FREESHIP"/>
    <x v="0"/>
    <n v="646.9"/>
    <s v="Electronics"/>
    <s v="High"/>
    <n v="150000"/>
    <n v="646.9"/>
    <x v="21"/>
    <d v="2025-02-01T00:00:00"/>
  </r>
  <r>
    <s v="ORD201131"/>
    <d v="2024-07-18T00:00:00"/>
    <s v="C21043"/>
    <x v="1"/>
    <n v="1"/>
    <n v="694.5"/>
    <x v="2"/>
    <x v="4"/>
    <n v="3"/>
    <s v="WINTER15"/>
    <x v="3"/>
    <n v="694.5"/>
    <s v="Electronics"/>
    <s v="High"/>
    <n v="120000"/>
    <n v="694.5"/>
    <x v="17"/>
    <d v="2024-07-01T00:00:00"/>
  </r>
  <r>
    <s v="ORD201132"/>
    <d v="2024-12-02T00:00:00"/>
    <s v="C58858"/>
    <x v="3"/>
    <n v="2"/>
    <n v="337.32"/>
    <x v="2"/>
    <x v="1"/>
    <n v="4"/>
    <s v="SAVE10"/>
    <x v="2"/>
    <n v="674.64"/>
    <s v="Furniture"/>
    <s v="Medium"/>
    <n v="70000"/>
    <n v="674.64"/>
    <x v="20"/>
    <d v="2024-12-01T00:00:00"/>
  </r>
  <r>
    <s v="ORD201133"/>
    <d v="2024-04-09T00:00:00"/>
    <s v="C20670"/>
    <x v="4"/>
    <n v="2"/>
    <n v="467.91"/>
    <x v="3"/>
    <x v="2"/>
    <n v="5"/>
    <s v="WINTER15"/>
    <x v="3"/>
    <n v="935.82"/>
    <s v="Electronics"/>
    <s v="Medium"/>
    <n v="80000"/>
    <n v="935.82"/>
    <x v="28"/>
    <d v="2024-04-01T00:00:00"/>
  </r>
  <r>
    <s v="ORD201134"/>
    <d v="2024-06-08T00:00:00"/>
    <s v="C90993"/>
    <x v="6"/>
    <n v="4"/>
    <n v="38.28"/>
    <x v="0"/>
    <x v="1"/>
    <n v="4"/>
    <s v="WINTER15"/>
    <x v="3"/>
    <n v="153.12"/>
    <s v="Furniture"/>
    <s v="High"/>
    <n v="75000"/>
    <n v="153.12"/>
    <x v="23"/>
    <d v="2024-06-01T00:00:00"/>
  </r>
  <r>
    <s v="ORD201135"/>
    <d v="2023-12-28T00:00:00"/>
    <s v="C11473"/>
    <x v="4"/>
    <n v="2"/>
    <n v="73.41"/>
    <x v="1"/>
    <x v="0"/>
    <n v="2"/>
    <s v="SAVE10"/>
    <x v="4"/>
    <n v="146.82"/>
    <s v="Electronics"/>
    <s v="Medium"/>
    <n v="80000"/>
    <n v="146.82"/>
    <x v="9"/>
    <d v="2023-12-01T00:00:00"/>
  </r>
  <r>
    <s v="ORD201136"/>
    <d v="2023-09-24T00:00:00"/>
    <s v="C71899"/>
    <x v="2"/>
    <n v="3"/>
    <n v="668.33"/>
    <x v="3"/>
    <x v="4"/>
    <n v="4"/>
    <s v="WINTER15"/>
    <x v="3"/>
    <n v="2004.99"/>
    <s v="Electronics"/>
    <s v="Medium"/>
    <n v="100000"/>
    <n v="2004.99"/>
    <x v="24"/>
    <d v="2023-09-01T00:00:00"/>
  </r>
  <r>
    <s v="ORD201137"/>
    <d v="2024-07-29T00:00:00"/>
    <s v="C48577"/>
    <x v="4"/>
    <n v="4"/>
    <n v="410.21"/>
    <x v="4"/>
    <x v="4"/>
    <n v="5"/>
    <s v="WINTER15"/>
    <x v="0"/>
    <n v="1640.84"/>
    <s v="Electronics"/>
    <s v="Medium"/>
    <n v="80000"/>
    <n v="1640.84"/>
    <x v="17"/>
    <d v="2024-07-01T00:00:00"/>
  </r>
  <r>
    <s v="ORD201138"/>
    <d v="2023-12-18T00:00:00"/>
    <s v="C13100"/>
    <x v="6"/>
    <n v="4"/>
    <n v="294.41000000000003"/>
    <x v="0"/>
    <x v="4"/>
    <n v="4"/>
    <m/>
    <x v="0"/>
    <n v="1177.6400000000001"/>
    <s v="Furniture"/>
    <s v="High"/>
    <n v="75000"/>
    <n v="1177.6400000000001"/>
    <x v="9"/>
    <d v="2023-12-01T00:00:00"/>
  </r>
  <r>
    <s v="ORD201139"/>
    <d v="2025-03-01T00:00:00"/>
    <s v="C70659"/>
    <x v="3"/>
    <n v="3"/>
    <n v="501.82"/>
    <x v="3"/>
    <x v="1"/>
    <n v="4"/>
    <s v="FREESHIP"/>
    <x v="2"/>
    <n v="1505.46"/>
    <s v="Furniture"/>
    <s v="Medium"/>
    <n v="70000"/>
    <n v="1505.46"/>
    <x v="15"/>
    <d v="2025-03-01T00:00:00"/>
  </r>
  <r>
    <s v="ORD201140"/>
    <d v="2024-06-24T00:00:00"/>
    <s v="C49838"/>
    <x v="4"/>
    <n v="2"/>
    <n v="552.83000000000004"/>
    <x v="2"/>
    <x v="1"/>
    <n v="3"/>
    <m/>
    <x v="1"/>
    <n v="1105.6600000000001"/>
    <s v="Electronics"/>
    <s v="Medium"/>
    <n v="80000"/>
    <n v="1105.6600000000001"/>
    <x v="23"/>
    <d v="2024-06-01T00:00:00"/>
  </r>
  <r>
    <s v="ORD201141"/>
    <d v="2025-02-16T00:00:00"/>
    <s v="C11998"/>
    <x v="3"/>
    <n v="3"/>
    <n v="498.66"/>
    <x v="4"/>
    <x v="1"/>
    <n v="6"/>
    <m/>
    <x v="2"/>
    <n v="1495.98"/>
    <s v="Furniture"/>
    <s v="Medium"/>
    <n v="70000"/>
    <n v="1495.98"/>
    <x v="21"/>
    <d v="2025-02-01T00:00:00"/>
  </r>
  <r>
    <s v="ORD201142"/>
    <d v="2024-08-23T00:00:00"/>
    <s v="C23405"/>
    <x v="1"/>
    <n v="4"/>
    <n v="695.1"/>
    <x v="0"/>
    <x v="2"/>
    <n v="8"/>
    <m/>
    <x v="2"/>
    <n v="2780.4"/>
    <s v="Electronics"/>
    <s v="High"/>
    <n v="120000"/>
    <n v="2780.4"/>
    <x v="1"/>
    <d v="2024-08-01T00:00:00"/>
  </r>
  <r>
    <s v="ORD201143"/>
    <d v="2023-04-03T00:00:00"/>
    <s v="C41132"/>
    <x v="3"/>
    <n v="1"/>
    <n v="381.61"/>
    <x v="0"/>
    <x v="4"/>
    <n v="5"/>
    <m/>
    <x v="2"/>
    <n v="381.61"/>
    <s v="Furniture"/>
    <s v="Medium"/>
    <n v="70000"/>
    <n v="381.61"/>
    <x v="29"/>
    <d v="2023-04-01T00:00:00"/>
  </r>
  <r>
    <s v="ORD201144"/>
    <d v="2023-02-16T00:00:00"/>
    <s v="C88463"/>
    <x v="6"/>
    <n v="5"/>
    <n v="507.94"/>
    <x v="1"/>
    <x v="1"/>
    <n v="9"/>
    <m/>
    <x v="3"/>
    <n v="2539.6999999999998"/>
    <s v="Furniture"/>
    <s v="High"/>
    <n v="75000"/>
    <n v="2539.6999999999998"/>
    <x v="26"/>
    <d v="2023-02-01T00:00:00"/>
  </r>
  <r>
    <s v="ORD201145"/>
    <d v="2025-05-12T00:00:00"/>
    <s v="C28152"/>
    <x v="6"/>
    <n v="3"/>
    <n v="571.53"/>
    <x v="0"/>
    <x v="3"/>
    <n v="6"/>
    <s v="FREESHIP"/>
    <x v="3"/>
    <n v="1714.59"/>
    <s v="Furniture"/>
    <s v="High"/>
    <n v="75000"/>
    <n v="1714.59"/>
    <x v="4"/>
    <d v="2025-05-01T00:00:00"/>
  </r>
  <r>
    <s v="ORD201146"/>
    <d v="2024-10-03T00:00:00"/>
    <s v="C36383"/>
    <x v="0"/>
    <n v="5"/>
    <n v="421.44"/>
    <x v="4"/>
    <x v="4"/>
    <n v="5"/>
    <s v="SAVE10"/>
    <x v="0"/>
    <n v="2107.1999999999998"/>
    <s v="Electronics"/>
    <s v="Medium"/>
    <n v="90000"/>
    <n v="2107.1999999999998"/>
    <x v="10"/>
    <d v="2024-10-01T00:00:00"/>
  </r>
  <r>
    <s v="ORD201147"/>
    <d v="2025-01-02T00:00:00"/>
    <s v="C19759"/>
    <x v="3"/>
    <n v="2"/>
    <n v="588.29999999999995"/>
    <x v="1"/>
    <x v="4"/>
    <n v="2"/>
    <s v="FREESHIP"/>
    <x v="2"/>
    <n v="1176.5999999999999"/>
    <s v="Furniture"/>
    <s v="Medium"/>
    <n v="70000"/>
    <n v="1176.5999999999999"/>
    <x v="27"/>
    <d v="2025-01-01T00:00:00"/>
  </r>
  <r>
    <s v="ORD201148"/>
    <d v="2024-06-25T00:00:00"/>
    <s v="C54886"/>
    <x v="1"/>
    <n v="1"/>
    <n v="355.15"/>
    <x v="4"/>
    <x v="2"/>
    <n v="2"/>
    <s v="SAVE10"/>
    <x v="2"/>
    <n v="355.15"/>
    <s v="Electronics"/>
    <s v="High"/>
    <n v="120000"/>
    <n v="355.15"/>
    <x v="23"/>
    <d v="2024-06-01T00:00:00"/>
  </r>
  <r>
    <s v="ORD201149"/>
    <d v="2024-07-25T00:00:00"/>
    <s v="C27305"/>
    <x v="3"/>
    <n v="2"/>
    <n v="695.29"/>
    <x v="2"/>
    <x v="4"/>
    <n v="6"/>
    <s v="FREESHIP"/>
    <x v="0"/>
    <n v="1390.58"/>
    <s v="Furniture"/>
    <s v="Medium"/>
    <n v="70000"/>
    <n v="1390.58"/>
    <x v="17"/>
    <d v="2024-07-01T00:00:00"/>
  </r>
  <r>
    <s v="ORD201150"/>
    <d v="2023-02-20T00:00:00"/>
    <s v="C17921"/>
    <x v="6"/>
    <n v="4"/>
    <n v="302.64999999999998"/>
    <x v="2"/>
    <x v="1"/>
    <n v="8"/>
    <s v="SAVE10"/>
    <x v="1"/>
    <n v="1210.5999999999999"/>
    <s v="Furniture"/>
    <s v="High"/>
    <n v="75000"/>
    <n v="1210.5999999999999"/>
    <x v="26"/>
    <d v="2023-02-01T00:00:00"/>
  </r>
  <r>
    <s v="ORD201151"/>
    <d v="2023-01-29T00:00:00"/>
    <s v="C94381"/>
    <x v="3"/>
    <n v="2"/>
    <n v="608.04"/>
    <x v="4"/>
    <x v="1"/>
    <n v="4"/>
    <m/>
    <x v="4"/>
    <n v="1216.08"/>
    <s v="Furniture"/>
    <s v="Medium"/>
    <n v="70000"/>
    <n v="1216.08"/>
    <x v="0"/>
    <d v="2023-01-01T00:00:00"/>
  </r>
  <r>
    <s v="ORD201152"/>
    <d v="2023-11-09T00:00:00"/>
    <s v="C25162"/>
    <x v="2"/>
    <n v="2"/>
    <n v="344.18"/>
    <x v="2"/>
    <x v="0"/>
    <n v="7"/>
    <m/>
    <x v="1"/>
    <n v="688.36"/>
    <s v="Electronics"/>
    <s v="Medium"/>
    <n v="100000"/>
    <n v="688.36"/>
    <x v="8"/>
    <d v="2023-11-01T00:00:00"/>
  </r>
  <r>
    <s v="ORD201153"/>
    <d v="2024-12-16T00:00:00"/>
    <s v="C98317"/>
    <x v="0"/>
    <n v="4"/>
    <n v="696.71"/>
    <x v="0"/>
    <x v="0"/>
    <n v="4"/>
    <m/>
    <x v="0"/>
    <n v="2786.84"/>
    <s v="Electronics"/>
    <s v="Medium"/>
    <n v="90000"/>
    <n v="2786.84"/>
    <x v="20"/>
    <d v="2024-12-01T00:00:00"/>
  </r>
  <r>
    <s v="ORD201154"/>
    <d v="2025-06-11T00:00:00"/>
    <s v="C53631"/>
    <x v="0"/>
    <n v="3"/>
    <n v="198.63"/>
    <x v="4"/>
    <x v="4"/>
    <n v="8"/>
    <s v="SAVE10"/>
    <x v="0"/>
    <n v="595.89"/>
    <s v="Electronics"/>
    <s v="Medium"/>
    <n v="90000"/>
    <n v="595.89"/>
    <x v="5"/>
    <d v="2025-06-01T00:00:00"/>
  </r>
  <r>
    <s v="ORD201155"/>
    <d v="2023-08-13T00:00:00"/>
    <s v="C41478"/>
    <x v="4"/>
    <n v="4"/>
    <n v="534.57000000000005"/>
    <x v="2"/>
    <x v="3"/>
    <n v="6"/>
    <s v="FREESHIP"/>
    <x v="3"/>
    <n v="2138.2800000000002"/>
    <s v="Electronics"/>
    <s v="Medium"/>
    <n v="80000"/>
    <n v="2138.2800000000002"/>
    <x v="11"/>
    <d v="2023-08-01T00:00:00"/>
  </r>
  <r>
    <s v="ORD201156"/>
    <d v="2023-07-19T00:00:00"/>
    <s v="C20512"/>
    <x v="5"/>
    <n v="4"/>
    <n v="690.78"/>
    <x v="2"/>
    <x v="0"/>
    <n v="9"/>
    <m/>
    <x v="1"/>
    <n v="2763.12"/>
    <s v="Electronics"/>
    <s v="High"/>
    <n v="150000"/>
    <n v="2763.12"/>
    <x v="13"/>
    <d v="2023-07-01T00:00:00"/>
  </r>
  <r>
    <s v="ORD201157"/>
    <d v="2024-05-29T00:00:00"/>
    <s v="C25841"/>
    <x v="0"/>
    <n v="3"/>
    <n v="301.55"/>
    <x v="0"/>
    <x v="3"/>
    <n v="5"/>
    <s v="FREESHIP"/>
    <x v="4"/>
    <n v="904.65000000000009"/>
    <s v="Electronics"/>
    <s v="Medium"/>
    <n v="90000"/>
    <n v="904.65000000000009"/>
    <x v="22"/>
    <d v="2024-05-01T00:00:00"/>
  </r>
  <r>
    <s v="ORD201158"/>
    <d v="2023-04-20T00:00:00"/>
    <s v="C82781"/>
    <x v="0"/>
    <n v="4"/>
    <n v="27.42"/>
    <x v="0"/>
    <x v="4"/>
    <n v="4"/>
    <s v="SAVE10"/>
    <x v="1"/>
    <n v="109.68"/>
    <s v="Electronics"/>
    <s v="Medium"/>
    <n v="90000"/>
    <n v="109.68"/>
    <x v="29"/>
    <d v="2023-04-01T00:00:00"/>
  </r>
  <r>
    <s v="ORD201159"/>
    <d v="2024-02-23T00:00:00"/>
    <s v="C66112"/>
    <x v="6"/>
    <n v="4"/>
    <n v="466.7"/>
    <x v="0"/>
    <x v="2"/>
    <n v="8"/>
    <m/>
    <x v="0"/>
    <n v="1866.8"/>
    <s v="Furniture"/>
    <s v="High"/>
    <n v="75000"/>
    <n v="1866.8"/>
    <x v="2"/>
    <d v="2024-02-01T00:00:00"/>
  </r>
  <r>
    <s v="ORD201160"/>
    <d v="2024-09-04T00:00:00"/>
    <s v="C40466"/>
    <x v="6"/>
    <n v="1"/>
    <n v="541.64"/>
    <x v="0"/>
    <x v="0"/>
    <n v="5"/>
    <s v="SAVE10"/>
    <x v="2"/>
    <n v="541.64"/>
    <s v="Furniture"/>
    <s v="High"/>
    <n v="75000"/>
    <n v="541.64"/>
    <x v="18"/>
    <d v="2024-09-01T00:00:00"/>
  </r>
  <r>
    <s v="ORD201161"/>
    <d v="2023-10-16T00:00:00"/>
    <s v="C32570"/>
    <x v="1"/>
    <n v="1"/>
    <n v="11.39"/>
    <x v="4"/>
    <x v="1"/>
    <n v="6"/>
    <s v="WINTER15"/>
    <x v="2"/>
    <n v="11.39"/>
    <s v="Electronics"/>
    <s v="High"/>
    <n v="120000"/>
    <n v="11.39"/>
    <x v="3"/>
    <d v="2023-10-01T00:00:00"/>
  </r>
  <r>
    <s v="ORD201162"/>
    <d v="2025-03-11T00:00:00"/>
    <s v="C29405"/>
    <x v="1"/>
    <n v="2"/>
    <n v="224.37"/>
    <x v="0"/>
    <x v="3"/>
    <n v="3"/>
    <s v="WINTER15"/>
    <x v="1"/>
    <n v="448.74"/>
    <s v="Electronics"/>
    <s v="High"/>
    <n v="120000"/>
    <n v="448.74"/>
    <x v="15"/>
    <d v="2025-03-01T00:00:00"/>
  </r>
  <r>
    <s v="ORD201163"/>
    <d v="2024-06-11T00:00:00"/>
    <s v="C30643"/>
    <x v="5"/>
    <n v="3"/>
    <n v="306.29000000000002"/>
    <x v="2"/>
    <x v="2"/>
    <n v="7"/>
    <s v="WINTER15"/>
    <x v="0"/>
    <n v="918.87000000000012"/>
    <s v="Electronics"/>
    <s v="High"/>
    <n v="150000"/>
    <n v="918.87000000000012"/>
    <x v="23"/>
    <d v="2024-06-01T00:00:00"/>
  </r>
  <r>
    <s v="ORD201164"/>
    <d v="2024-01-08T00:00:00"/>
    <s v="C65890"/>
    <x v="2"/>
    <n v="5"/>
    <n v="315.57"/>
    <x v="0"/>
    <x v="3"/>
    <n v="6"/>
    <s v="WINTER15"/>
    <x v="2"/>
    <n v="1577.85"/>
    <s v="Electronics"/>
    <s v="Medium"/>
    <n v="100000"/>
    <n v="1577.85"/>
    <x v="25"/>
    <d v="2024-01-01T00:00:00"/>
  </r>
  <r>
    <s v="ORD201165"/>
    <d v="2023-07-14T00:00:00"/>
    <s v="C36992"/>
    <x v="3"/>
    <n v="3"/>
    <n v="223.79"/>
    <x v="0"/>
    <x v="4"/>
    <n v="3"/>
    <m/>
    <x v="4"/>
    <n v="671.37"/>
    <s v="Furniture"/>
    <s v="Medium"/>
    <n v="70000"/>
    <n v="671.37"/>
    <x v="13"/>
    <d v="2023-07-01T00:00:00"/>
  </r>
  <r>
    <s v="ORD201166"/>
    <d v="2023-07-31T00:00:00"/>
    <s v="C95568"/>
    <x v="3"/>
    <n v="3"/>
    <n v="324.47000000000003"/>
    <x v="4"/>
    <x v="3"/>
    <n v="4"/>
    <s v="WINTER15"/>
    <x v="2"/>
    <n v="973.41000000000008"/>
    <s v="Furniture"/>
    <s v="Medium"/>
    <n v="70000"/>
    <n v="973.41000000000008"/>
    <x v="13"/>
    <d v="2023-07-01T00:00:00"/>
  </r>
  <r>
    <s v="ORD201167"/>
    <d v="2023-10-17T00:00:00"/>
    <s v="C17966"/>
    <x v="4"/>
    <n v="2"/>
    <n v="92.87"/>
    <x v="2"/>
    <x v="4"/>
    <n v="5"/>
    <s v="FREESHIP"/>
    <x v="3"/>
    <n v="185.74"/>
    <s v="Electronics"/>
    <s v="Medium"/>
    <n v="80000"/>
    <n v="185.74"/>
    <x v="3"/>
    <d v="2023-10-01T00:00:00"/>
  </r>
  <r>
    <s v="ORD201168"/>
    <d v="2023-04-08T00:00:00"/>
    <s v="C89559"/>
    <x v="5"/>
    <n v="2"/>
    <n v="331.42"/>
    <x v="2"/>
    <x v="3"/>
    <n v="6"/>
    <s v="WINTER15"/>
    <x v="4"/>
    <n v="662.84"/>
    <s v="Electronics"/>
    <s v="High"/>
    <n v="150000"/>
    <n v="662.84"/>
    <x v="29"/>
    <d v="2023-04-01T00:00:00"/>
  </r>
  <r>
    <s v="ORD201169"/>
    <d v="2024-12-23T00:00:00"/>
    <s v="C15849"/>
    <x v="3"/>
    <n v="1"/>
    <n v="525.42999999999995"/>
    <x v="4"/>
    <x v="1"/>
    <n v="2"/>
    <s v="SAVE10"/>
    <x v="0"/>
    <n v="525.42999999999995"/>
    <s v="Furniture"/>
    <s v="Medium"/>
    <n v="70000"/>
    <n v="525.42999999999995"/>
    <x v="20"/>
    <d v="2024-12-01T00:00:00"/>
  </r>
  <r>
    <s v="ORD201170"/>
    <d v="2023-08-03T00:00:00"/>
    <s v="C94257"/>
    <x v="4"/>
    <n v="2"/>
    <n v="697.19"/>
    <x v="4"/>
    <x v="2"/>
    <n v="7"/>
    <s v="FREESHIP"/>
    <x v="2"/>
    <n v="1394.38"/>
    <s v="Electronics"/>
    <s v="Medium"/>
    <n v="80000"/>
    <n v="1394.38"/>
    <x v="11"/>
    <d v="2023-08-01T00:00:00"/>
  </r>
  <r>
    <s v="ORD201171"/>
    <d v="2023-08-28T00:00:00"/>
    <s v="C39911"/>
    <x v="1"/>
    <n v="4"/>
    <n v="518.4"/>
    <x v="2"/>
    <x v="3"/>
    <n v="7"/>
    <s v="SAVE10"/>
    <x v="3"/>
    <n v="2073.6"/>
    <s v="Electronics"/>
    <s v="High"/>
    <n v="120000"/>
    <n v="2073.6"/>
    <x v="11"/>
    <d v="2023-08-01T00:00:00"/>
  </r>
  <r>
    <s v="ORD201172"/>
    <d v="2025-02-04T00:00:00"/>
    <s v="C28828"/>
    <x v="6"/>
    <n v="3"/>
    <n v="131.96"/>
    <x v="2"/>
    <x v="4"/>
    <n v="8"/>
    <m/>
    <x v="0"/>
    <n v="395.88"/>
    <s v="Furniture"/>
    <s v="High"/>
    <n v="75000"/>
    <n v="395.88"/>
    <x v="21"/>
    <d v="2025-02-01T00:00:00"/>
  </r>
  <r>
    <s v="ORD201173"/>
    <d v="2024-10-04T00:00:00"/>
    <s v="C82921"/>
    <x v="0"/>
    <n v="1"/>
    <n v="208.36"/>
    <x v="1"/>
    <x v="0"/>
    <n v="4"/>
    <s v="FREESHIP"/>
    <x v="2"/>
    <n v="208.36"/>
    <s v="Electronics"/>
    <s v="Medium"/>
    <n v="90000"/>
    <n v="208.36"/>
    <x v="10"/>
    <d v="2024-10-01T00:00:00"/>
  </r>
  <r>
    <s v="ORD201174"/>
    <d v="2023-11-27T00:00:00"/>
    <s v="C50159"/>
    <x v="4"/>
    <n v="3"/>
    <n v="222.34"/>
    <x v="2"/>
    <x v="2"/>
    <n v="5"/>
    <s v="WINTER15"/>
    <x v="2"/>
    <n v="667.02"/>
    <s v="Electronics"/>
    <s v="Medium"/>
    <n v="80000"/>
    <n v="667.02"/>
    <x v="8"/>
    <d v="2023-11-01T00:00:00"/>
  </r>
  <r>
    <s v="ORD201175"/>
    <d v="2024-09-10T00:00:00"/>
    <s v="C62512"/>
    <x v="4"/>
    <n v="3"/>
    <n v="91.74"/>
    <x v="0"/>
    <x v="2"/>
    <n v="8"/>
    <s v="FREESHIP"/>
    <x v="1"/>
    <n v="275.22000000000003"/>
    <s v="Electronics"/>
    <s v="Medium"/>
    <n v="80000"/>
    <n v="275.22000000000003"/>
    <x v="18"/>
    <d v="2024-09-01T00:00:00"/>
  </r>
  <r>
    <s v="ORD201176"/>
    <d v="2023-08-13T00:00:00"/>
    <s v="C39260"/>
    <x v="2"/>
    <n v="2"/>
    <n v="213.83"/>
    <x v="0"/>
    <x v="1"/>
    <n v="2"/>
    <s v="WINTER15"/>
    <x v="2"/>
    <n v="427.66"/>
    <s v="Electronics"/>
    <s v="Medium"/>
    <n v="100000"/>
    <n v="427.66"/>
    <x v="11"/>
    <d v="2023-08-01T00:00:00"/>
  </r>
  <r>
    <s v="ORD201177"/>
    <d v="2023-04-27T00:00:00"/>
    <s v="C23917"/>
    <x v="4"/>
    <n v="1"/>
    <n v="127.55"/>
    <x v="4"/>
    <x v="0"/>
    <n v="3"/>
    <s v="SAVE10"/>
    <x v="1"/>
    <n v="127.55"/>
    <s v="Electronics"/>
    <s v="Medium"/>
    <n v="80000"/>
    <n v="127.55"/>
    <x v="29"/>
    <d v="2023-04-01T00:00:00"/>
  </r>
  <r>
    <s v="ORD201178"/>
    <d v="2024-09-08T00:00:00"/>
    <s v="C65107"/>
    <x v="0"/>
    <n v="1"/>
    <n v="70.239999999999995"/>
    <x v="2"/>
    <x v="1"/>
    <n v="4"/>
    <s v="FREESHIP"/>
    <x v="4"/>
    <n v="70.239999999999995"/>
    <s v="Electronics"/>
    <s v="Medium"/>
    <n v="90000"/>
    <n v="70.239999999999995"/>
    <x v="18"/>
    <d v="2024-09-01T00:00:00"/>
  </r>
  <r>
    <s v="ORD201179"/>
    <d v="2023-01-08T00:00:00"/>
    <s v="C84630"/>
    <x v="5"/>
    <n v="5"/>
    <n v="518.54999999999995"/>
    <x v="2"/>
    <x v="1"/>
    <n v="6"/>
    <s v="WINTER15"/>
    <x v="0"/>
    <n v="2592.75"/>
    <s v="Electronics"/>
    <s v="High"/>
    <n v="150000"/>
    <n v="2592.75"/>
    <x v="0"/>
    <d v="2023-01-01T00:00:00"/>
  </r>
  <r>
    <s v="ORD201180"/>
    <d v="2023-10-31T00:00:00"/>
    <s v="C42235"/>
    <x v="3"/>
    <n v="4"/>
    <n v="298.36"/>
    <x v="0"/>
    <x v="4"/>
    <n v="8"/>
    <s v="FREESHIP"/>
    <x v="4"/>
    <n v="1193.44"/>
    <s v="Furniture"/>
    <s v="Medium"/>
    <n v="70000"/>
    <n v="1193.44"/>
    <x v="3"/>
    <d v="2023-10-01T00:00:00"/>
  </r>
  <r>
    <s v="ORD201181"/>
    <d v="2023-07-27T00:00:00"/>
    <s v="C70246"/>
    <x v="6"/>
    <n v="3"/>
    <n v="158.74"/>
    <x v="1"/>
    <x v="4"/>
    <n v="7"/>
    <s v="FREESHIP"/>
    <x v="0"/>
    <n v="476.22"/>
    <s v="Furniture"/>
    <s v="High"/>
    <n v="75000"/>
    <n v="476.22"/>
    <x v="13"/>
    <d v="2023-07-01T00:00:00"/>
  </r>
  <r>
    <s v="ORD201182"/>
    <d v="2025-06-14T00:00:00"/>
    <s v="C18473"/>
    <x v="3"/>
    <n v="2"/>
    <n v="420.29"/>
    <x v="3"/>
    <x v="2"/>
    <n v="3"/>
    <s v="SAVE10"/>
    <x v="4"/>
    <n v="840.58"/>
    <s v="Furniture"/>
    <s v="Medium"/>
    <n v="70000"/>
    <n v="840.58"/>
    <x v="5"/>
    <d v="2025-06-01T00:00:00"/>
  </r>
  <r>
    <s v="ORD201183"/>
    <d v="2023-04-05T00:00:00"/>
    <s v="C12607"/>
    <x v="6"/>
    <n v="1"/>
    <n v="281.52"/>
    <x v="3"/>
    <x v="0"/>
    <n v="6"/>
    <s v="WINTER15"/>
    <x v="1"/>
    <n v="281.52"/>
    <s v="Furniture"/>
    <s v="High"/>
    <n v="75000"/>
    <n v="281.52"/>
    <x v="29"/>
    <d v="2023-04-01T00:00:00"/>
  </r>
  <r>
    <s v="ORD201184"/>
    <d v="2023-09-27T00:00:00"/>
    <s v="C10222"/>
    <x v="5"/>
    <n v="1"/>
    <n v="204.08"/>
    <x v="3"/>
    <x v="2"/>
    <n v="4"/>
    <m/>
    <x v="4"/>
    <n v="204.08"/>
    <s v="Electronics"/>
    <s v="High"/>
    <n v="150000"/>
    <n v="204.08"/>
    <x v="24"/>
    <d v="2023-09-01T00:00:00"/>
  </r>
  <r>
    <s v="ORD201185"/>
    <d v="2024-07-08T00:00:00"/>
    <s v="C77344"/>
    <x v="3"/>
    <n v="1"/>
    <n v="343.31"/>
    <x v="3"/>
    <x v="2"/>
    <n v="6"/>
    <s v="SAVE10"/>
    <x v="4"/>
    <n v="343.31"/>
    <s v="Furniture"/>
    <s v="Medium"/>
    <n v="70000"/>
    <n v="343.31"/>
    <x v="17"/>
    <d v="2024-07-01T00:00:00"/>
  </r>
  <r>
    <s v="ORD201186"/>
    <d v="2023-11-18T00:00:00"/>
    <s v="C65497"/>
    <x v="0"/>
    <n v="1"/>
    <n v="163.32"/>
    <x v="4"/>
    <x v="0"/>
    <n v="6"/>
    <s v="WINTER15"/>
    <x v="3"/>
    <n v="163.32"/>
    <s v="Electronics"/>
    <s v="Medium"/>
    <n v="90000"/>
    <n v="163.32"/>
    <x v="8"/>
    <d v="2023-11-01T00:00:00"/>
  </r>
  <r>
    <s v="ORD201187"/>
    <d v="2024-03-13T00:00:00"/>
    <s v="C26340"/>
    <x v="6"/>
    <n v="2"/>
    <n v="184.6"/>
    <x v="3"/>
    <x v="3"/>
    <n v="7"/>
    <s v="WINTER15"/>
    <x v="2"/>
    <n v="369.2"/>
    <s v="Furniture"/>
    <s v="High"/>
    <n v="75000"/>
    <n v="369.2"/>
    <x v="14"/>
    <d v="2024-03-01T00:00:00"/>
  </r>
  <r>
    <s v="ORD201188"/>
    <d v="2023-10-07T00:00:00"/>
    <s v="C75619"/>
    <x v="4"/>
    <n v="2"/>
    <n v="371.29"/>
    <x v="3"/>
    <x v="0"/>
    <n v="5"/>
    <s v="WINTER15"/>
    <x v="3"/>
    <n v="742.58"/>
    <s v="Electronics"/>
    <s v="Medium"/>
    <n v="80000"/>
    <n v="742.58"/>
    <x v="3"/>
    <d v="2023-10-01T00:00:00"/>
  </r>
  <r>
    <s v="ORD201189"/>
    <d v="2024-08-17T00:00:00"/>
    <s v="C96136"/>
    <x v="2"/>
    <n v="5"/>
    <n v="389.22"/>
    <x v="4"/>
    <x v="1"/>
    <n v="7"/>
    <m/>
    <x v="1"/>
    <n v="1946.1"/>
    <s v="Electronics"/>
    <s v="Medium"/>
    <n v="100000"/>
    <n v="1946.1"/>
    <x v="1"/>
    <d v="2024-08-01T00:00:00"/>
  </r>
  <r>
    <s v="ORD201190"/>
    <d v="2025-06-08T00:00:00"/>
    <s v="C46886"/>
    <x v="6"/>
    <n v="3"/>
    <n v="616.39"/>
    <x v="2"/>
    <x v="0"/>
    <n v="6"/>
    <s v="FREESHIP"/>
    <x v="0"/>
    <n v="1849.17"/>
    <s v="Furniture"/>
    <s v="High"/>
    <n v="75000"/>
    <n v="1849.17"/>
    <x v="5"/>
    <d v="2025-06-01T00:00:00"/>
  </r>
  <r>
    <s v="ORD201191"/>
    <d v="2025-02-10T00:00:00"/>
    <s v="C44148"/>
    <x v="6"/>
    <n v="4"/>
    <n v="376.43"/>
    <x v="3"/>
    <x v="4"/>
    <n v="5"/>
    <s v="WINTER15"/>
    <x v="0"/>
    <n v="1505.72"/>
    <s v="Furniture"/>
    <s v="High"/>
    <n v="75000"/>
    <n v="1505.72"/>
    <x v="21"/>
    <d v="2025-02-01T00:00:00"/>
  </r>
  <r>
    <s v="ORD201192"/>
    <d v="2024-02-28T00:00:00"/>
    <s v="C72007"/>
    <x v="3"/>
    <n v="3"/>
    <n v="432.85"/>
    <x v="1"/>
    <x v="4"/>
    <n v="4"/>
    <m/>
    <x v="0"/>
    <n v="1298.55"/>
    <s v="Furniture"/>
    <s v="Medium"/>
    <n v="70000"/>
    <n v="1298.55"/>
    <x v="2"/>
    <d v="2024-02-01T00:00:00"/>
  </r>
  <r>
    <s v="ORD201193"/>
    <d v="2025-06-16T00:00:00"/>
    <s v="C45104"/>
    <x v="2"/>
    <n v="1"/>
    <n v="687.89"/>
    <x v="4"/>
    <x v="2"/>
    <n v="1"/>
    <s v="FREESHIP"/>
    <x v="2"/>
    <n v="687.89"/>
    <s v="Electronics"/>
    <s v="Medium"/>
    <n v="100000"/>
    <n v="687.89"/>
    <x v="5"/>
    <d v="2025-06-01T00:00:00"/>
  </r>
  <r>
    <s v="ORD201194"/>
    <d v="2023-11-19T00:00:00"/>
    <s v="C29885"/>
    <x v="4"/>
    <n v="3"/>
    <n v="189.44"/>
    <x v="4"/>
    <x v="4"/>
    <n v="4"/>
    <s v="FREESHIP"/>
    <x v="2"/>
    <n v="568.31999999999994"/>
    <s v="Electronics"/>
    <s v="Medium"/>
    <n v="80000"/>
    <n v="568.31999999999994"/>
    <x v="8"/>
    <d v="2023-11-01T00:00:00"/>
  </r>
  <r>
    <s v="ORD201195"/>
    <d v="2024-06-20T00:00:00"/>
    <s v="C21126"/>
    <x v="6"/>
    <n v="1"/>
    <n v="107.04"/>
    <x v="2"/>
    <x v="1"/>
    <n v="6"/>
    <s v="FREESHIP"/>
    <x v="4"/>
    <n v="107.04"/>
    <s v="Furniture"/>
    <s v="High"/>
    <n v="75000"/>
    <n v="107.04"/>
    <x v="23"/>
    <d v="2024-06-01T00:00:00"/>
  </r>
  <r>
    <s v="ORD201196"/>
    <d v="2024-03-04T00:00:00"/>
    <s v="C20095"/>
    <x v="0"/>
    <n v="2"/>
    <n v="662.53"/>
    <x v="1"/>
    <x v="1"/>
    <n v="5"/>
    <m/>
    <x v="3"/>
    <n v="1325.06"/>
    <s v="Electronics"/>
    <s v="Medium"/>
    <n v="90000"/>
    <n v="1325.06"/>
    <x v="14"/>
    <d v="2024-03-01T00:00:00"/>
  </r>
  <r>
    <s v="ORD201197"/>
    <d v="2023-07-13T00:00:00"/>
    <s v="C79674"/>
    <x v="2"/>
    <n v="2"/>
    <n v="436.84"/>
    <x v="1"/>
    <x v="3"/>
    <n v="2"/>
    <s v="FREESHIP"/>
    <x v="0"/>
    <n v="873.68"/>
    <s v="Electronics"/>
    <s v="Medium"/>
    <n v="100000"/>
    <n v="873.68"/>
    <x v="13"/>
    <d v="2023-07-01T00:00:00"/>
  </r>
  <r>
    <s v="ORD201198"/>
    <d v="2024-08-22T00:00:00"/>
    <s v="C64753"/>
    <x v="3"/>
    <n v="4"/>
    <n v="262.52"/>
    <x v="0"/>
    <x v="1"/>
    <n v="4"/>
    <s v="WINTER15"/>
    <x v="0"/>
    <n v="1050.08"/>
    <s v="Furniture"/>
    <s v="Medium"/>
    <n v="70000"/>
    <n v="1050.08"/>
    <x v="1"/>
    <d v="2024-08-01T00:00:00"/>
  </r>
  <r>
    <s v="ORD201199"/>
    <d v="2023-06-11T00:00:00"/>
    <s v="C57502"/>
    <x v="2"/>
    <n v="4"/>
    <n v="560.58000000000004"/>
    <x v="3"/>
    <x v="2"/>
    <n v="6"/>
    <s v="SAVE10"/>
    <x v="1"/>
    <n v="2242.3200000000002"/>
    <s v="Electronics"/>
    <s v="Medium"/>
    <n v="100000"/>
    <n v="2242.3200000000002"/>
    <x v="19"/>
    <d v="2023-06-0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34201F-C85B-4973-A817-852FB29AF3B1}" name="Referral Source"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K3:L9" firstHeaderRow="1" firstDataRow="1" firstDataCol="1"/>
  <pivotFields count="18">
    <pivotField showAll="0"/>
    <pivotField numFmtId="166" showAll="0"/>
    <pivotField showAll="0"/>
    <pivotField showAll="0">
      <items count="8">
        <item x="3"/>
        <item x="6"/>
        <item x="5"/>
        <item x="0"/>
        <item x="1"/>
        <item x="4"/>
        <item x="2"/>
        <item t="default"/>
      </items>
    </pivotField>
    <pivotField showAll="0"/>
    <pivotField numFmtId="165" showAll="0"/>
    <pivotField showAll="0"/>
    <pivotField showAll="0"/>
    <pivotField showAll="0"/>
    <pivotField showAll="0"/>
    <pivotField axis="axisRow" showAll="0">
      <items count="6">
        <item x="2"/>
        <item x="3"/>
        <item x="4"/>
        <item x="0"/>
        <item x="1"/>
        <item t="default"/>
      </items>
    </pivotField>
    <pivotField numFmtId="165" showAll="0"/>
    <pivotField showAll="0"/>
    <pivotField showAll="0"/>
    <pivotField showAll="0"/>
    <pivotField dataField="1" showAll="0"/>
    <pivotField showAll="0"/>
    <pivotField numFmtId="17" showAll="0"/>
  </pivotFields>
  <rowFields count="1">
    <field x="10"/>
  </rowFields>
  <rowItems count="6">
    <i>
      <x/>
    </i>
    <i>
      <x v="1"/>
    </i>
    <i>
      <x v="2"/>
    </i>
    <i>
      <x v="3"/>
    </i>
    <i>
      <x v="4"/>
    </i>
    <i t="grand">
      <x/>
    </i>
  </rowItems>
  <colItems count="1">
    <i/>
  </colItems>
  <dataFields count="1">
    <dataField name="Sum of Total Price" fld="15" baseField="0" baseItem="0"/>
  </dataFields>
  <chartFormats count="2">
    <chartFormat chart="0" format="1"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B861FC-29EE-422F-B709-DFC7478081BB}" name="Order Status Analysis"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G3:I9" firstHeaderRow="0" firstDataRow="1" firstDataCol="1"/>
  <pivotFields count="18">
    <pivotField dataField="1" showAll="0"/>
    <pivotField numFmtId="166" showAll="0"/>
    <pivotField showAll="0"/>
    <pivotField showAll="0">
      <items count="8">
        <item x="3"/>
        <item x="6"/>
        <item x="5"/>
        <item x="0"/>
        <item x="1"/>
        <item x="4"/>
        <item x="2"/>
        <item t="default"/>
      </items>
    </pivotField>
    <pivotField showAll="0"/>
    <pivotField numFmtId="165" showAll="0"/>
    <pivotField showAll="0"/>
    <pivotField axis="axisRow" showAll="0">
      <items count="6">
        <item x="1"/>
        <item x="3"/>
        <item x="4"/>
        <item x="2"/>
        <item x="0"/>
        <item t="default"/>
      </items>
    </pivotField>
    <pivotField showAll="0"/>
    <pivotField showAll="0"/>
    <pivotField showAll="0"/>
    <pivotField numFmtId="165" showAll="0"/>
    <pivotField showAll="0"/>
    <pivotField showAll="0"/>
    <pivotField showAll="0"/>
    <pivotField dataField="1" showAll="0"/>
    <pivotField showAll="0"/>
    <pivotField numFmtId="17" showAll="0"/>
  </pivotFields>
  <rowFields count="1">
    <field x="7"/>
  </rowFields>
  <rowItems count="6">
    <i>
      <x/>
    </i>
    <i>
      <x v="1"/>
    </i>
    <i>
      <x v="2"/>
    </i>
    <i>
      <x v="3"/>
    </i>
    <i>
      <x v="4"/>
    </i>
    <i t="grand">
      <x/>
    </i>
  </rowItems>
  <colFields count="1">
    <field x="-2"/>
  </colFields>
  <colItems count="2">
    <i>
      <x/>
    </i>
    <i i="1">
      <x v="1"/>
    </i>
  </colItems>
  <dataFields count="2">
    <dataField name="Count of OrderID" fld="0" subtotal="count" baseField="0" baseItem="0"/>
    <dataField name="Sum of Total Price" fld="15"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0"/>
          </reference>
        </references>
      </pivotArea>
    </chartFormat>
    <chartFormat chart="8" format="15">
      <pivotArea type="data" outline="0" fieldPosition="0">
        <references count="2">
          <reference field="4294967294" count="1" selected="0">
            <x v="0"/>
          </reference>
          <reference field="7" count="1" selected="0">
            <x v="0"/>
          </reference>
        </references>
      </pivotArea>
    </chartFormat>
    <chartFormat chart="8" format="16">
      <pivotArea type="data" outline="0" fieldPosition="0">
        <references count="2">
          <reference field="4294967294" count="1" selected="0">
            <x v="0"/>
          </reference>
          <reference field="7" count="1" selected="0">
            <x v="1"/>
          </reference>
        </references>
      </pivotArea>
    </chartFormat>
    <chartFormat chart="8" format="17">
      <pivotArea type="data" outline="0" fieldPosition="0">
        <references count="2">
          <reference field="4294967294" count="1" selected="0">
            <x v="0"/>
          </reference>
          <reference field="7" count="1" selected="0">
            <x v="2"/>
          </reference>
        </references>
      </pivotArea>
    </chartFormat>
    <chartFormat chart="8" format="18">
      <pivotArea type="data" outline="0" fieldPosition="0">
        <references count="2">
          <reference field="4294967294" count="1" selected="0">
            <x v="0"/>
          </reference>
          <reference field="7" count="1" selected="0">
            <x v="3"/>
          </reference>
        </references>
      </pivotArea>
    </chartFormat>
    <chartFormat chart="8" format="19">
      <pivotArea type="data" outline="0" fieldPosition="0">
        <references count="2">
          <reference field="4294967294" count="1" selected="0">
            <x v="0"/>
          </reference>
          <reference field="7" count="1" selected="0">
            <x v="4"/>
          </reference>
        </references>
      </pivotArea>
    </chartFormat>
    <chartFormat chart="8" format="20" series="1">
      <pivotArea type="data" outline="0" fieldPosition="0">
        <references count="1">
          <reference field="4294967294" count="1" selected="0">
            <x v="1"/>
          </reference>
        </references>
      </pivotArea>
    </chartFormat>
    <chartFormat chart="8" format="21">
      <pivotArea type="data" outline="0" fieldPosition="0">
        <references count="2">
          <reference field="4294967294" count="1" selected="0">
            <x v="1"/>
          </reference>
          <reference field="7" count="1" selected="0">
            <x v="0"/>
          </reference>
        </references>
      </pivotArea>
    </chartFormat>
    <chartFormat chart="8" format="22">
      <pivotArea type="data" outline="0" fieldPosition="0">
        <references count="2">
          <reference field="4294967294" count="1" selected="0">
            <x v="1"/>
          </reference>
          <reference field="7" count="1" selected="0">
            <x v="1"/>
          </reference>
        </references>
      </pivotArea>
    </chartFormat>
    <chartFormat chart="8" format="23">
      <pivotArea type="data" outline="0" fieldPosition="0">
        <references count="2">
          <reference field="4294967294" count="1" selected="0">
            <x v="1"/>
          </reference>
          <reference field="7" count="1" selected="0">
            <x v="2"/>
          </reference>
        </references>
      </pivotArea>
    </chartFormat>
    <chartFormat chart="8" format="24">
      <pivotArea type="data" outline="0" fieldPosition="0">
        <references count="2">
          <reference field="4294967294" count="1" selected="0">
            <x v="1"/>
          </reference>
          <reference field="7" count="1" selected="0">
            <x v="3"/>
          </reference>
        </references>
      </pivotArea>
    </chartFormat>
    <chartFormat chart="8" format="25">
      <pivotArea type="data" outline="0" fieldPosition="0">
        <references count="2">
          <reference field="4294967294" count="1" selected="0">
            <x v="1"/>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5E10F5-9CF8-48F7-BCF8-A0C28891FDD9}" name="Product Performance"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3:E11" firstHeaderRow="1" firstDataRow="1" firstDataCol="1"/>
  <pivotFields count="18">
    <pivotField showAll="0"/>
    <pivotField numFmtId="166" showAll="0"/>
    <pivotField showAll="0"/>
    <pivotField axis="axisRow" showAll="0">
      <items count="8">
        <item x="3"/>
        <item x="6"/>
        <item x="5"/>
        <item x="0"/>
        <item x="1"/>
        <item x="4"/>
        <item x="2"/>
        <item t="default"/>
      </items>
    </pivotField>
    <pivotField showAll="0"/>
    <pivotField numFmtId="165" showAll="0"/>
    <pivotField showAll="0">
      <items count="6">
        <item x="4"/>
        <item x="2"/>
        <item x="0"/>
        <item x="3"/>
        <item x="1"/>
        <item t="default"/>
      </items>
    </pivotField>
    <pivotField showAll="0">
      <items count="6">
        <item x="1"/>
        <item x="3"/>
        <item x="4"/>
        <item x="2"/>
        <item x="0"/>
        <item t="default"/>
      </items>
    </pivotField>
    <pivotField showAll="0"/>
    <pivotField showAll="0"/>
    <pivotField showAll="0">
      <items count="6">
        <item x="2"/>
        <item x="3"/>
        <item x="4"/>
        <item x="0"/>
        <item x="1"/>
        <item t="default"/>
      </items>
    </pivotField>
    <pivotField numFmtId="165" showAll="0"/>
    <pivotField showAll="0"/>
    <pivotField showAll="0"/>
    <pivotField showAll="0"/>
    <pivotField dataField="1" showAll="0"/>
    <pivotField showAll="0"/>
    <pivotField numFmtId="17" showAll="0"/>
  </pivotFields>
  <rowFields count="1">
    <field x="3"/>
  </rowFields>
  <rowItems count="8">
    <i>
      <x/>
    </i>
    <i>
      <x v="1"/>
    </i>
    <i>
      <x v="2"/>
    </i>
    <i>
      <x v="3"/>
    </i>
    <i>
      <x v="4"/>
    </i>
    <i>
      <x v="5"/>
    </i>
    <i>
      <x v="6"/>
    </i>
    <i t="grand">
      <x/>
    </i>
  </rowItems>
  <colItems count="1">
    <i/>
  </colItems>
  <dataFields count="1">
    <dataField name="Sum of Total Price" fld="15" baseField="0" baseItem="0"/>
  </dataFields>
  <chartFormats count="4">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14430D-6187-4826-AF32-D12780C5AB41}" name="Monthly Sales"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34" firstHeaderRow="1" firstDataRow="1" firstDataCol="1"/>
  <pivotFields count="18">
    <pivotField showAll="0"/>
    <pivotField numFmtId="166" showAll="0"/>
    <pivotField showAll="0"/>
    <pivotField showAll="0">
      <items count="8">
        <item x="3"/>
        <item x="6"/>
        <item x="5"/>
        <item x="0"/>
        <item x="1"/>
        <item x="4"/>
        <item x="2"/>
        <item t="default"/>
      </items>
    </pivotField>
    <pivotField showAll="0"/>
    <pivotField numFmtId="165" showAll="0"/>
    <pivotField showAll="0"/>
    <pivotField showAll="0"/>
    <pivotField showAll="0"/>
    <pivotField showAll="0"/>
    <pivotField showAll="0"/>
    <pivotField numFmtId="165" showAll="0"/>
    <pivotField showAll="0"/>
    <pivotField showAll="0"/>
    <pivotField showAll="0"/>
    <pivotField dataField="1" showAll="0"/>
    <pivotField axis="axisRow" showAll="0">
      <items count="31">
        <item x="29"/>
        <item x="28"/>
        <item x="7"/>
        <item x="11"/>
        <item x="1"/>
        <item x="9"/>
        <item x="20"/>
        <item x="26"/>
        <item x="2"/>
        <item x="21"/>
        <item x="0"/>
        <item x="25"/>
        <item x="27"/>
        <item x="13"/>
        <item x="17"/>
        <item x="19"/>
        <item x="23"/>
        <item x="5"/>
        <item x="12"/>
        <item x="14"/>
        <item x="15"/>
        <item x="6"/>
        <item x="22"/>
        <item x="4"/>
        <item x="8"/>
        <item x="16"/>
        <item x="3"/>
        <item x="10"/>
        <item x="24"/>
        <item x="18"/>
        <item t="default"/>
      </items>
    </pivotField>
    <pivotField numFmtId="17" showAll="0"/>
  </pivotFields>
  <rowFields count="1">
    <field x="16"/>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 of Total Price" fld="15"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42C4286-F068-4621-B903-770131126322}" name="Payment Method"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E3:AF9" firstHeaderRow="1" firstDataRow="1" firstDataCol="1"/>
  <pivotFields count="18">
    <pivotField dataField="1" showAll="0"/>
    <pivotField numFmtId="166" showAll="0"/>
    <pivotField showAll="0"/>
    <pivotField showAll="0">
      <items count="8">
        <item x="3"/>
        <item x="6"/>
        <item x="5"/>
        <item x="0"/>
        <item x="1"/>
        <item x="4"/>
        <item x="2"/>
        <item t="default"/>
      </items>
    </pivotField>
    <pivotField showAll="0"/>
    <pivotField numFmtId="165" showAll="0"/>
    <pivotField axis="axisRow" showAll="0">
      <items count="6">
        <item x="4"/>
        <item x="2"/>
        <item x="0"/>
        <item x="3"/>
        <item x="1"/>
        <item t="default"/>
      </items>
    </pivotField>
    <pivotField showAll="0"/>
    <pivotField showAll="0"/>
    <pivotField showAll="0"/>
    <pivotField showAll="0"/>
    <pivotField numFmtId="165" showAll="0"/>
    <pivotField showAll="0"/>
    <pivotField showAll="0"/>
    <pivotField showAll="0"/>
    <pivotField showAll="0"/>
    <pivotField showAll="0"/>
    <pivotField numFmtId="17" showAll="0"/>
  </pivotFields>
  <rowFields count="1">
    <field x="6"/>
  </rowFields>
  <rowItems count="6">
    <i>
      <x/>
    </i>
    <i>
      <x v="1"/>
    </i>
    <i>
      <x v="2"/>
    </i>
    <i>
      <x v="3"/>
    </i>
    <i>
      <x v="4"/>
    </i>
    <i t="grand">
      <x/>
    </i>
  </rowItems>
  <colItems count="1">
    <i/>
  </colItems>
  <dataFields count="1">
    <dataField name="Count of OrderID" fld="0" subtotal="count"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283FA99-3C4C-4036-9B44-DB30D5902E6B}" sourceName="Product">
  <pivotTables>
    <pivotTable tabId="7" name="Product Performance"/>
    <pivotTable tabId="7" name="Order Status Analysis"/>
    <pivotTable tabId="7" name="Payment Method"/>
    <pivotTable tabId="7" name="Monthly Sales"/>
    <pivotTable tabId="7" name="Referral Source"/>
  </pivotTables>
  <data>
    <tabular pivotCacheId="1764698241">
      <items count="7">
        <i x="3" s="1"/>
        <i x="6" s="1"/>
        <i x="5"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1" xr10:uid="{9EB9EA3C-2606-429F-8366-F1F8741CEB8E}" sourceName="PaymentMethod">
  <pivotTables>
    <pivotTable tabId="7" name="Product Performance"/>
  </pivotTables>
  <data>
    <tabular pivotCacheId="1764698241">
      <items count="5">
        <i x="4" s="1"/>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Status1" xr10:uid="{AE617FB1-43B4-4184-8B58-4337CD29C02B}" sourceName="OrderStatus">
  <pivotTables>
    <pivotTable tabId="7" name="Product Performance"/>
  </pivotTables>
  <data>
    <tabular pivotCacheId="1764698241">
      <items count="5">
        <i x="1" s="1"/>
        <i x="3" s="1"/>
        <i x="4"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ferralSource1" xr10:uid="{EC6CB295-AB61-4A81-BD80-FF2B5C680CF8}" sourceName="ReferralSource">
  <pivotTables>
    <pivotTable tabId="7" name="Product Performance"/>
  </pivotTables>
  <data>
    <tabular pivotCacheId="1764698241">
      <items count="5">
        <i x="2" s="1"/>
        <i x="3" s="1"/>
        <i x="4"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1C18F1AC-CE55-42B8-A457-48CC50EF7D6E}" cache="Slicer_Product" caption="Product" rowHeight="234950"/>
  <slicer name="PaymentMethod 1" xr10:uid="{6F312E65-46E9-4AE6-9C06-4CDB5E64974D}" cache="Slicer_PaymentMethod1" caption="PaymentMethod" rowHeight="234950"/>
  <slicer name="OrderStatus 1" xr10:uid="{E30C1105-6580-4D54-B19A-A17C75A43097}" cache="Slicer_OrderStatus1" caption="OrderStatus" rowHeight="234950"/>
  <slicer name="ReferralSource 1" xr10:uid="{884F7AB9-94C5-41D7-9B5A-64033E010A96}" cache="Slicer_ReferralSource1" caption="ReferralSourc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AB8CFF-E8CA-41FA-9453-D233DAF56FE0}" name="tblProduct" displayName="tblProduct" ref="A1:D8" totalsRowShown="0" headerRowDxfId="18" dataDxfId="17">
  <autoFilter ref="A1:D8" xr:uid="{25AB8CFF-E8CA-41FA-9453-D233DAF56FE0}"/>
  <tableColumns count="4">
    <tableColumn id="1" xr3:uid="{C4E873D2-DC1B-4E6A-AB75-10DB784C656D}" name="Product" dataDxfId="16"/>
    <tableColumn id="2" xr3:uid="{23B52B27-1AAE-4F5B-B41D-DFEB510500E3}" name="Category" dataDxfId="15"/>
    <tableColumn id="3" xr3:uid="{7705CCEA-BA26-41E5-8385-0453D6C9FD7F}" name="Price Band" dataDxfId="14"/>
    <tableColumn id="4" xr3:uid="{F125C923-1F46-4746-BAF6-653B71851817}" name="Sales Target" dataDxfId="1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68DD160-D8EE-4B18-AA69-25B8D084C3C9}" name="tblEnriched" displayName="tblEnriched" ref="A1:R1201" totalsRowShown="0" headerRowDxfId="12" headerRowBorderDxfId="11" tableBorderDxfId="10">
  <autoFilter ref="A1:R1201" xr:uid="{668DD160-D8EE-4B18-AA69-25B8D084C3C9}"/>
  <tableColumns count="18">
    <tableColumn id="1" xr3:uid="{EB5C42E7-C145-424B-BEE9-5DB61262942E}" name="OrderID"/>
    <tableColumn id="2" xr3:uid="{1507033D-8943-4028-AF0B-872084AB83E8}" name="Date" dataDxfId="9"/>
    <tableColumn id="3" xr3:uid="{6878CA13-E424-47B4-95EE-D49E381FE1F7}" name="CustomerID"/>
    <tableColumn id="4" xr3:uid="{351F3081-5499-4AC9-BA40-D543FA757F43}" name="Product"/>
    <tableColumn id="5" xr3:uid="{344AFE5C-6368-4F9D-B295-ECC8137E402B}" name="Quantity"/>
    <tableColumn id="6" xr3:uid="{46826233-86E5-45A9-9D5D-40F5FF0B21B4}" name="UnitPrice" dataDxfId="8"/>
    <tableColumn id="7" xr3:uid="{FD6A54B8-BF69-4001-A17D-0C458A71B70F}" name="PaymentMethod"/>
    <tableColumn id="8" xr3:uid="{D7E686F9-E346-4BE5-8520-82949D4D09A7}" name="OrderStatus"/>
    <tableColumn id="9" xr3:uid="{4C0D349F-4EF5-4719-8E0F-3A5BA2348DE4}" name="ItemsInCart"/>
    <tableColumn id="10" xr3:uid="{F8FE9B98-C304-4388-88E2-5E641A0BAEE2}" name="CouponCode"/>
    <tableColumn id="11" xr3:uid="{BA5974CC-5664-45AD-B0C2-8C09D2BC92AB}" name="ReferralSource"/>
    <tableColumn id="12" xr3:uid="{3ACF7699-A282-452F-8614-5E763206524A}" name="TotalPrice" dataDxfId="7"/>
    <tableColumn id="13" xr3:uid="{19574028-ECE6-495A-9387-A657961202E3}" name="Category" dataDxfId="6">
      <calculatedColumnFormula>VLOOKUP(D2,tblProduct[],2,FALSE)</calculatedColumnFormula>
    </tableColumn>
    <tableColumn id="14" xr3:uid="{057F5247-54D9-4E01-AF1A-54191C917090}" name="Price Brand " dataDxfId="5">
      <calculatedColumnFormula>VLOOKUP(D2,tblProduct[],3,FALSE)</calculatedColumnFormula>
    </tableColumn>
    <tableColumn id="15" xr3:uid="{490CFED6-E714-4B68-8F8E-731B3ADD1BFB}" name="Sales Target" dataDxfId="4">
      <calculatedColumnFormula>VLOOKUP(D2,tblProduct[],4,FALSE)</calculatedColumnFormula>
    </tableColumn>
    <tableColumn id="16" xr3:uid="{1FED3554-6387-4D84-95C2-51587071FDD8}" name="Total Price" dataDxfId="3"/>
    <tableColumn id="17" xr3:uid="{9E372990-5C18-4DD1-BAF4-408FA6D14737}" name="Order Month" dataDxfId="2">
      <calculatedColumnFormula>TEXT(B2,"mmm-yyyy")</calculatedColumnFormula>
    </tableColumn>
    <tableColumn id="18" xr3:uid="{C84F260E-A697-4B11-8510-EC964F47F8F3}" name="Month Start" dataDxfId="1">
      <calculatedColumnFormula>DATE(YEAR(tblEnriched[[#This Row],[Date]]),MONTH(tblEnriched[[#This Row],[Date]]),1)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201"/>
  <sheetViews>
    <sheetView topLeftCell="M1" zoomScaleNormal="100" workbookViewId="0">
      <pane ySplit="1" topLeftCell="A2" activePane="bottomLeft" state="frozen"/>
      <selection pane="bottomLeft" activeCell="O2" sqref="O2"/>
    </sheetView>
  </sheetViews>
  <sheetFormatPr defaultRowHeight="14.4"/>
  <cols>
    <col min="1" max="1" width="12" customWidth="1"/>
    <col min="2" max="2" width="13" customWidth="1"/>
    <col min="3" max="3" width="14" customWidth="1"/>
    <col min="4" max="4" width="18" customWidth="1"/>
    <col min="5" max="5" width="10" customWidth="1"/>
    <col min="6" max="6" width="12" customWidth="1"/>
    <col min="7" max="7" width="28" customWidth="1"/>
    <col min="8" max="8" width="18" customWidth="1"/>
    <col min="9" max="9" width="16" customWidth="1"/>
    <col min="10" max="10" width="20" customWidth="1"/>
    <col min="11" max="11" width="13" customWidth="1"/>
    <col min="12" max="12" width="16" customWidth="1"/>
    <col min="13" max="13" width="18" customWidth="1"/>
    <col min="14" max="14" width="14" customWidth="1"/>
    <col min="15" max="15" width="14" style="19" customWidth="1"/>
    <col min="16" max="16" width="12" customWidth="1"/>
    <col min="17" max="17" width="15" customWidth="1"/>
    <col min="18" max="18" width="12" customWidth="1"/>
    <col min="19" max="19" width="15" customWidth="1"/>
    <col min="20" max="20" width="14" customWidth="1"/>
  </cols>
  <sheetData>
    <row r="1" spans="1:20" ht="24" customHeight="1">
      <c r="A1" s="1" t="s">
        <v>0</v>
      </c>
      <c r="B1" s="1" t="s">
        <v>1</v>
      </c>
      <c r="C1" s="1" t="s">
        <v>2</v>
      </c>
      <c r="D1" s="1" t="s">
        <v>3</v>
      </c>
      <c r="E1" s="1" t="s">
        <v>4</v>
      </c>
      <c r="F1" s="1" t="s">
        <v>5</v>
      </c>
      <c r="G1" s="1" t="s">
        <v>6</v>
      </c>
      <c r="H1" s="1" t="s">
        <v>7</v>
      </c>
      <c r="I1" s="1" t="s">
        <v>8</v>
      </c>
      <c r="J1" s="1" t="s">
        <v>9</v>
      </c>
      <c r="K1" s="1" t="s">
        <v>10</v>
      </c>
      <c r="L1" s="1" t="s">
        <v>11</v>
      </c>
      <c r="M1" s="1" t="s">
        <v>12</v>
      </c>
      <c r="N1" s="1" t="s">
        <v>4323</v>
      </c>
      <c r="O1" s="18" t="s">
        <v>14</v>
      </c>
      <c r="P1" s="2" t="s">
        <v>15</v>
      </c>
      <c r="Q1" s="2" t="s">
        <v>16</v>
      </c>
      <c r="R1" s="2" t="s">
        <v>17</v>
      </c>
      <c r="S1" s="2" t="s">
        <v>18</v>
      </c>
      <c r="T1" s="2" t="s">
        <v>19</v>
      </c>
    </row>
    <row r="2" spans="1:20">
      <c r="A2" t="s">
        <v>20</v>
      </c>
      <c r="B2" s="3">
        <v>44930</v>
      </c>
      <c r="C2" t="s">
        <v>21</v>
      </c>
      <c r="D2" t="s">
        <v>22</v>
      </c>
      <c r="E2">
        <v>5</v>
      </c>
      <c r="F2" s="4">
        <v>570.62</v>
      </c>
      <c r="G2" t="s">
        <v>23</v>
      </c>
      <c r="H2" t="s">
        <v>24</v>
      </c>
      <c r="I2" t="s">
        <v>25</v>
      </c>
      <c r="J2" t="s">
        <v>26</v>
      </c>
      <c r="K2">
        <v>7</v>
      </c>
      <c r="L2" t="s">
        <v>27</v>
      </c>
      <c r="M2" t="s">
        <v>28</v>
      </c>
      <c r="N2" s="4">
        <v>2853.1</v>
      </c>
      <c r="O2" s="19" t="str">
        <f>TEXT(B2,"mmm-yyyy")</f>
        <v>Jan-2023</v>
      </c>
      <c r="P2">
        <f t="shared" ref="P2:P65" si="0">YEAR(B2)</f>
        <v>2023</v>
      </c>
      <c r="Q2" t="str">
        <f t="shared" ref="Q2:Q65" si="1">IF(ABS(N2-(E2*F2))&lt;0.01,"OK","CHECK")</f>
        <v>OK</v>
      </c>
      <c r="R2">
        <v>1</v>
      </c>
      <c r="S2">
        <f t="shared" ref="S2:S65" si="2">IF(I2="Cancelled",1,0)</f>
        <v>0</v>
      </c>
      <c r="T2">
        <f t="shared" ref="T2:T65" si="3">IF(I2="Returned",1,0)</f>
        <v>0</v>
      </c>
    </row>
    <row r="3" spans="1:20">
      <c r="A3" t="s">
        <v>29</v>
      </c>
      <c r="B3" s="3">
        <v>45527</v>
      </c>
      <c r="C3" t="s">
        <v>30</v>
      </c>
      <c r="D3" t="s">
        <v>31</v>
      </c>
      <c r="E3">
        <v>2</v>
      </c>
      <c r="F3" s="4">
        <v>151.35</v>
      </c>
      <c r="G3" t="s">
        <v>32</v>
      </c>
      <c r="H3" t="s">
        <v>33</v>
      </c>
      <c r="I3" t="s">
        <v>25</v>
      </c>
      <c r="J3" t="s">
        <v>34</v>
      </c>
      <c r="K3">
        <v>3</v>
      </c>
      <c r="L3" t="s">
        <v>27</v>
      </c>
      <c r="M3" t="s">
        <v>35</v>
      </c>
      <c r="N3" s="4">
        <v>302.7</v>
      </c>
      <c r="O3" s="19" t="str">
        <f t="shared" ref="O3:O65" si="4">TEXT(B3,"mmm-yyyy")</f>
        <v>Aug-2024</v>
      </c>
      <c r="P3">
        <f t="shared" si="0"/>
        <v>2024</v>
      </c>
      <c r="Q3" t="str">
        <f t="shared" si="1"/>
        <v>OK</v>
      </c>
      <c r="R3">
        <v>1</v>
      </c>
      <c r="S3">
        <f t="shared" si="2"/>
        <v>0</v>
      </c>
      <c r="T3">
        <f t="shared" si="3"/>
        <v>0</v>
      </c>
    </row>
    <row r="4" spans="1:20">
      <c r="A4" t="s">
        <v>36</v>
      </c>
      <c r="B4" s="3">
        <v>45349</v>
      </c>
      <c r="C4" t="s">
        <v>37</v>
      </c>
      <c r="D4" t="s">
        <v>38</v>
      </c>
      <c r="E4">
        <v>5</v>
      </c>
      <c r="F4" s="4">
        <v>550.67999999999995</v>
      </c>
      <c r="G4" t="s">
        <v>39</v>
      </c>
      <c r="H4" t="s">
        <v>40</v>
      </c>
      <c r="I4" t="s">
        <v>41</v>
      </c>
      <c r="J4" t="s">
        <v>42</v>
      </c>
      <c r="K4">
        <v>8</v>
      </c>
      <c r="L4" t="s">
        <v>43</v>
      </c>
      <c r="M4" t="s">
        <v>44</v>
      </c>
      <c r="N4" s="4">
        <v>2753.4</v>
      </c>
      <c r="O4" s="19" t="str">
        <f t="shared" si="4"/>
        <v>Feb-2024</v>
      </c>
      <c r="P4">
        <f t="shared" si="0"/>
        <v>2024</v>
      </c>
      <c r="Q4" t="str">
        <f t="shared" si="1"/>
        <v>OK</v>
      </c>
      <c r="R4">
        <v>1</v>
      </c>
      <c r="S4">
        <f t="shared" si="2"/>
        <v>1</v>
      </c>
      <c r="T4">
        <f t="shared" si="3"/>
        <v>0</v>
      </c>
    </row>
    <row r="5" spans="1:20">
      <c r="A5" t="s">
        <v>45</v>
      </c>
      <c r="B5" s="3">
        <v>45214</v>
      </c>
      <c r="C5" t="s">
        <v>46</v>
      </c>
      <c r="D5" t="s">
        <v>47</v>
      </c>
      <c r="E5">
        <v>1</v>
      </c>
      <c r="F5" s="4">
        <v>273.19</v>
      </c>
      <c r="G5" t="s">
        <v>48</v>
      </c>
      <c r="H5" t="s">
        <v>24</v>
      </c>
      <c r="I5" t="s">
        <v>49</v>
      </c>
      <c r="J5" t="s">
        <v>50</v>
      </c>
      <c r="K5">
        <v>5</v>
      </c>
      <c r="L5" t="s">
        <v>27</v>
      </c>
      <c r="M5" t="s">
        <v>51</v>
      </c>
      <c r="N5" s="4">
        <v>273.19</v>
      </c>
      <c r="O5" s="19" t="str">
        <f t="shared" si="4"/>
        <v>Oct-2023</v>
      </c>
      <c r="P5">
        <f t="shared" si="0"/>
        <v>2023</v>
      </c>
      <c r="Q5" t="str">
        <f t="shared" si="1"/>
        <v>OK</v>
      </c>
      <c r="R5">
        <v>1</v>
      </c>
      <c r="S5">
        <f t="shared" si="2"/>
        <v>0</v>
      </c>
      <c r="T5">
        <f t="shared" si="3"/>
        <v>1</v>
      </c>
    </row>
    <row r="6" spans="1:20">
      <c r="A6" t="s">
        <v>52</v>
      </c>
      <c r="B6" s="3">
        <v>45785</v>
      </c>
      <c r="C6" t="s">
        <v>53</v>
      </c>
      <c r="D6" t="s">
        <v>54</v>
      </c>
      <c r="E6">
        <v>4</v>
      </c>
      <c r="F6" s="4">
        <v>626.01</v>
      </c>
      <c r="G6" t="s">
        <v>55</v>
      </c>
      <c r="H6" t="s">
        <v>33</v>
      </c>
      <c r="I6" t="s">
        <v>56</v>
      </c>
      <c r="J6" t="s">
        <v>57</v>
      </c>
      <c r="K6">
        <v>8</v>
      </c>
      <c r="L6" t="s">
        <v>27</v>
      </c>
      <c r="M6" t="s">
        <v>44</v>
      </c>
      <c r="N6" s="4">
        <v>2504.04</v>
      </c>
      <c r="O6" s="19" t="str">
        <f t="shared" si="4"/>
        <v>May-2025</v>
      </c>
      <c r="P6">
        <f t="shared" si="0"/>
        <v>2025</v>
      </c>
      <c r="Q6" t="str">
        <f t="shared" si="1"/>
        <v>OK</v>
      </c>
      <c r="R6">
        <v>1</v>
      </c>
      <c r="S6">
        <f t="shared" si="2"/>
        <v>0</v>
      </c>
      <c r="T6">
        <f t="shared" si="3"/>
        <v>0</v>
      </c>
    </row>
    <row r="7" spans="1:20">
      <c r="A7" t="s">
        <v>58</v>
      </c>
      <c r="B7" s="3">
        <v>45222</v>
      </c>
      <c r="C7" t="s">
        <v>59</v>
      </c>
      <c r="D7" t="s">
        <v>31</v>
      </c>
      <c r="E7">
        <v>2</v>
      </c>
      <c r="F7" s="4">
        <v>245.86</v>
      </c>
      <c r="G7" t="s">
        <v>60</v>
      </c>
      <c r="H7" t="s">
        <v>40</v>
      </c>
      <c r="I7" t="s">
        <v>25</v>
      </c>
      <c r="J7" t="s">
        <v>61</v>
      </c>
      <c r="K7">
        <v>4</v>
      </c>
      <c r="L7" t="s">
        <v>27</v>
      </c>
      <c r="M7" t="s">
        <v>28</v>
      </c>
      <c r="N7" s="4">
        <v>491.72</v>
      </c>
      <c r="O7" s="19" t="str">
        <f t="shared" si="4"/>
        <v>Oct-2023</v>
      </c>
      <c r="P7">
        <f t="shared" si="0"/>
        <v>2023</v>
      </c>
      <c r="Q7" t="str">
        <f t="shared" si="1"/>
        <v>OK</v>
      </c>
      <c r="R7">
        <v>1</v>
      </c>
      <c r="S7">
        <f t="shared" si="2"/>
        <v>0</v>
      </c>
      <c r="T7">
        <f t="shared" si="3"/>
        <v>0</v>
      </c>
    </row>
    <row r="8" spans="1:20">
      <c r="A8" t="s">
        <v>62</v>
      </c>
      <c r="B8" s="3">
        <v>45825</v>
      </c>
      <c r="C8" t="s">
        <v>63</v>
      </c>
      <c r="D8" t="s">
        <v>64</v>
      </c>
      <c r="E8">
        <v>1</v>
      </c>
      <c r="F8" s="4">
        <v>664.42</v>
      </c>
      <c r="G8" t="s">
        <v>65</v>
      </c>
      <c r="H8" t="s">
        <v>66</v>
      </c>
      <c r="I8" t="s">
        <v>49</v>
      </c>
      <c r="J8" t="s">
        <v>67</v>
      </c>
      <c r="K8">
        <v>6</v>
      </c>
      <c r="L8" t="s">
        <v>27</v>
      </c>
      <c r="M8" t="s">
        <v>51</v>
      </c>
      <c r="N8" s="4">
        <v>664.42</v>
      </c>
      <c r="O8" s="19" t="str">
        <f t="shared" si="4"/>
        <v>Jun-2025</v>
      </c>
      <c r="P8">
        <f t="shared" si="0"/>
        <v>2025</v>
      </c>
      <c r="Q8" t="str">
        <f t="shared" si="1"/>
        <v>OK</v>
      </c>
      <c r="R8">
        <v>1</v>
      </c>
      <c r="S8">
        <f t="shared" si="2"/>
        <v>0</v>
      </c>
      <c r="T8">
        <f t="shared" si="3"/>
        <v>1</v>
      </c>
    </row>
    <row r="9" spans="1:20">
      <c r="A9" t="s">
        <v>68</v>
      </c>
      <c r="B9" s="3">
        <v>45058</v>
      </c>
      <c r="C9" t="s">
        <v>69</v>
      </c>
      <c r="D9" t="s">
        <v>22</v>
      </c>
      <c r="E9">
        <v>5</v>
      </c>
      <c r="F9" s="4">
        <v>149.55000000000001</v>
      </c>
      <c r="G9" t="s">
        <v>70</v>
      </c>
      <c r="H9" t="s">
        <v>71</v>
      </c>
      <c r="I9" t="s">
        <v>25</v>
      </c>
      <c r="J9" t="s">
        <v>72</v>
      </c>
      <c r="K9">
        <v>9</v>
      </c>
      <c r="L9" t="s">
        <v>43</v>
      </c>
      <c r="M9" t="s">
        <v>51</v>
      </c>
      <c r="N9" s="4">
        <v>747.75</v>
      </c>
      <c r="O9" s="19" t="str">
        <f t="shared" si="4"/>
        <v>May-2023</v>
      </c>
      <c r="P9">
        <f t="shared" si="0"/>
        <v>2023</v>
      </c>
      <c r="Q9" t="str">
        <f t="shared" si="1"/>
        <v>OK</v>
      </c>
      <c r="R9">
        <v>1</v>
      </c>
      <c r="S9">
        <f t="shared" si="2"/>
        <v>0</v>
      </c>
      <c r="T9">
        <f t="shared" si="3"/>
        <v>0</v>
      </c>
    </row>
    <row r="10" spans="1:20">
      <c r="A10" t="s">
        <v>73</v>
      </c>
      <c r="B10" s="3">
        <v>45749</v>
      </c>
      <c r="C10" t="s">
        <v>74</v>
      </c>
      <c r="D10" t="s">
        <v>31</v>
      </c>
      <c r="E10">
        <v>2</v>
      </c>
      <c r="F10" s="4">
        <v>134.28</v>
      </c>
      <c r="G10" t="s">
        <v>75</v>
      </c>
      <c r="H10" t="s">
        <v>66</v>
      </c>
      <c r="I10" t="s">
        <v>41</v>
      </c>
      <c r="J10" t="s">
        <v>76</v>
      </c>
      <c r="K10">
        <v>2</v>
      </c>
      <c r="M10" t="s">
        <v>44</v>
      </c>
      <c r="N10" s="4">
        <v>268.56</v>
      </c>
      <c r="O10" s="19" t="str">
        <f t="shared" si="4"/>
        <v>Apr-2025</v>
      </c>
      <c r="P10">
        <f t="shared" si="0"/>
        <v>2025</v>
      </c>
      <c r="Q10" t="str">
        <f t="shared" si="1"/>
        <v>OK</v>
      </c>
      <c r="R10">
        <v>1</v>
      </c>
      <c r="S10">
        <f t="shared" si="2"/>
        <v>1</v>
      </c>
      <c r="T10">
        <f t="shared" si="3"/>
        <v>0</v>
      </c>
    </row>
    <row r="11" spans="1:20">
      <c r="A11" t="s">
        <v>77</v>
      </c>
      <c r="B11" s="3">
        <v>45251</v>
      </c>
      <c r="C11" t="s">
        <v>78</v>
      </c>
      <c r="D11" t="s">
        <v>79</v>
      </c>
      <c r="E11">
        <v>4</v>
      </c>
      <c r="F11" s="4">
        <v>509.38</v>
      </c>
      <c r="G11" t="s">
        <v>80</v>
      </c>
      <c r="H11" t="s">
        <v>40</v>
      </c>
      <c r="I11" t="s">
        <v>25</v>
      </c>
      <c r="J11" t="s">
        <v>81</v>
      </c>
      <c r="K11">
        <v>6</v>
      </c>
      <c r="L11" t="s">
        <v>27</v>
      </c>
      <c r="M11" t="s">
        <v>82</v>
      </c>
      <c r="N11" s="4">
        <v>2037.52</v>
      </c>
      <c r="O11" s="19" t="str">
        <f t="shared" si="4"/>
        <v>Nov-2023</v>
      </c>
      <c r="P11">
        <f t="shared" si="0"/>
        <v>2023</v>
      </c>
      <c r="Q11" t="str">
        <f t="shared" si="1"/>
        <v>OK</v>
      </c>
      <c r="R11">
        <v>1</v>
      </c>
      <c r="S11">
        <f t="shared" si="2"/>
        <v>0</v>
      </c>
      <c r="T11">
        <f t="shared" si="3"/>
        <v>0</v>
      </c>
    </row>
    <row r="12" spans="1:20">
      <c r="A12" t="s">
        <v>83</v>
      </c>
      <c r="B12" s="3">
        <v>45289</v>
      </c>
      <c r="C12" t="s">
        <v>84</v>
      </c>
      <c r="D12" t="s">
        <v>38</v>
      </c>
      <c r="E12">
        <v>5</v>
      </c>
      <c r="F12" s="4">
        <v>625.97</v>
      </c>
      <c r="G12" t="s">
        <v>85</v>
      </c>
      <c r="H12" t="s">
        <v>40</v>
      </c>
      <c r="I12" t="s">
        <v>49</v>
      </c>
      <c r="J12" t="s">
        <v>86</v>
      </c>
      <c r="K12">
        <v>9</v>
      </c>
      <c r="L12" t="s">
        <v>87</v>
      </c>
      <c r="M12" t="s">
        <v>28</v>
      </c>
      <c r="N12" s="4">
        <v>3129.85</v>
      </c>
      <c r="O12" s="19" t="str">
        <f t="shared" si="4"/>
        <v>Dec-2023</v>
      </c>
      <c r="P12">
        <f t="shared" si="0"/>
        <v>2023</v>
      </c>
      <c r="Q12" t="str">
        <f t="shared" si="1"/>
        <v>OK</v>
      </c>
      <c r="R12">
        <v>1</v>
      </c>
      <c r="S12">
        <f t="shared" si="2"/>
        <v>0</v>
      </c>
      <c r="T12">
        <f t="shared" si="3"/>
        <v>1</v>
      </c>
    </row>
    <row r="13" spans="1:20">
      <c r="A13" t="s">
        <v>88</v>
      </c>
      <c r="B13" s="3">
        <v>45339</v>
      </c>
      <c r="C13" t="s">
        <v>89</v>
      </c>
      <c r="D13" t="s">
        <v>22</v>
      </c>
      <c r="E13">
        <v>3</v>
      </c>
      <c r="F13" s="4">
        <v>49.14</v>
      </c>
      <c r="G13" t="s">
        <v>90</v>
      </c>
      <c r="H13" t="s">
        <v>33</v>
      </c>
      <c r="I13" t="s">
        <v>49</v>
      </c>
      <c r="J13" t="s">
        <v>91</v>
      </c>
      <c r="K13">
        <v>7</v>
      </c>
      <c r="L13" t="s">
        <v>27</v>
      </c>
      <c r="M13" t="s">
        <v>44</v>
      </c>
      <c r="N13" s="4">
        <v>147.41999999999999</v>
      </c>
      <c r="O13" s="19" t="str">
        <f t="shared" si="4"/>
        <v>Feb-2024</v>
      </c>
      <c r="P13">
        <f t="shared" si="0"/>
        <v>2024</v>
      </c>
      <c r="Q13" t="str">
        <f t="shared" si="1"/>
        <v>OK</v>
      </c>
      <c r="R13">
        <v>1</v>
      </c>
      <c r="S13">
        <f t="shared" si="2"/>
        <v>0</v>
      </c>
      <c r="T13">
        <f t="shared" si="3"/>
        <v>1</v>
      </c>
    </row>
    <row r="14" spans="1:20">
      <c r="A14" t="s">
        <v>92</v>
      </c>
      <c r="B14" s="3">
        <v>45580</v>
      </c>
      <c r="C14" t="s">
        <v>93</v>
      </c>
      <c r="D14" t="s">
        <v>22</v>
      </c>
      <c r="E14">
        <v>2</v>
      </c>
      <c r="F14" s="4">
        <v>180.5</v>
      </c>
      <c r="G14" t="s">
        <v>94</v>
      </c>
      <c r="H14" t="s">
        <v>24</v>
      </c>
      <c r="I14" t="s">
        <v>95</v>
      </c>
      <c r="J14" t="s">
        <v>96</v>
      </c>
      <c r="K14">
        <v>6</v>
      </c>
      <c r="L14" t="s">
        <v>43</v>
      </c>
      <c r="M14" t="s">
        <v>35</v>
      </c>
      <c r="N14" s="4">
        <v>361</v>
      </c>
      <c r="O14" s="19" t="str">
        <f t="shared" si="4"/>
        <v>Oct-2024</v>
      </c>
      <c r="P14">
        <f t="shared" si="0"/>
        <v>2024</v>
      </c>
      <c r="Q14" t="str">
        <f t="shared" si="1"/>
        <v>OK</v>
      </c>
      <c r="R14">
        <v>1</v>
      </c>
      <c r="S14">
        <f t="shared" si="2"/>
        <v>0</v>
      </c>
      <c r="T14">
        <f t="shared" si="3"/>
        <v>0</v>
      </c>
    </row>
    <row r="15" spans="1:20">
      <c r="A15" t="s">
        <v>97</v>
      </c>
      <c r="B15" s="3">
        <v>45168</v>
      </c>
      <c r="C15" t="s">
        <v>98</v>
      </c>
      <c r="D15" t="s">
        <v>64</v>
      </c>
      <c r="E15">
        <v>3</v>
      </c>
      <c r="F15" s="4">
        <v>201.49</v>
      </c>
      <c r="G15" t="s">
        <v>99</v>
      </c>
      <c r="H15" t="s">
        <v>40</v>
      </c>
      <c r="I15" t="s">
        <v>49</v>
      </c>
      <c r="J15" t="s">
        <v>100</v>
      </c>
      <c r="K15">
        <v>4</v>
      </c>
      <c r="L15" t="s">
        <v>43</v>
      </c>
      <c r="M15" t="s">
        <v>51</v>
      </c>
      <c r="N15" s="4">
        <v>604.47</v>
      </c>
      <c r="O15" s="19" t="str">
        <f t="shared" si="4"/>
        <v>Aug-2023</v>
      </c>
      <c r="P15">
        <f t="shared" si="0"/>
        <v>2023</v>
      </c>
      <c r="Q15" t="str">
        <f t="shared" si="1"/>
        <v>OK</v>
      </c>
      <c r="R15">
        <v>1</v>
      </c>
      <c r="S15">
        <f t="shared" si="2"/>
        <v>0</v>
      </c>
      <c r="T15">
        <f t="shared" si="3"/>
        <v>1</v>
      </c>
    </row>
    <row r="16" spans="1:20">
      <c r="A16" t="s">
        <v>101</v>
      </c>
      <c r="B16" s="3">
        <v>45012</v>
      </c>
      <c r="C16" t="s">
        <v>102</v>
      </c>
      <c r="D16" t="s">
        <v>38</v>
      </c>
      <c r="E16">
        <v>2</v>
      </c>
      <c r="F16" s="4">
        <v>393.33</v>
      </c>
      <c r="G16" t="s">
        <v>103</v>
      </c>
      <c r="H16" t="s">
        <v>24</v>
      </c>
      <c r="I16" t="s">
        <v>95</v>
      </c>
      <c r="J16" t="s">
        <v>104</v>
      </c>
      <c r="K16">
        <v>3</v>
      </c>
      <c r="L16" t="s">
        <v>27</v>
      </c>
      <c r="M16" t="s">
        <v>28</v>
      </c>
      <c r="N16" s="4">
        <v>786.66</v>
      </c>
      <c r="O16" s="19" t="str">
        <f t="shared" si="4"/>
        <v>Mar-2023</v>
      </c>
      <c r="P16">
        <f t="shared" si="0"/>
        <v>2023</v>
      </c>
      <c r="Q16" t="str">
        <f t="shared" si="1"/>
        <v>OK</v>
      </c>
      <c r="R16">
        <v>1</v>
      </c>
      <c r="S16">
        <f t="shared" si="2"/>
        <v>0</v>
      </c>
      <c r="T16">
        <f t="shared" si="3"/>
        <v>0</v>
      </c>
    </row>
    <row r="17" spans="1:20">
      <c r="A17" t="s">
        <v>105</v>
      </c>
      <c r="B17" s="3">
        <v>45124</v>
      </c>
      <c r="C17" t="s">
        <v>106</v>
      </c>
      <c r="D17" t="s">
        <v>54</v>
      </c>
      <c r="E17">
        <v>1</v>
      </c>
      <c r="F17" s="4">
        <v>473.96</v>
      </c>
      <c r="G17" t="s">
        <v>107</v>
      </c>
      <c r="H17" t="s">
        <v>71</v>
      </c>
      <c r="I17" t="s">
        <v>56</v>
      </c>
      <c r="J17" t="s">
        <v>108</v>
      </c>
      <c r="K17">
        <v>3</v>
      </c>
      <c r="M17" t="s">
        <v>82</v>
      </c>
      <c r="N17" s="4">
        <v>473.96</v>
      </c>
      <c r="O17" s="19" t="str">
        <f t="shared" si="4"/>
        <v>Jul-2023</v>
      </c>
      <c r="P17">
        <f t="shared" si="0"/>
        <v>2023</v>
      </c>
      <c r="Q17" t="str">
        <f t="shared" si="1"/>
        <v>OK</v>
      </c>
      <c r="R17">
        <v>1</v>
      </c>
      <c r="S17">
        <f t="shared" si="2"/>
        <v>0</v>
      </c>
      <c r="T17">
        <f t="shared" si="3"/>
        <v>0</v>
      </c>
    </row>
    <row r="18" spans="1:20">
      <c r="A18" t="s">
        <v>109</v>
      </c>
      <c r="B18" s="3">
        <v>44950</v>
      </c>
      <c r="C18" t="s">
        <v>110</v>
      </c>
      <c r="D18" t="s">
        <v>54</v>
      </c>
      <c r="E18">
        <v>2</v>
      </c>
      <c r="F18" s="4">
        <v>533.80999999999995</v>
      </c>
      <c r="G18" t="s">
        <v>111</v>
      </c>
      <c r="H18" t="s">
        <v>40</v>
      </c>
      <c r="I18" t="s">
        <v>95</v>
      </c>
      <c r="J18" t="s">
        <v>112</v>
      </c>
      <c r="K18">
        <v>3</v>
      </c>
      <c r="L18" t="s">
        <v>43</v>
      </c>
      <c r="M18" t="s">
        <v>44</v>
      </c>
      <c r="N18" s="4">
        <v>1067.6199999999999</v>
      </c>
      <c r="O18" s="19" t="str">
        <f t="shared" si="4"/>
        <v>Jan-2023</v>
      </c>
      <c r="P18">
        <f t="shared" si="0"/>
        <v>2023</v>
      </c>
      <c r="Q18" t="str">
        <f t="shared" si="1"/>
        <v>OK</v>
      </c>
      <c r="R18">
        <v>1</v>
      </c>
      <c r="S18">
        <f t="shared" si="2"/>
        <v>0</v>
      </c>
      <c r="T18">
        <f t="shared" si="3"/>
        <v>0</v>
      </c>
    </row>
    <row r="19" spans="1:20">
      <c r="A19" t="s">
        <v>113</v>
      </c>
      <c r="B19" s="3">
        <v>45353</v>
      </c>
      <c r="C19" t="s">
        <v>114</v>
      </c>
      <c r="D19" t="s">
        <v>38</v>
      </c>
      <c r="E19">
        <v>1</v>
      </c>
      <c r="F19" s="4">
        <v>423.4</v>
      </c>
      <c r="G19" t="s">
        <v>115</v>
      </c>
      <c r="H19" t="s">
        <v>24</v>
      </c>
      <c r="I19" t="s">
        <v>25</v>
      </c>
      <c r="J19" t="s">
        <v>116</v>
      </c>
      <c r="K19">
        <v>3</v>
      </c>
      <c r="M19" t="s">
        <v>35</v>
      </c>
      <c r="N19" s="4">
        <v>423.4</v>
      </c>
      <c r="O19" s="19" t="str">
        <f t="shared" si="4"/>
        <v>Mar-2024</v>
      </c>
      <c r="P19">
        <f t="shared" si="0"/>
        <v>2024</v>
      </c>
      <c r="Q19" t="str">
        <f t="shared" si="1"/>
        <v>OK</v>
      </c>
      <c r="R19">
        <v>1</v>
      </c>
      <c r="S19">
        <f t="shared" si="2"/>
        <v>0</v>
      </c>
      <c r="T19">
        <f t="shared" si="3"/>
        <v>0</v>
      </c>
    </row>
    <row r="20" spans="1:20">
      <c r="A20" t="s">
        <v>117</v>
      </c>
      <c r="B20" s="3">
        <v>45742</v>
      </c>
      <c r="C20" t="s">
        <v>118</v>
      </c>
      <c r="D20" t="s">
        <v>79</v>
      </c>
      <c r="E20">
        <v>1</v>
      </c>
      <c r="F20" s="4">
        <v>431.44</v>
      </c>
      <c r="G20" t="s">
        <v>119</v>
      </c>
      <c r="H20" t="s">
        <v>66</v>
      </c>
      <c r="I20" t="s">
        <v>95</v>
      </c>
      <c r="J20" t="s">
        <v>120</v>
      </c>
      <c r="K20">
        <v>3</v>
      </c>
      <c r="L20" t="s">
        <v>27</v>
      </c>
      <c r="M20" t="s">
        <v>51</v>
      </c>
      <c r="N20" s="4">
        <v>431.44</v>
      </c>
      <c r="O20" s="19" t="str">
        <f t="shared" si="4"/>
        <v>Mar-2025</v>
      </c>
      <c r="P20">
        <f t="shared" si="0"/>
        <v>2025</v>
      </c>
      <c r="Q20" t="str">
        <f t="shared" si="1"/>
        <v>OK</v>
      </c>
      <c r="R20">
        <v>1</v>
      </c>
      <c r="S20">
        <f t="shared" si="2"/>
        <v>0</v>
      </c>
      <c r="T20">
        <f t="shared" si="3"/>
        <v>0</v>
      </c>
    </row>
    <row r="21" spans="1:20">
      <c r="A21" t="s">
        <v>121</v>
      </c>
      <c r="B21" s="3">
        <v>44949</v>
      </c>
      <c r="C21" t="s">
        <v>122</v>
      </c>
      <c r="D21" t="s">
        <v>22</v>
      </c>
      <c r="E21">
        <v>5</v>
      </c>
      <c r="F21" s="4">
        <v>224</v>
      </c>
      <c r="G21" t="s">
        <v>123</v>
      </c>
      <c r="H21" t="s">
        <v>71</v>
      </c>
      <c r="I21" t="s">
        <v>49</v>
      </c>
      <c r="J21" t="s">
        <v>124</v>
      </c>
      <c r="K21">
        <v>9</v>
      </c>
      <c r="L21" t="s">
        <v>27</v>
      </c>
      <c r="M21" t="s">
        <v>82</v>
      </c>
      <c r="N21" s="4">
        <v>1120</v>
      </c>
      <c r="O21" s="19" t="str">
        <f t="shared" si="4"/>
        <v>Jan-2023</v>
      </c>
      <c r="P21">
        <f t="shared" si="0"/>
        <v>2023</v>
      </c>
      <c r="Q21" t="str">
        <f t="shared" si="1"/>
        <v>OK</v>
      </c>
      <c r="R21">
        <v>1</v>
      </c>
      <c r="S21">
        <f t="shared" si="2"/>
        <v>0</v>
      </c>
      <c r="T21">
        <f t="shared" si="3"/>
        <v>1</v>
      </c>
    </row>
    <row r="22" spans="1:20">
      <c r="A22" t="s">
        <v>125</v>
      </c>
      <c r="B22" s="3">
        <v>45054</v>
      </c>
      <c r="C22" t="s">
        <v>126</v>
      </c>
      <c r="D22" t="s">
        <v>47</v>
      </c>
      <c r="E22">
        <v>5</v>
      </c>
      <c r="F22" s="4">
        <v>62.51</v>
      </c>
      <c r="G22" t="s">
        <v>127</v>
      </c>
      <c r="H22" t="s">
        <v>71</v>
      </c>
      <c r="I22" t="s">
        <v>95</v>
      </c>
      <c r="J22" t="s">
        <v>128</v>
      </c>
      <c r="K22">
        <v>9</v>
      </c>
      <c r="L22" t="s">
        <v>87</v>
      </c>
      <c r="M22" t="s">
        <v>28</v>
      </c>
      <c r="N22" s="4">
        <v>312.55</v>
      </c>
      <c r="O22" s="19" t="str">
        <f t="shared" si="4"/>
        <v>May-2023</v>
      </c>
      <c r="P22">
        <f t="shared" si="0"/>
        <v>2023</v>
      </c>
      <c r="Q22" t="str">
        <f t="shared" si="1"/>
        <v>OK</v>
      </c>
      <c r="R22">
        <v>1</v>
      </c>
      <c r="S22">
        <f t="shared" si="2"/>
        <v>0</v>
      </c>
      <c r="T22">
        <f t="shared" si="3"/>
        <v>0</v>
      </c>
    </row>
    <row r="23" spans="1:20">
      <c r="A23" t="s">
        <v>129</v>
      </c>
      <c r="B23" s="3">
        <v>45613</v>
      </c>
      <c r="C23" t="s">
        <v>130</v>
      </c>
      <c r="D23" t="s">
        <v>22</v>
      </c>
      <c r="E23">
        <v>4</v>
      </c>
      <c r="F23" s="4">
        <v>342.95</v>
      </c>
      <c r="G23" t="s">
        <v>131</v>
      </c>
      <c r="H23" t="s">
        <v>71</v>
      </c>
      <c r="I23" t="s">
        <v>56</v>
      </c>
      <c r="J23" t="s">
        <v>132</v>
      </c>
      <c r="K23">
        <v>6</v>
      </c>
      <c r="M23" t="s">
        <v>82</v>
      </c>
      <c r="N23" s="4">
        <v>1371.8</v>
      </c>
      <c r="O23" s="19" t="str">
        <f t="shared" si="4"/>
        <v>Nov-2024</v>
      </c>
      <c r="P23">
        <f t="shared" si="0"/>
        <v>2024</v>
      </c>
      <c r="Q23" t="str">
        <f t="shared" si="1"/>
        <v>OK</v>
      </c>
      <c r="R23">
        <v>1</v>
      </c>
      <c r="S23">
        <f t="shared" si="2"/>
        <v>0</v>
      </c>
      <c r="T23">
        <f t="shared" si="3"/>
        <v>0</v>
      </c>
    </row>
    <row r="24" spans="1:20">
      <c r="A24" t="s">
        <v>133</v>
      </c>
      <c r="B24" s="3">
        <v>44955</v>
      </c>
      <c r="C24" t="s">
        <v>134</v>
      </c>
      <c r="D24" t="s">
        <v>22</v>
      </c>
      <c r="E24">
        <v>2</v>
      </c>
      <c r="F24" s="4">
        <v>49.62</v>
      </c>
      <c r="G24" t="s">
        <v>135</v>
      </c>
      <c r="H24" t="s">
        <v>33</v>
      </c>
      <c r="I24" t="s">
        <v>95</v>
      </c>
      <c r="J24" t="s">
        <v>136</v>
      </c>
      <c r="K24">
        <v>2</v>
      </c>
      <c r="L24" t="s">
        <v>27</v>
      </c>
      <c r="M24" t="s">
        <v>82</v>
      </c>
      <c r="N24" s="4">
        <v>99.24</v>
      </c>
      <c r="O24" s="19" t="str">
        <f t="shared" si="4"/>
        <v>Jan-2023</v>
      </c>
      <c r="P24">
        <f t="shared" si="0"/>
        <v>2023</v>
      </c>
      <c r="Q24" t="str">
        <f t="shared" si="1"/>
        <v>OK</v>
      </c>
      <c r="R24">
        <v>1</v>
      </c>
      <c r="S24">
        <f t="shared" si="2"/>
        <v>0</v>
      </c>
      <c r="T24">
        <f t="shared" si="3"/>
        <v>0</v>
      </c>
    </row>
    <row r="25" spans="1:20">
      <c r="A25" t="s">
        <v>137</v>
      </c>
      <c r="B25" s="3">
        <v>45756</v>
      </c>
      <c r="C25" t="s">
        <v>138</v>
      </c>
      <c r="D25" t="s">
        <v>31</v>
      </c>
      <c r="E25">
        <v>4</v>
      </c>
      <c r="F25" s="4">
        <v>273.25</v>
      </c>
      <c r="G25" t="s">
        <v>139</v>
      </c>
      <c r="H25" t="s">
        <v>24</v>
      </c>
      <c r="I25" t="s">
        <v>41</v>
      </c>
      <c r="J25" t="s">
        <v>140</v>
      </c>
      <c r="K25">
        <v>5</v>
      </c>
      <c r="L25" t="s">
        <v>43</v>
      </c>
      <c r="M25" t="s">
        <v>35</v>
      </c>
      <c r="N25" s="4">
        <v>1093</v>
      </c>
      <c r="O25" s="19" t="str">
        <f t="shared" si="4"/>
        <v>Apr-2025</v>
      </c>
      <c r="P25">
        <f t="shared" si="0"/>
        <v>2025</v>
      </c>
      <c r="Q25" t="str">
        <f t="shared" si="1"/>
        <v>OK</v>
      </c>
      <c r="R25">
        <v>1</v>
      </c>
      <c r="S25">
        <f t="shared" si="2"/>
        <v>1</v>
      </c>
      <c r="T25">
        <f t="shared" si="3"/>
        <v>0</v>
      </c>
    </row>
    <row r="26" spans="1:20">
      <c r="A26" t="s">
        <v>141</v>
      </c>
      <c r="B26" s="3">
        <v>45595</v>
      </c>
      <c r="C26" t="s">
        <v>142</v>
      </c>
      <c r="D26" t="s">
        <v>64</v>
      </c>
      <c r="E26">
        <v>2</v>
      </c>
      <c r="F26" s="4">
        <v>230.95</v>
      </c>
      <c r="G26" t="s">
        <v>143</v>
      </c>
      <c r="H26" t="s">
        <v>33</v>
      </c>
      <c r="I26" t="s">
        <v>56</v>
      </c>
      <c r="J26" t="s">
        <v>144</v>
      </c>
      <c r="K26">
        <v>3</v>
      </c>
      <c r="L26" t="s">
        <v>87</v>
      </c>
      <c r="M26" t="s">
        <v>35</v>
      </c>
      <c r="N26" s="4">
        <v>461.9</v>
      </c>
      <c r="O26" s="19" t="str">
        <f t="shared" si="4"/>
        <v>Oct-2024</v>
      </c>
      <c r="P26">
        <f t="shared" si="0"/>
        <v>2024</v>
      </c>
      <c r="Q26" t="str">
        <f t="shared" si="1"/>
        <v>OK</v>
      </c>
      <c r="R26">
        <v>1</v>
      </c>
      <c r="S26">
        <f t="shared" si="2"/>
        <v>0</v>
      </c>
      <c r="T26">
        <f t="shared" si="3"/>
        <v>0</v>
      </c>
    </row>
    <row r="27" spans="1:20">
      <c r="A27" t="s">
        <v>145</v>
      </c>
      <c r="B27" s="3">
        <v>45497</v>
      </c>
      <c r="C27" t="s">
        <v>146</v>
      </c>
      <c r="D27" t="s">
        <v>22</v>
      </c>
      <c r="E27">
        <v>1</v>
      </c>
      <c r="F27" s="4">
        <v>399.98</v>
      </c>
      <c r="G27" t="s">
        <v>147</v>
      </c>
      <c r="H27" t="s">
        <v>24</v>
      </c>
      <c r="I27" t="s">
        <v>56</v>
      </c>
      <c r="J27" t="s">
        <v>148</v>
      </c>
      <c r="K27">
        <v>3</v>
      </c>
      <c r="L27" t="s">
        <v>87</v>
      </c>
      <c r="M27" t="s">
        <v>44</v>
      </c>
      <c r="N27" s="4">
        <v>399.98</v>
      </c>
      <c r="O27" s="19" t="str">
        <f t="shared" si="4"/>
        <v>Jul-2024</v>
      </c>
      <c r="P27">
        <f t="shared" si="0"/>
        <v>2024</v>
      </c>
      <c r="Q27" t="str">
        <f t="shared" si="1"/>
        <v>OK</v>
      </c>
      <c r="R27">
        <v>1</v>
      </c>
      <c r="S27">
        <f t="shared" si="2"/>
        <v>0</v>
      </c>
      <c r="T27">
        <f t="shared" si="3"/>
        <v>0</v>
      </c>
    </row>
    <row r="28" spans="1:20">
      <c r="A28" t="s">
        <v>149</v>
      </c>
      <c r="B28" s="3">
        <v>45357</v>
      </c>
      <c r="C28" t="s">
        <v>150</v>
      </c>
      <c r="D28" t="s">
        <v>64</v>
      </c>
      <c r="E28">
        <v>5</v>
      </c>
      <c r="F28" s="4">
        <v>59.55</v>
      </c>
      <c r="G28" t="s">
        <v>151</v>
      </c>
      <c r="H28" t="s">
        <v>33</v>
      </c>
      <c r="I28" t="s">
        <v>56</v>
      </c>
      <c r="J28" t="s">
        <v>152</v>
      </c>
      <c r="K28">
        <v>6</v>
      </c>
      <c r="M28" t="s">
        <v>35</v>
      </c>
      <c r="N28" s="4">
        <v>297.75</v>
      </c>
      <c r="O28" s="19" t="str">
        <f t="shared" si="4"/>
        <v>Mar-2024</v>
      </c>
      <c r="P28">
        <f t="shared" si="0"/>
        <v>2024</v>
      </c>
      <c r="Q28" t="str">
        <f t="shared" si="1"/>
        <v>OK</v>
      </c>
      <c r="R28">
        <v>1</v>
      </c>
      <c r="S28">
        <f t="shared" si="2"/>
        <v>0</v>
      </c>
      <c r="T28">
        <f t="shared" si="3"/>
        <v>0</v>
      </c>
    </row>
    <row r="29" spans="1:20">
      <c r="A29" t="s">
        <v>153</v>
      </c>
      <c r="B29" s="3">
        <v>45344</v>
      </c>
      <c r="C29" t="s">
        <v>154</v>
      </c>
      <c r="D29" t="s">
        <v>54</v>
      </c>
      <c r="E29">
        <v>1</v>
      </c>
      <c r="F29" s="4">
        <v>472.74</v>
      </c>
      <c r="G29" t="s">
        <v>155</v>
      </c>
      <c r="H29" t="s">
        <v>33</v>
      </c>
      <c r="I29" t="s">
        <v>25</v>
      </c>
      <c r="J29" t="s">
        <v>156</v>
      </c>
      <c r="K29">
        <v>6</v>
      </c>
      <c r="L29" t="s">
        <v>87</v>
      </c>
      <c r="M29" t="s">
        <v>82</v>
      </c>
      <c r="N29" s="4">
        <v>472.74</v>
      </c>
      <c r="O29" s="19" t="str">
        <f t="shared" si="4"/>
        <v>Feb-2024</v>
      </c>
      <c r="P29">
        <f t="shared" si="0"/>
        <v>2024</v>
      </c>
      <c r="Q29" t="str">
        <f t="shared" si="1"/>
        <v>OK</v>
      </c>
      <c r="R29">
        <v>1</v>
      </c>
      <c r="S29">
        <f t="shared" si="2"/>
        <v>0</v>
      </c>
      <c r="T29">
        <f t="shared" si="3"/>
        <v>0</v>
      </c>
    </row>
    <row r="30" spans="1:20">
      <c r="A30" t="s">
        <v>157</v>
      </c>
      <c r="B30" s="3">
        <v>45251</v>
      </c>
      <c r="C30" t="s">
        <v>158</v>
      </c>
      <c r="D30" t="s">
        <v>31</v>
      </c>
      <c r="E30">
        <v>4</v>
      </c>
      <c r="F30" s="4">
        <v>160.07</v>
      </c>
      <c r="G30" t="s">
        <v>159</v>
      </c>
      <c r="H30" t="s">
        <v>33</v>
      </c>
      <c r="I30" t="s">
        <v>95</v>
      </c>
      <c r="J30" t="s">
        <v>160</v>
      </c>
      <c r="K30">
        <v>5</v>
      </c>
      <c r="M30" t="s">
        <v>44</v>
      </c>
      <c r="N30" s="4">
        <v>640.28</v>
      </c>
      <c r="O30" s="19" t="str">
        <f t="shared" si="4"/>
        <v>Nov-2023</v>
      </c>
      <c r="P30">
        <f t="shared" si="0"/>
        <v>2023</v>
      </c>
      <c r="Q30" t="str">
        <f t="shared" si="1"/>
        <v>OK</v>
      </c>
      <c r="R30">
        <v>1</v>
      </c>
      <c r="S30">
        <f t="shared" si="2"/>
        <v>0</v>
      </c>
      <c r="T30">
        <f t="shared" si="3"/>
        <v>0</v>
      </c>
    </row>
    <row r="31" spans="1:20">
      <c r="A31" t="s">
        <v>161</v>
      </c>
      <c r="B31" s="3">
        <v>45555</v>
      </c>
      <c r="C31" t="s">
        <v>162</v>
      </c>
      <c r="D31" t="s">
        <v>79</v>
      </c>
      <c r="E31">
        <v>3</v>
      </c>
      <c r="F31" s="4">
        <v>423.53</v>
      </c>
      <c r="G31" t="s">
        <v>163</v>
      </c>
      <c r="H31" t="s">
        <v>40</v>
      </c>
      <c r="I31" t="s">
        <v>56</v>
      </c>
      <c r="J31" t="s">
        <v>164</v>
      </c>
      <c r="K31">
        <v>6</v>
      </c>
      <c r="L31" t="s">
        <v>27</v>
      </c>
      <c r="M31" t="s">
        <v>35</v>
      </c>
      <c r="N31" s="4">
        <v>1270.5899999999999</v>
      </c>
      <c r="O31" s="19" t="str">
        <f t="shared" si="4"/>
        <v>Sep-2024</v>
      </c>
      <c r="P31">
        <f t="shared" si="0"/>
        <v>2024</v>
      </c>
      <c r="Q31" t="str">
        <f t="shared" si="1"/>
        <v>OK</v>
      </c>
      <c r="R31">
        <v>1</v>
      </c>
      <c r="S31">
        <f t="shared" si="2"/>
        <v>0</v>
      </c>
      <c r="T31">
        <f t="shared" si="3"/>
        <v>0</v>
      </c>
    </row>
    <row r="32" spans="1:20">
      <c r="A32" t="s">
        <v>165</v>
      </c>
      <c r="B32" s="3">
        <v>45738</v>
      </c>
      <c r="C32" t="s">
        <v>166</v>
      </c>
      <c r="D32" t="s">
        <v>22</v>
      </c>
      <c r="E32">
        <v>2</v>
      </c>
      <c r="F32" s="4">
        <v>426.7</v>
      </c>
      <c r="G32" t="s">
        <v>167</v>
      </c>
      <c r="H32" t="s">
        <v>33</v>
      </c>
      <c r="I32" t="s">
        <v>95</v>
      </c>
      <c r="J32" t="s">
        <v>168</v>
      </c>
      <c r="K32">
        <v>5</v>
      </c>
      <c r="L32" t="s">
        <v>27</v>
      </c>
      <c r="M32" t="s">
        <v>35</v>
      </c>
      <c r="N32" s="4">
        <v>853.4</v>
      </c>
      <c r="O32" s="19" t="str">
        <f t="shared" si="4"/>
        <v>Mar-2025</v>
      </c>
      <c r="P32">
        <f t="shared" si="0"/>
        <v>2025</v>
      </c>
      <c r="Q32" t="str">
        <f t="shared" si="1"/>
        <v>OK</v>
      </c>
      <c r="R32">
        <v>1</v>
      </c>
      <c r="S32">
        <f t="shared" si="2"/>
        <v>0</v>
      </c>
      <c r="T32">
        <f t="shared" si="3"/>
        <v>0</v>
      </c>
    </row>
    <row r="33" spans="1:20">
      <c r="A33" t="s">
        <v>169</v>
      </c>
      <c r="B33" s="3">
        <v>45107</v>
      </c>
      <c r="C33" t="s">
        <v>170</v>
      </c>
      <c r="D33" t="s">
        <v>47</v>
      </c>
      <c r="E33">
        <v>3</v>
      </c>
      <c r="F33" s="4">
        <v>500.08</v>
      </c>
      <c r="G33" t="s">
        <v>171</v>
      </c>
      <c r="H33" t="s">
        <v>24</v>
      </c>
      <c r="I33" t="s">
        <v>49</v>
      </c>
      <c r="J33" t="s">
        <v>172</v>
      </c>
      <c r="K33">
        <v>6</v>
      </c>
      <c r="M33" t="s">
        <v>51</v>
      </c>
      <c r="N33" s="4">
        <v>1500.24</v>
      </c>
      <c r="O33" s="19" t="str">
        <f t="shared" si="4"/>
        <v>Jun-2023</v>
      </c>
      <c r="P33">
        <f t="shared" si="0"/>
        <v>2023</v>
      </c>
      <c r="Q33" t="str">
        <f t="shared" si="1"/>
        <v>OK</v>
      </c>
      <c r="R33">
        <v>1</v>
      </c>
      <c r="S33">
        <f t="shared" si="2"/>
        <v>0</v>
      </c>
      <c r="T33">
        <f t="shared" si="3"/>
        <v>1</v>
      </c>
    </row>
    <row r="34" spans="1:20">
      <c r="A34" t="s">
        <v>173</v>
      </c>
      <c r="B34" s="3">
        <v>45047</v>
      </c>
      <c r="C34" t="s">
        <v>174</v>
      </c>
      <c r="D34" t="s">
        <v>38</v>
      </c>
      <c r="E34">
        <v>5</v>
      </c>
      <c r="F34" s="4">
        <v>536.72</v>
      </c>
      <c r="G34" t="s">
        <v>175</v>
      </c>
      <c r="H34" t="s">
        <v>71</v>
      </c>
      <c r="I34" t="s">
        <v>56</v>
      </c>
      <c r="J34" t="s">
        <v>176</v>
      </c>
      <c r="K34">
        <v>10</v>
      </c>
      <c r="M34" t="s">
        <v>44</v>
      </c>
      <c r="N34" s="4">
        <v>2683.6</v>
      </c>
      <c r="O34" s="19" t="str">
        <f t="shared" si="4"/>
        <v>May-2023</v>
      </c>
      <c r="P34">
        <f t="shared" si="0"/>
        <v>2023</v>
      </c>
      <c r="Q34" t="str">
        <f t="shared" si="1"/>
        <v>OK</v>
      </c>
      <c r="R34">
        <v>1</v>
      </c>
      <c r="S34">
        <f t="shared" si="2"/>
        <v>0</v>
      </c>
      <c r="T34">
        <f t="shared" si="3"/>
        <v>0</v>
      </c>
    </row>
    <row r="35" spans="1:20">
      <c r="A35" t="s">
        <v>177</v>
      </c>
      <c r="B35" s="3">
        <v>45082</v>
      </c>
      <c r="C35" t="s">
        <v>178</v>
      </c>
      <c r="D35" t="s">
        <v>47</v>
      </c>
      <c r="E35">
        <v>1</v>
      </c>
      <c r="F35" s="4">
        <v>162.77000000000001</v>
      </c>
      <c r="G35" t="s">
        <v>179</v>
      </c>
      <c r="H35" t="s">
        <v>33</v>
      </c>
      <c r="I35" t="s">
        <v>41</v>
      </c>
      <c r="J35" t="s">
        <v>180</v>
      </c>
      <c r="K35">
        <v>4</v>
      </c>
      <c r="L35" t="s">
        <v>87</v>
      </c>
      <c r="M35" t="s">
        <v>51</v>
      </c>
      <c r="N35" s="4">
        <v>162.77000000000001</v>
      </c>
      <c r="O35" s="19" t="str">
        <f t="shared" si="4"/>
        <v>Jun-2023</v>
      </c>
      <c r="P35">
        <f t="shared" si="0"/>
        <v>2023</v>
      </c>
      <c r="Q35" t="str">
        <f t="shared" si="1"/>
        <v>OK</v>
      </c>
      <c r="R35">
        <v>1</v>
      </c>
      <c r="S35">
        <f t="shared" si="2"/>
        <v>1</v>
      </c>
      <c r="T35">
        <f t="shared" si="3"/>
        <v>0</v>
      </c>
    </row>
    <row r="36" spans="1:20">
      <c r="A36" t="s">
        <v>181</v>
      </c>
      <c r="B36" s="3">
        <v>44933</v>
      </c>
      <c r="C36" t="s">
        <v>182</v>
      </c>
      <c r="D36" t="s">
        <v>47</v>
      </c>
      <c r="E36">
        <v>4</v>
      </c>
      <c r="F36" s="4">
        <v>576.52</v>
      </c>
      <c r="G36" t="s">
        <v>183</v>
      </c>
      <c r="H36" t="s">
        <v>40</v>
      </c>
      <c r="I36" t="s">
        <v>95</v>
      </c>
      <c r="J36" t="s">
        <v>184</v>
      </c>
      <c r="K36">
        <v>5</v>
      </c>
      <c r="L36" t="s">
        <v>87</v>
      </c>
      <c r="M36" t="s">
        <v>51</v>
      </c>
      <c r="N36" s="4">
        <v>2306.08</v>
      </c>
      <c r="O36" s="19" t="str">
        <f t="shared" si="4"/>
        <v>Jan-2023</v>
      </c>
      <c r="P36">
        <f t="shared" si="0"/>
        <v>2023</v>
      </c>
      <c r="Q36" t="str">
        <f t="shared" si="1"/>
        <v>OK</v>
      </c>
      <c r="R36">
        <v>1</v>
      </c>
      <c r="S36">
        <f t="shared" si="2"/>
        <v>0</v>
      </c>
      <c r="T36">
        <f t="shared" si="3"/>
        <v>0</v>
      </c>
    </row>
    <row r="37" spans="1:20">
      <c r="A37" t="s">
        <v>185</v>
      </c>
      <c r="B37" s="3">
        <v>45633</v>
      </c>
      <c r="C37" t="s">
        <v>186</v>
      </c>
      <c r="D37" t="s">
        <v>22</v>
      </c>
      <c r="E37">
        <v>2</v>
      </c>
      <c r="F37" s="4">
        <v>465.15</v>
      </c>
      <c r="G37" t="s">
        <v>187</v>
      </c>
      <c r="H37" t="s">
        <v>33</v>
      </c>
      <c r="I37" t="s">
        <v>25</v>
      </c>
      <c r="J37" t="s">
        <v>188</v>
      </c>
      <c r="K37">
        <v>2</v>
      </c>
      <c r="L37" t="s">
        <v>27</v>
      </c>
      <c r="M37" t="s">
        <v>51</v>
      </c>
      <c r="N37" s="4">
        <v>930.3</v>
      </c>
      <c r="O37" s="19" t="str">
        <f t="shared" si="4"/>
        <v>Dec-2024</v>
      </c>
      <c r="P37">
        <f t="shared" si="0"/>
        <v>2024</v>
      </c>
      <c r="Q37" t="str">
        <f t="shared" si="1"/>
        <v>OK</v>
      </c>
      <c r="R37">
        <v>1</v>
      </c>
      <c r="S37">
        <f t="shared" si="2"/>
        <v>0</v>
      </c>
      <c r="T37">
        <f t="shared" si="3"/>
        <v>0</v>
      </c>
    </row>
    <row r="38" spans="1:20">
      <c r="A38" t="s">
        <v>189</v>
      </c>
      <c r="B38" s="3">
        <v>45785</v>
      </c>
      <c r="C38" t="s">
        <v>190</v>
      </c>
      <c r="D38" t="s">
        <v>64</v>
      </c>
      <c r="E38">
        <v>2</v>
      </c>
      <c r="F38" s="4">
        <v>534.42999999999995</v>
      </c>
      <c r="G38" t="s">
        <v>191</v>
      </c>
      <c r="H38" t="s">
        <v>24</v>
      </c>
      <c r="I38" t="s">
        <v>95</v>
      </c>
      <c r="J38" t="s">
        <v>192</v>
      </c>
      <c r="K38">
        <v>5</v>
      </c>
      <c r="M38" t="s">
        <v>51</v>
      </c>
      <c r="N38" s="4">
        <v>1068.8599999999999</v>
      </c>
      <c r="O38" s="19" t="str">
        <f t="shared" si="4"/>
        <v>May-2025</v>
      </c>
      <c r="P38">
        <f t="shared" si="0"/>
        <v>2025</v>
      </c>
      <c r="Q38" t="str">
        <f t="shared" si="1"/>
        <v>OK</v>
      </c>
      <c r="R38">
        <v>1</v>
      </c>
      <c r="S38">
        <f t="shared" si="2"/>
        <v>0</v>
      </c>
      <c r="T38">
        <f t="shared" si="3"/>
        <v>0</v>
      </c>
    </row>
    <row r="39" spans="1:20">
      <c r="A39" t="s">
        <v>193</v>
      </c>
      <c r="B39" s="3">
        <v>45579</v>
      </c>
      <c r="C39" t="s">
        <v>194</v>
      </c>
      <c r="D39" t="s">
        <v>64</v>
      </c>
      <c r="E39">
        <v>2</v>
      </c>
      <c r="F39" s="4">
        <v>76.739999999999995</v>
      </c>
      <c r="G39" t="s">
        <v>195</v>
      </c>
      <c r="H39" t="s">
        <v>71</v>
      </c>
      <c r="I39" t="s">
        <v>49</v>
      </c>
      <c r="J39" t="s">
        <v>196</v>
      </c>
      <c r="K39">
        <v>7</v>
      </c>
      <c r="L39" t="s">
        <v>27</v>
      </c>
      <c r="M39" t="s">
        <v>28</v>
      </c>
      <c r="N39" s="4">
        <v>153.47999999999999</v>
      </c>
      <c r="O39" s="19" t="str">
        <f t="shared" si="4"/>
        <v>Oct-2024</v>
      </c>
      <c r="P39">
        <f t="shared" si="0"/>
        <v>2024</v>
      </c>
      <c r="Q39" t="str">
        <f t="shared" si="1"/>
        <v>OK</v>
      </c>
      <c r="R39">
        <v>1</v>
      </c>
      <c r="S39">
        <f t="shared" si="2"/>
        <v>0</v>
      </c>
      <c r="T39">
        <f t="shared" si="3"/>
        <v>1</v>
      </c>
    </row>
    <row r="40" spans="1:20">
      <c r="A40" t="s">
        <v>197</v>
      </c>
      <c r="B40" s="3">
        <v>45645</v>
      </c>
      <c r="C40" t="s">
        <v>198</v>
      </c>
      <c r="D40" t="s">
        <v>64</v>
      </c>
      <c r="E40">
        <v>1</v>
      </c>
      <c r="F40" s="4">
        <v>245.89</v>
      </c>
      <c r="G40" t="s">
        <v>199</v>
      </c>
      <c r="H40" t="s">
        <v>24</v>
      </c>
      <c r="I40" t="s">
        <v>56</v>
      </c>
      <c r="J40" t="s">
        <v>200</v>
      </c>
      <c r="K40">
        <v>3</v>
      </c>
      <c r="L40" t="s">
        <v>27</v>
      </c>
      <c r="M40" t="s">
        <v>82</v>
      </c>
      <c r="N40" s="4">
        <v>245.89</v>
      </c>
      <c r="O40" s="19" t="str">
        <f t="shared" si="4"/>
        <v>Dec-2024</v>
      </c>
      <c r="P40">
        <f t="shared" si="0"/>
        <v>2024</v>
      </c>
      <c r="Q40" t="str">
        <f t="shared" si="1"/>
        <v>OK</v>
      </c>
      <c r="R40">
        <v>1</v>
      </c>
      <c r="S40">
        <f t="shared" si="2"/>
        <v>0</v>
      </c>
      <c r="T40">
        <f t="shared" si="3"/>
        <v>0</v>
      </c>
    </row>
    <row r="41" spans="1:20">
      <c r="A41" t="s">
        <v>201</v>
      </c>
      <c r="B41" s="3">
        <v>45715</v>
      </c>
      <c r="C41" t="s">
        <v>202</v>
      </c>
      <c r="D41" t="s">
        <v>54</v>
      </c>
      <c r="E41">
        <v>3</v>
      </c>
      <c r="F41" s="4">
        <v>256.45999999999998</v>
      </c>
      <c r="G41" t="s">
        <v>203</v>
      </c>
      <c r="H41" t="s">
        <v>40</v>
      </c>
      <c r="I41" t="s">
        <v>56</v>
      </c>
      <c r="J41" t="s">
        <v>204</v>
      </c>
      <c r="K41">
        <v>4</v>
      </c>
      <c r="L41" t="s">
        <v>27</v>
      </c>
      <c r="M41" t="s">
        <v>35</v>
      </c>
      <c r="N41" s="4">
        <v>769.37999999999988</v>
      </c>
      <c r="O41" s="19" t="str">
        <f t="shared" si="4"/>
        <v>Feb-2025</v>
      </c>
      <c r="P41">
        <f t="shared" si="0"/>
        <v>2025</v>
      </c>
      <c r="Q41" t="str">
        <f t="shared" si="1"/>
        <v>OK</v>
      </c>
      <c r="R41">
        <v>1</v>
      </c>
      <c r="S41">
        <f t="shared" si="2"/>
        <v>0</v>
      </c>
      <c r="T41">
        <f t="shared" si="3"/>
        <v>0</v>
      </c>
    </row>
    <row r="42" spans="1:20">
      <c r="A42" t="s">
        <v>205</v>
      </c>
      <c r="B42" s="3">
        <v>45158</v>
      </c>
      <c r="C42" t="s">
        <v>206</v>
      </c>
      <c r="D42" t="s">
        <v>79</v>
      </c>
      <c r="E42">
        <v>2</v>
      </c>
      <c r="F42" s="4">
        <v>344.02</v>
      </c>
      <c r="G42" t="s">
        <v>207</v>
      </c>
      <c r="H42" t="s">
        <v>33</v>
      </c>
      <c r="I42" t="s">
        <v>56</v>
      </c>
      <c r="J42" t="s">
        <v>208</v>
      </c>
      <c r="K42">
        <v>4</v>
      </c>
      <c r="L42" t="s">
        <v>43</v>
      </c>
      <c r="M42" t="s">
        <v>28</v>
      </c>
      <c r="N42" s="4">
        <v>688.04</v>
      </c>
      <c r="O42" s="19" t="str">
        <f t="shared" si="4"/>
        <v>Aug-2023</v>
      </c>
      <c r="P42">
        <f t="shared" si="0"/>
        <v>2023</v>
      </c>
      <c r="Q42" t="str">
        <f t="shared" si="1"/>
        <v>OK</v>
      </c>
      <c r="R42">
        <v>1</v>
      </c>
      <c r="S42">
        <f t="shared" si="2"/>
        <v>0</v>
      </c>
      <c r="T42">
        <f t="shared" si="3"/>
        <v>0</v>
      </c>
    </row>
    <row r="43" spans="1:20">
      <c r="A43" t="s">
        <v>209</v>
      </c>
      <c r="B43" s="3">
        <v>45265</v>
      </c>
      <c r="C43" t="s">
        <v>210</v>
      </c>
      <c r="D43" t="s">
        <v>22</v>
      </c>
      <c r="E43">
        <v>3</v>
      </c>
      <c r="F43" s="4">
        <v>611.45000000000005</v>
      </c>
      <c r="G43" t="s">
        <v>211</v>
      </c>
      <c r="H43" t="s">
        <v>66</v>
      </c>
      <c r="I43" t="s">
        <v>95</v>
      </c>
      <c r="J43" t="s">
        <v>212</v>
      </c>
      <c r="K43">
        <v>4</v>
      </c>
      <c r="L43" t="s">
        <v>43</v>
      </c>
      <c r="M43" t="s">
        <v>28</v>
      </c>
      <c r="N43" s="4">
        <v>1834.35</v>
      </c>
      <c r="O43" s="19" t="str">
        <f t="shared" si="4"/>
        <v>Dec-2023</v>
      </c>
      <c r="P43">
        <f t="shared" si="0"/>
        <v>2023</v>
      </c>
      <c r="Q43" t="str">
        <f t="shared" si="1"/>
        <v>OK</v>
      </c>
      <c r="R43">
        <v>1</v>
      </c>
      <c r="S43">
        <f t="shared" si="2"/>
        <v>0</v>
      </c>
      <c r="T43">
        <f t="shared" si="3"/>
        <v>0</v>
      </c>
    </row>
    <row r="44" spans="1:20">
      <c r="A44" t="s">
        <v>213</v>
      </c>
      <c r="B44" s="3">
        <v>45418</v>
      </c>
      <c r="C44" t="s">
        <v>214</v>
      </c>
      <c r="D44" t="s">
        <v>54</v>
      </c>
      <c r="E44">
        <v>2</v>
      </c>
      <c r="F44" s="4">
        <v>151.66</v>
      </c>
      <c r="G44" t="s">
        <v>103</v>
      </c>
      <c r="H44" t="s">
        <v>71</v>
      </c>
      <c r="I44" t="s">
        <v>41</v>
      </c>
      <c r="J44" t="s">
        <v>215</v>
      </c>
      <c r="K44">
        <v>6</v>
      </c>
      <c r="M44" t="s">
        <v>28</v>
      </c>
      <c r="N44" s="4">
        <v>303.32</v>
      </c>
      <c r="O44" s="19" t="str">
        <f t="shared" si="4"/>
        <v>May-2024</v>
      </c>
      <c r="P44">
        <f t="shared" si="0"/>
        <v>2024</v>
      </c>
      <c r="Q44" t="str">
        <f t="shared" si="1"/>
        <v>OK</v>
      </c>
      <c r="R44">
        <v>1</v>
      </c>
      <c r="S44">
        <f t="shared" si="2"/>
        <v>1</v>
      </c>
      <c r="T44">
        <f t="shared" si="3"/>
        <v>0</v>
      </c>
    </row>
    <row r="45" spans="1:20">
      <c r="A45" t="s">
        <v>216</v>
      </c>
      <c r="B45" s="3">
        <v>45274</v>
      </c>
      <c r="C45" t="s">
        <v>217</v>
      </c>
      <c r="D45" t="s">
        <v>47</v>
      </c>
      <c r="E45">
        <v>3</v>
      </c>
      <c r="F45" s="4">
        <v>499.21</v>
      </c>
      <c r="G45" t="s">
        <v>218</v>
      </c>
      <c r="H45" t="s">
        <v>33</v>
      </c>
      <c r="I45" t="s">
        <v>41</v>
      </c>
      <c r="J45" t="s">
        <v>219</v>
      </c>
      <c r="K45">
        <v>8</v>
      </c>
      <c r="M45" t="s">
        <v>28</v>
      </c>
      <c r="N45" s="4">
        <v>1497.63</v>
      </c>
      <c r="O45" s="19" t="str">
        <f t="shared" si="4"/>
        <v>Dec-2023</v>
      </c>
      <c r="P45">
        <f t="shared" si="0"/>
        <v>2023</v>
      </c>
      <c r="Q45" t="str">
        <f t="shared" si="1"/>
        <v>OK</v>
      </c>
      <c r="R45">
        <v>1</v>
      </c>
      <c r="S45">
        <f t="shared" si="2"/>
        <v>1</v>
      </c>
      <c r="T45">
        <f t="shared" si="3"/>
        <v>0</v>
      </c>
    </row>
    <row r="46" spans="1:20">
      <c r="A46" t="s">
        <v>220</v>
      </c>
      <c r="B46" s="3">
        <v>45768</v>
      </c>
      <c r="C46" t="s">
        <v>221</v>
      </c>
      <c r="D46" t="s">
        <v>31</v>
      </c>
      <c r="E46">
        <v>2</v>
      </c>
      <c r="F46" s="4">
        <v>550.17999999999995</v>
      </c>
      <c r="G46" t="s">
        <v>171</v>
      </c>
      <c r="H46" t="s">
        <v>66</v>
      </c>
      <c r="I46" t="s">
        <v>49</v>
      </c>
      <c r="J46" t="s">
        <v>222</v>
      </c>
      <c r="K46">
        <v>3</v>
      </c>
      <c r="L46" t="s">
        <v>43</v>
      </c>
      <c r="M46" t="s">
        <v>35</v>
      </c>
      <c r="N46" s="4">
        <v>1100.3599999999999</v>
      </c>
      <c r="O46" s="19" t="str">
        <f t="shared" si="4"/>
        <v>Apr-2025</v>
      </c>
      <c r="P46">
        <f t="shared" si="0"/>
        <v>2025</v>
      </c>
      <c r="Q46" t="str">
        <f t="shared" si="1"/>
        <v>OK</v>
      </c>
      <c r="R46">
        <v>1</v>
      </c>
      <c r="S46">
        <f t="shared" si="2"/>
        <v>0</v>
      </c>
      <c r="T46">
        <f t="shared" si="3"/>
        <v>1</v>
      </c>
    </row>
    <row r="47" spans="1:20">
      <c r="A47" t="s">
        <v>223</v>
      </c>
      <c r="B47" s="3">
        <v>45332</v>
      </c>
      <c r="C47" t="s">
        <v>224</v>
      </c>
      <c r="D47" t="s">
        <v>47</v>
      </c>
      <c r="E47">
        <v>1</v>
      </c>
      <c r="F47" s="4">
        <v>317.25</v>
      </c>
      <c r="G47" t="s">
        <v>225</v>
      </c>
      <c r="H47" t="s">
        <v>24</v>
      </c>
      <c r="I47" t="s">
        <v>49</v>
      </c>
      <c r="J47" t="s">
        <v>226</v>
      </c>
      <c r="K47">
        <v>1</v>
      </c>
      <c r="L47" t="s">
        <v>27</v>
      </c>
      <c r="M47" t="s">
        <v>51</v>
      </c>
      <c r="N47" s="4">
        <v>317.25</v>
      </c>
      <c r="O47" s="19" t="str">
        <f t="shared" si="4"/>
        <v>Feb-2024</v>
      </c>
      <c r="P47">
        <f t="shared" si="0"/>
        <v>2024</v>
      </c>
      <c r="Q47" t="str">
        <f t="shared" si="1"/>
        <v>OK</v>
      </c>
      <c r="R47">
        <v>1</v>
      </c>
      <c r="S47">
        <f t="shared" si="2"/>
        <v>0</v>
      </c>
      <c r="T47">
        <f t="shared" si="3"/>
        <v>1</v>
      </c>
    </row>
    <row r="48" spans="1:20">
      <c r="A48" t="s">
        <v>227</v>
      </c>
      <c r="B48" s="3">
        <v>45469</v>
      </c>
      <c r="C48" t="s">
        <v>228</v>
      </c>
      <c r="D48" t="s">
        <v>22</v>
      </c>
      <c r="E48">
        <v>4</v>
      </c>
      <c r="F48" s="4">
        <v>550.14</v>
      </c>
      <c r="G48" t="s">
        <v>229</v>
      </c>
      <c r="H48" t="s">
        <v>24</v>
      </c>
      <c r="I48" t="s">
        <v>95</v>
      </c>
      <c r="J48" t="s">
        <v>230</v>
      </c>
      <c r="K48">
        <v>4</v>
      </c>
      <c r="L48" t="s">
        <v>43</v>
      </c>
      <c r="M48" t="s">
        <v>28</v>
      </c>
      <c r="N48" s="4">
        <v>2200.56</v>
      </c>
      <c r="O48" s="19" t="str">
        <f t="shared" si="4"/>
        <v>Jun-2024</v>
      </c>
      <c r="P48">
        <f t="shared" si="0"/>
        <v>2024</v>
      </c>
      <c r="Q48" t="str">
        <f t="shared" si="1"/>
        <v>OK</v>
      </c>
      <c r="R48">
        <v>1</v>
      </c>
      <c r="S48">
        <f t="shared" si="2"/>
        <v>0</v>
      </c>
      <c r="T48">
        <f t="shared" si="3"/>
        <v>0</v>
      </c>
    </row>
    <row r="49" spans="1:20">
      <c r="A49" t="s">
        <v>231</v>
      </c>
      <c r="B49" s="3">
        <v>45126</v>
      </c>
      <c r="C49" t="s">
        <v>232</v>
      </c>
      <c r="D49" t="s">
        <v>79</v>
      </c>
      <c r="E49">
        <v>2</v>
      </c>
      <c r="F49" s="4">
        <v>209.94</v>
      </c>
      <c r="G49" t="s">
        <v>233</v>
      </c>
      <c r="H49" t="s">
        <v>40</v>
      </c>
      <c r="I49" t="s">
        <v>49</v>
      </c>
      <c r="J49" t="s">
        <v>234</v>
      </c>
      <c r="K49">
        <v>3</v>
      </c>
      <c r="L49" t="s">
        <v>43</v>
      </c>
      <c r="M49" t="s">
        <v>44</v>
      </c>
      <c r="N49" s="4">
        <v>419.88</v>
      </c>
      <c r="O49" s="19" t="str">
        <f t="shared" si="4"/>
        <v>Jul-2023</v>
      </c>
      <c r="P49">
        <f t="shared" si="0"/>
        <v>2023</v>
      </c>
      <c r="Q49" t="str">
        <f t="shared" si="1"/>
        <v>OK</v>
      </c>
      <c r="R49">
        <v>1</v>
      </c>
      <c r="S49">
        <f t="shared" si="2"/>
        <v>0</v>
      </c>
      <c r="T49">
        <f t="shared" si="3"/>
        <v>1</v>
      </c>
    </row>
    <row r="50" spans="1:20">
      <c r="A50" t="s">
        <v>235</v>
      </c>
      <c r="B50" s="3">
        <v>45164</v>
      </c>
      <c r="C50" t="s">
        <v>236</v>
      </c>
      <c r="D50" t="s">
        <v>22</v>
      </c>
      <c r="E50">
        <v>2</v>
      </c>
      <c r="F50" s="4">
        <v>80.77</v>
      </c>
      <c r="G50" t="s">
        <v>237</v>
      </c>
      <c r="H50" t="s">
        <v>24</v>
      </c>
      <c r="I50" t="s">
        <v>25</v>
      </c>
      <c r="J50" t="s">
        <v>238</v>
      </c>
      <c r="K50">
        <v>4</v>
      </c>
      <c r="M50" t="s">
        <v>82</v>
      </c>
      <c r="N50" s="4">
        <v>161.54</v>
      </c>
      <c r="O50" s="19" t="str">
        <f t="shared" si="4"/>
        <v>Aug-2023</v>
      </c>
      <c r="P50">
        <f t="shared" si="0"/>
        <v>2023</v>
      </c>
      <c r="Q50" t="str">
        <f t="shared" si="1"/>
        <v>OK</v>
      </c>
      <c r="R50">
        <v>1</v>
      </c>
      <c r="S50">
        <f t="shared" si="2"/>
        <v>0</v>
      </c>
      <c r="T50">
        <f t="shared" si="3"/>
        <v>0</v>
      </c>
    </row>
    <row r="51" spans="1:20">
      <c r="A51" t="s">
        <v>239</v>
      </c>
      <c r="B51" s="3">
        <v>45206</v>
      </c>
      <c r="C51" t="s">
        <v>240</v>
      </c>
      <c r="D51" t="s">
        <v>54</v>
      </c>
      <c r="E51">
        <v>1</v>
      </c>
      <c r="F51" s="4">
        <v>30.44</v>
      </c>
      <c r="G51" t="s">
        <v>135</v>
      </c>
      <c r="H51" t="s">
        <v>40</v>
      </c>
      <c r="I51" t="s">
        <v>25</v>
      </c>
      <c r="J51" t="s">
        <v>241</v>
      </c>
      <c r="K51">
        <v>1</v>
      </c>
      <c r="L51" t="s">
        <v>27</v>
      </c>
      <c r="M51" t="s">
        <v>44</v>
      </c>
      <c r="N51" s="4">
        <v>30.44</v>
      </c>
      <c r="O51" s="19" t="str">
        <f t="shared" si="4"/>
        <v>Oct-2023</v>
      </c>
      <c r="P51">
        <f t="shared" si="0"/>
        <v>2023</v>
      </c>
      <c r="Q51" t="str">
        <f t="shared" si="1"/>
        <v>OK</v>
      </c>
      <c r="R51">
        <v>1</v>
      </c>
      <c r="S51">
        <f t="shared" si="2"/>
        <v>0</v>
      </c>
      <c r="T51">
        <f t="shared" si="3"/>
        <v>0</v>
      </c>
    </row>
    <row r="52" spans="1:20">
      <c r="A52" t="s">
        <v>242</v>
      </c>
      <c r="B52" s="3">
        <v>45138</v>
      </c>
      <c r="C52" t="s">
        <v>243</v>
      </c>
      <c r="D52" t="s">
        <v>38</v>
      </c>
      <c r="E52">
        <v>1</v>
      </c>
      <c r="F52" s="4">
        <v>179.22</v>
      </c>
      <c r="G52" t="s">
        <v>244</v>
      </c>
      <c r="H52" t="s">
        <v>33</v>
      </c>
      <c r="I52" t="s">
        <v>41</v>
      </c>
      <c r="J52" t="s">
        <v>245</v>
      </c>
      <c r="K52">
        <v>6</v>
      </c>
      <c r="L52" t="s">
        <v>43</v>
      </c>
      <c r="M52" t="s">
        <v>28</v>
      </c>
      <c r="N52" s="4">
        <v>179.22</v>
      </c>
      <c r="O52" s="19" t="str">
        <f t="shared" si="4"/>
        <v>Jul-2023</v>
      </c>
      <c r="P52">
        <f t="shared" si="0"/>
        <v>2023</v>
      </c>
      <c r="Q52" t="str">
        <f t="shared" si="1"/>
        <v>OK</v>
      </c>
      <c r="R52">
        <v>1</v>
      </c>
      <c r="S52">
        <f t="shared" si="2"/>
        <v>1</v>
      </c>
      <c r="T52">
        <f t="shared" si="3"/>
        <v>0</v>
      </c>
    </row>
    <row r="53" spans="1:20">
      <c r="A53" t="s">
        <v>246</v>
      </c>
      <c r="B53" s="3">
        <v>45656</v>
      </c>
      <c r="C53" t="s">
        <v>247</v>
      </c>
      <c r="D53" t="s">
        <v>38</v>
      </c>
      <c r="E53">
        <v>1</v>
      </c>
      <c r="F53" s="4">
        <v>388.33</v>
      </c>
      <c r="G53" t="s">
        <v>248</v>
      </c>
      <c r="H53" t="s">
        <v>71</v>
      </c>
      <c r="I53" t="s">
        <v>49</v>
      </c>
      <c r="J53" t="s">
        <v>249</v>
      </c>
      <c r="K53">
        <v>2</v>
      </c>
      <c r="L53" t="s">
        <v>27</v>
      </c>
      <c r="M53" t="s">
        <v>51</v>
      </c>
      <c r="N53" s="4">
        <v>388.33</v>
      </c>
      <c r="O53" s="19" t="str">
        <f t="shared" si="4"/>
        <v>Dec-2024</v>
      </c>
      <c r="P53">
        <f t="shared" si="0"/>
        <v>2024</v>
      </c>
      <c r="Q53" t="str">
        <f t="shared" si="1"/>
        <v>OK</v>
      </c>
      <c r="R53">
        <v>1</v>
      </c>
      <c r="S53">
        <f t="shared" si="2"/>
        <v>0</v>
      </c>
      <c r="T53">
        <f t="shared" si="3"/>
        <v>1</v>
      </c>
    </row>
    <row r="54" spans="1:20">
      <c r="A54" t="s">
        <v>250</v>
      </c>
      <c r="B54" s="3">
        <v>45543</v>
      </c>
      <c r="C54" t="s">
        <v>251</v>
      </c>
      <c r="D54" t="s">
        <v>38</v>
      </c>
      <c r="E54">
        <v>1</v>
      </c>
      <c r="F54" s="4">
        <v>586.44000000000005</v>
      </c>
      <c r="G54" t="s">
        <v>252</v>
      </c>
      <c r="H54" t="s">
        <v>33</v>
      </c>
      <c r="I54" t="s">
        <v>49</v>
      </c>
      <c r="J54" t="s">
        <v>253</v>
      </c>
      <c r="K54">
        <v>5</v>
      </c>
      <c r="L54" t="s">
        <v>27</v>
      </c>
      <c r="M54" t="s">
        <v>51</v>
      </c>
      <c r="N54" s="4">
        <v>586.44000000000005</v>
      </c>
      <c r="O54" s="19" t="str">
        <f t="shared" si="4"/>
        <v>Sep-2024</v>
      </c>
      <c r="P54">
        <f t="shared" si="0"/>
        <v>2024</v>
      </c>
      <c r="Q54" t="str">
        <f t="shared" si="1"/>
        <v>OK</v>
      </c>
      <c r="R54">
        <v>1</v>
      </c>
      <c r="S54">
        <f t="shared" si="2"/>
        <v>0</v>
      </c>
      <c r="T54">
        <f t="shared" si="3"/>
        <v>1</v>
      </c>
    </row>
    <row r="55" spans="1:20">
      <c r="A55" t="s">
        <v>254</v>
      </c>
      <c r="B55" s="3">
        <v>45430</v>
      </c>
      <c r="C55" t="s">
        <v>255</v>
      </c>
      <c r="D55" t="s">
        <v>31</v>
      </c>
      <c r="E55">
        <v>4</v>
      </c>
      <c r="F55" s="4">
        <v>488.78</v>
      </c>
      <c r="G55" t="s">
        <v>39</v>
      </c>
      <c r="H55" t="s">
        <v>33</v>
      </c>
      <c r="I55" t="s">
        <v>49</v>
      </c>
      <c r="J55" t="s">
        <v>256</v>
      </c>
      <c r="K55">
        <v>5</v>
      </c>
      <c r="L55" t="s">
        <v>43</v>
      </c>
      <c r="M55" t="s">
        <v>82</v>
      </c>
      <c r="N55" s="4">
        <v>1955.12</v>
      </c>
      <c r="O55" s="19" t="str">
        <f t="shared" si="4"/>
        <v>May-2024</v>
      </c>
      <c r="P55">
        <f t="shared" si="0"/>
        <v>2024</v>
      </c>
      <c r="Q55" t="str">
        <f t="shared" si="1"/>
        <v>OK</v>
      </c>
      <c r="R55">
        <v>1</v>
      </c>
      <c r="S55">
        <f t="shared" si="2"/>
        <v>0</v>
      </c>
      <c r="T55">
        <f t="shared" si="3"/>
        <v>1</v>
      </c>
    </row>
    <row r="56" spans="1:20">
      <c r="A56" t="s">
        <v>257</v>
      </c>
      <c r="B56" s="3">
        <v>45743</v>
      </c>
      <c r="C56" t="s">
        <v>258</v>
      </c>
      <c r="D56" t="s">
        <v>47</v>
      </c>
      <c r="E56">
        <v>1</v>
      </c>
      <c r="F56" s="4">
        <v>280.25</v>
      </c>
      <c r="G56" t="s">
        <v>259</v>
      </c>
      <c r="H56" t="s">
        <v>33</v>
      </c>
      <c r="I56" t="s">
        <v>95</v>
      </c>
      <c r="J56" t="s">
        <v>260</v>
      </c>
      <c r="K56">
        <v>5</v>
      </c>
      <c r="L56" t="s">
        <v>87</v>
      </c>
      <c r="M56" t="s">
        <v>44</v>
      </c>
      <c r="N56" s="4">
        <v>280.25</v>
      </c>
      <c r="O56" s="19" t="str">
        <f t="shared" si="4"/>
        <v>Mar-2025</v>
      </c>
      <c r="P56">
        <f t="shared" si="0"/>
        <v>2025</v>
      </c>
      <c r="Q56" t="str">
        <f t="shared" si="1"/>
        <v>OK</v>
      </c>
      <c r="R56">
        <v>1</v>
      </c>
      <c r="S56">
        <f t="shared" si="2"/>
        <v>0</v>
      </c>
      <c r="T56">
        <f t="shared" si="3"/>
        <v>0</v>
      </c>
    </row>
    <row r="57" spans="1:20">
      <c r="A57" t="s">
        <v>261</v>
      </c>
      <c r="B57" s="3">
        <v>45832</v>
      </c>
      <c r="C57" t="s">
        <v>262</v>
      </c>
      <c r="D57" t="s">
        <v>54</v>
      </c>
      <c r="E57">
        <v>3</v>
      </c>
      <c r="F57" s="4">
        <v>344.4</v>
      </c>
      <c r="G57" t="s">
        <v>263</v>
      </c>
      <c r="H57" t="s">
        <v>33</v>
      </c>
      <c r="I57" t="s">
        <v>41</v>
      </c>
      <c r="J57" t="s">
        <v>264</v>
      </c>
      <c r="K57">
        <v>3</v>
      </c>
      <c r="M57" t="s">
        <v>51</v>
      </c>
      <c r="N57" s="4">
        <v>1033.2</v>
      </c>
      <c r="O57" s="19" t="str">
        <f t="shared" si="4"/>
        <v>Jun-2025</v>
      </c>
      <c r="P57">
        <f t="shared" si="0"/>
        <v>2025</v>
      </c>
      <c r="Q57" t="str">
        <f t="shared" si="1"/>
        <v>OK</v>
      </c>
      <c r="R57">
        <v>1</v>
      </c>
      <c r="S57">
        <f t="shared" si="2"/>
        <v>1</v>
      </c>
      <c r="T57">
        <f t="shared" si="3"/>
        <v>0</v>
      </c>
    </row>
    <row r="58" spans="1:20">
      <c r="A58" t="s">
        <v>265</v>
      </c>
      <c r="B58" s="3">
        <v>45067</v>
      </c>
      <c r="C58" t="s">
        <v>266</v>
      </c>
      <c r="D58" t="s">
        <v>38</v>
      </c>
      <c r="E58">
        <v>3</v>
      </c>
      <c r="F58" s="4">
        <v>479.21</v>
      </c>
      <c r="G58" t="s">
        <v>267</v>
      </c>
      <c r="H58" t="s">
        <v>71</v>
      </c>
      <c r="I58" t="s">
        <v>41</v>
      </c>
      <c r="J58" t="s">
        <v>268</v>
      </c>
      <c r="K58">
        <v>5</v>
      </c>
      <c r="L58" t="s">
        <v>87</v>
      </c>
      <c r="M58" t="s">
        <v>35</v>
      </c>
      <c r="N58" s="4">
        <v>1437.63</v>
      </c>
      <c r="O58" s="19" t="str">
        <f t="shared" si="4"/>
        <v>May-2023</v>
      </c>
      <c r="P58">
        <f t="shared" si="0"/>
        <v>2023</v>
      </c>
      <c r="Q58" t="str">
        <f t="shared" si="1"/>
        <v>OK</v>
      </c>
      <c r="R58">
        <v>1</v>
      </c>
      <c r="S58">
        <f t="shared" si="2"/>
        <v>1</v>
      </c>
      <c r="T58">
        <f t="shared" si="3"/>
        <v>0</v>
      </c>
    </row>
    <row r="59" spans="1:20">
      <c r="A59" t="s">
        <v>269</v>
      </c>
      <c r="B59" s="3">
        <v>44948</v>
      </c>
      <c r="C59" t="s">
        <v>270</v>
      </c>
      <c r="D59" t="s">
        <v>54</v>
      </c>
      <c r="E59">
        <v>5</v>
      </c>
      <c r="F59" s="4">
        <v>314.27</v>
      </c>
      <c r="G59" t="s">
        <v>271</v>
      </c>
      <c r="H59" t="s">
        <v>71</v>
      </c>
      <c r="I59" t="s">
        <v>49</v>
      </c>
      <c r="J59" t="s">
        <v>272</v>
      </c>
      <c r="K59">
        <v>6</v>
      </c>
      <c r="L59" t="s">
        <v>27</v>
      </c>
      <c r="M59" t="s">
        <v>28</v>
      </c>
      <c r="N59" s="4">
        <v>1571.35</v>
      </c>
      <c r="O59" s="19" t="str">
        <f t="shared" si="4"/>
        <v>Jan-2023</v>
      </c>
      <c r="P59">
        <f t="shared" si="0"/>
        <v>2023</v>
      </c>
      <c r="Q59" t="str">
        <f t="shared" si="1"/>
        <v>OK</v>
      </c>
      <c r="R59">
        <v>1</v>
      </c>
      <c r="S59">
        <f t="shared" si="2"/>
        <v>0</v>
      </c>
      <c r="T59">
        <f t="shared" si="3"/>
        <v>1</v>
      </c>
    </row>
    <row r="60" spans="1:20">
      <c r="A60" t="s">
        <v>273</v>
      </c>
      <c r="B60" s="3">
        <v>44941</v>
      </c>
      <c r="C60" t="s">
        <v>274</v>
      </c>
      <c r="D60" t="s">
        <v>31</v>
      </c>
      <c r="E60">
        <v>4</v>
      </c>
      <c r="F60" s="4">
        <v>474.69</v>
      </c>
      <c r="G60" t="s">
        <v>275</v>
      </c>
      <c r="H60" t="s">
        <v>66</v>
      </c>
      <c r="I60" t="s">
        <v>41</v>
      </c>
      <c r="J60" t="s">
        <v>276</v>
      </c>
      <c r="K60">
        <v>6</v>
      </c>
      <c r="L60" t="s">
        <v>27</v>
      </c>
      <c r="M60" t="s">
        <v>82</v>
      </c>
      <c r="N60" s="4">
        <v>1898.76</v>
      </c>
      <c r="O60" s="19" t="str">
        <f t="shared" si="4"/>
        <v>Jan-2023</v>
      </c>
      <c r="P60">
        <f t="shared" si="0"/>
        <v>2023</v>
      </c>
      <c r="Q60" t="str">
        <f t="shared" si="1"/>
        <v>OK</v>
      </c>
      <c r="R60">
        <v>1</v>
      </c>
      <c r="S60">
        <f t="shared" si="2"/>
        <v>1</v>
      </c>
      <c r="T60">
        <f t="shared" si="3"/>
        <v>0</v>
      </c>
    </row>
    <row r="61" spans="1:20">
      <c r="A61" t="s">
        <v>277</v>
      </c>
      <c r="B61" s="3">
        <v>45546</v>
      </c>
      <c r="C61" t="s">
        <v>278</v>
      </c>
      <c r="D61" t="s">
        <v>47</v>
      </c>
      <c r="E61">
        <v>4</v>
      </c>
      <c r="F61" s="4">
        <v>593.27</v>
      </c>
      <c r="G61" t="s">
        <v>279</v>
      </c>
      <c r="H61" t="s">
        <v>33</v>
      </c>
      <c r="I61" t="s">
        <v>25</v>
      </c>
      <c r="J61" t="s">
        <v>280</v>
      </c>
      <c r="K61">
        <v>5</v>
      </c>
      <c r="M61" t="s">
        <v>51</v>
      </c>
      <c r="N61" s="4">
        <v>2373.08</v>
      </c>
      <c r="O61" s="19" t="str">
        <f t="shared" si="4"/>
        <v>Sep-2024</v>
      </c>
      <c r="P61">
        <f t="shared" si="0"/>
        <v>2024</v>
      </c>
      <c r="Q61" t="str">
        <f t="shared" si="1"/>
        <v>OK</v>
      </c>
      <c r="R61">
        <v>1</v>
      </c>
      <c r="S61">
        <f t="shared" si="2"/>
        <v>0</v>
      </c>
      <c r="T61">
        <f t="shared" si="3"/>
        <v>0</v>
      </c>
    </row>
    <row r="62" spans="1:20">
      <c r="A62" t="s">
        <v>281</v>
      </c>
      <c r="B62" s="3">
        <v>45525</v>
      </c>
      <c r="C62" t="s">
        <v>282</v>
      </c>
      <c r="D62" t="s">
        <v>79</v>
      </c>
      <c r="E62">
        <v>1</v>
      </c>
      <c r="F62" s="4">
        <v>417.1</v>
      </c>
      <c r="G62" t="s">
        <v>283</v>
      </c>
      <c r="H62" t="s">
        <v>24</v>
      </c>
      <c r="I62" t="s">
        <v>49</v>
      </c>
      <c r="J62" t="s">
        <v>284</v>
      </c>
      <c r="K62">
        <v>3</v>
      </c>
      <c r="L62" t="s">
        <v>43</v>
      </c>
      <c r="M62" t="s">
        <v>35</v>
      </c>
      <c r="N62" s="4">
        <v>417.1</v>
      </c>
      <c r="O62" s="19" t="str">
        <f t="shared" si="4"/>
        <v>Aug-2024</v>
      </c>
      <c r="P62">
        <f t="shared" si="0"/>
        <v>2024</v>
      </c>
      <c r="Q62" t="str">
        <f t="shared" si="1"/>
        <v>OK</v>
      </c>
      <c r="R62">
        <v>1</v>
      </c>
      <c r="S62">
        <f t="shared" si="2"/>
        <v>0</v>
      </c>
      <c r="T62">
        <f t="shared" si="3"/>
        <v>1</v>
      </c>
    </row>
    <row r="63" spans="1:20">
      <c r="A63" t="s">
        <v>285</v>
      </c>
      <c r="B63" s="3">
        <v>45375</v>
      </c>
      <c r="C63" t="s">
        <v>286</v>
      </c>
      <c r="D63" t="s">
        <v>79</v>
      </c>
      <c r="E63">
        <v>4</v>
      </c>
      <c r="F63" s="4">
        <v>122.2</v>
      </c>
      <c r="G63" t="s">
        <v>287</v>
      </c>
      <c r="H63" t="s">
        <v>71</v>
      </c>
      <c r="I63" t="s">
        <v>56</v>
      </c>
      <c r="J63" t="s">
        <v>288</v>
      </c>
      <c r="K63">
        <v>7</v>
      </c>
      <c r="L63" t="s">
        <v>43</v>
      </c>
      <c r="M63" t="s">
        <v>51</v>
      </c>
      <c r="N63" s="4">
        <v>488.8</v>
      </c>
      <c r="O63" s="19" t="str">
        <f t="shared" si="4"/>
        <v>Mar-2024</v>
      </c>
      <c r="P63">
        <f t="shared" si="0"/>
        <v>2024</v>
      </c>
      <c r="Q63" t="str">
        <f t="shared" si="1"/>
        <v>OK</v>
      </c>
      <c r="R63">
        <v>1</v>
      </c>
      <c r="S63">
        <f t="shared" si="2"/>
        <v>0</v>
      </c>
      <c r="T63">
        <f t="shared" si="3"/>
        <v>0</v>
      </c>
    </row>
    <row r="64" spans="1:20">
      <c r="A64" t="s">
        <v>289</v>
      </c>
      <c r="B64" s="3">
        <v>45160</v>
      </c>
      <c r="C64" t="s">
        <v>290</v>
      </c>
      <c r="D64" t="s">
        <v>79</v>
      </c>
      <c r="E64">
        <v>2</v>
      </c>
      <c r="F64" s="4">
        <v>43.15</v>
      </c>
      <c r="G64" t="s">
        <v>291</v>
      </c>
      <c r="H64" t="s">
        <v>24</v>
      </c>
      <c r="I64" t="s">
        <v>95</v>
      </c>
      <c r="J64" t="s">
        <v>292</v>
      </c>
      <c r="K64">
        <v>3</v>
      </c>
      <c r="L64" t="s">
        <v>87</v>
      </c>
      <c r="M64" t="s">
        <v>44</v>
      </c>
      <c r="N64" s="4">
        <v>86.3</v>
      </c>
      <c r="O64" s="19" t="str">
        <f t="shared" si="4"/>
        <v>Aug-2023</v>
      </c>
      <c r="P64">
        <f t="shared" si="0"/>
        <v>2023</v>
      </c>
      <c r="Q64" t="str">
        <f t="shared" si="1"/>
        <v>OK</v>
      </c>
      <c r="R64">
        <v>1</v>
      </c>
      <c r="S64">
        <f t="shared" si="2"/>
        <v>0</v>
      </c>
      <c r="T64">
        <f t="shared" si="3"/>
        <v>0</v>
      </c>
    </row>
    <row r="65" spans="1:20">
      <c r="A65" t="s">
        <v>293</v>
      </c>
      <c r="B65" s="3">
        <v>45690</v>
      </c>
      <c r="C65" t="s">
        <v>294</v>
      </c>
      <c r="D65" t="s">
        <v>47</v>
      </c>
      <c r="E65">
        <v>1</v>
      </c>
      <c r="F65" s="4">
        <v>564.86</v>
      </c>
      <c r="G65" t="s">
        <v>295</v>
      </c>
      <c r="H65" t="s">
        <v>24</v>
      </c>
      <c r="I65" t="s">
        <v>25</v>
      </c>
      <c r="J65" t="s">
        <v>296</v>
      </c>
      <c r="K65">
        <v>6</v>
      </c>
      <c r="L65" t="s">
        <v>87</v>
      </c>
      <c r="M65" t="s">
        <v>35</v>
      </c>
      <c r="N65" s="4">
        <v>564.86</v>
      </c>
      <c r="O65" s="19" t="str">
        <f t="shared" si="4"/>
        <v>Feb-2025</v>
      </c>
      <c r="P65">
        <f t="shared" si="0"/>
        <v>2025</v>
      </c>
      <c r="Q65" t="str">
        <f t="shared" si="1"/>
        <v>OK</v>
      </c>
      <c r="R65">
        <v>1</v>
      </c>
      <c r="S65">
        <f t="shared" si="2"/>
        <v>0</v>
      </c>
      <c r="T65">
        <f t="shared" si="3"/>
        <v>0</v>
      </c>
    </row>
    <row r="66" spans="1:20">
      <c r="A66" t="s">
        <v>297</v>
      </c>
      <c r="B66" s="3">
        <v>45833</v>
      </c>
      <c r="C66" t="s">
        <v>298</v>
      </c>
      <c r="D66" t="s">
        <v>54</v>
      </c>
      <c r="E66">
        <v>3</v>
      </c>
      <c r="F66" s="4">
        <v>130.61000000000001</v>
      </c>
      <c r="G66" t="s">
        <v>299</v>
      </c>
      <c r="H66" t="s">
        <v>24</v>
      </c>
      <c r="I66" t="s">
        <v>41</v>
      </c>
      <c r="J66" t="s">
        <v>300</v>
      </c>
      <c r="K66">
        <v>4</v>
      </c>
      <c r="L66" t="s">
        <v>43</v>
      </c>
      <c r="M66" t="s">
        <v>51</v>
      </c>
      <c r="N66" s="4">
        <v>391.83</v>
      </c>
      <c r="O66" s="19" t="str">
        <f t="shared" ref="O66:O129" si="5">TEXT(B66,"mmm-yyyy")</f>
        <v>Jun-2025</v>
      </c>
      <c r="P66">
        <f t="shared" ref="P66:P129" si="6">YEAR(B66)</f>
        <v>2025</v>
      </c>
      <c r="Q66" t="str">
        <f t="shared" ref="Q66:Q129" si="7">IF(ABS(N66-(E66*F66))&lt;0.01,"OK","CHECK")</f>
        <v>OK</v>
      </c>
      <c r="R66">
        <v>1</v>
      </c>
      <c r="S66">
        <f t="shared" ref="S66:S129" si="8">IF(I66="Cancelled",1,0)</f>
        <v>1</v>
      </c>
      <c r="T66">
        <f t="shared" ref="T66:T129" si="9">IF(I66="Returned",1,0)</f>
        <v>0</v>
      </c>
    </row>
    <row r="67" spans="1:20">
      <c r="A67" t="s">
        <v>301</v>
      </c>
      <c r="B67" s="3">
        <v>45290</v>
      </c>
      <c r="C67" t="s">
        <v>302</v>
      </c>
      <c r="D67" t="s">
        <v>22</v>
      </c>
      <c r="E67">
        <v>5</v>
      </c>
      <c r="F67" s="4">
        <v>81.7</v>
      </c>
      <c r="G67" t="s">
        <v>303</v>
      </c>
      <c r="H67" t="s">
        <v>40</v>
      </c>
      <c r="I67" t="s">
        <v>56</v>
      </c>
      <c r="J67" t="s">
        <v>304</v>
      </c>
      <c r="K67">
        <v>6</v>
      </c>
      <c r="M67" t="s">
        <v>28</v>
      </c>
      <c r="N67" s="4">
        <v>408.5</v>
      </c>
      <c r="O67" s="19" t="str">
        <f t="shared" si="5"/>
        <v>Dec-2023</v>
      </c>
      <c r="P67">
        <f t="shared" si="6"/>
        <v>2023</v>
      </c>
      <c r="Q67" t="str">
        <f t="shared" si="7"/>
        <v>OK</v>
      </c>
      <c r="R67">
        <v>1</v>
      </c>
      <c r="S67">
        <f t="shared" si="8"/>
        <v>0</v>
      </c>
      <c r="T67">
        <f t="shared" si="9"/>
        <v>0</v>
      </c>
    </row>
    <row r="68" spans="1:20">
      <c r="A68" t="s">
        <v>305</v>
      </c>
      <c r="B68" s="3">
        <v>45611</v>
      </c>
      <c r="C68" t="s">
        <v>306</v>
      </c>
      <c r="D68" t="s">
        <v>47</v>
      </c>
      <c r="E68">
        <v>5</v>
      </c>
      <c r="F68" s="4">
        <v>127.18</v>
      </c>
      <c r="G68" t="s">
        <v>307</v>
      </c>
      <c r="H68" t="s">
        <v>71</v>
      </c>
      <c r="I68" t="s">
        <v>41</v>
      </c>
      <c r="J68" t="s">
        <v>308</v>
      </c>
      <c r="K68">
        <v>9</v>
      </c>
      <c r="L68" t="s">
        <v>27</v>
      </c>
      <c r="M68" t="s">
        <v>35</v>
      </c>
      <c r="N68" s="4">
        <v>635.90000000000009</v>
      </c>
      <c r="O68" s="19" t="str">
        <f t="shared" si="5"/>
        <v>Nov-2024</v>
      </c>
      <c r="P68">
        <f t="shared" si="6"/>
        <v>2024</v>
      </c>
      <c r="Q68" t="str">
        <f t="shared" si="7"/>
        <v>OK</v>
      </c>
      <c r="R68">
        <v>1</v>
      </c>
      <c r="S68">
        <f t="shared" si="8"/>
        <v>1</v>
      </c>
      <c r="T68">
        <f t="shared" si="9"/>
        <v>0</v>
      </c>
    </row>
    <row r="69" spans="1:20">
      <c r="A69" t="s">
        <v>309</v>
      </c>
      <c r="B69" s="3">
        <v>45635</v>
      </c>
      <c r="C69" t="s">
        <v>310</v>
      </c>
      <c r="D69" t="s">
        <v>54</v>
      </c>
      <c r="E69">
        <v>4</v>
      </c>
      <c r="F69" s="4">
        <v>12.1</v>
      </c>
      <c r="G69" t="s">
        <v>311</v>
      </c>
      <c r="H69" t="s">
        <v>24</v>
      </c>
      <c r="I69" t="s">
        <v>41</v>
      </c>
      <c r="J69" t="s">
        <v>312</v>
      </c>
      <c r="K69">
        <v>8</v>
      </c>
      <c r="M69" t="s">
        <v>82</v>
      </c>
      <c r="N69" s="4">
        <v>48.4</v>
      </c>
      <c r="O69" s="19" t="str">
        <f t="shared" si="5"/>
        <v>Dec-2024</v>
      </c>
      <c r="P69">
        <f t="shared" si="6"/>
        <v>2024</v>
      </c>
      <c r="Q69" t="str">
        <f t="shared" si="7"/>
        <v>OK</v>
      </c>
      <c r="R69">
        <v>1</v>
      </c>
      <c r="S69">
        <f t="shared" si="8"/>
        <v>1</v>
      </c>
      <c r="T69">
        <f t="shared" si="9"/>
        <v>0</v>
      </c>
    </row>
    <row r="70" spans="1:20">
      <c r="A70" t="s">
        <v>313</v>
      </c>
      <c r="B70" s="3">
        <v>45271</v>
      </c>
      <c r="C70" t="s">
        <v>314</v>
      </c>
      <c r="D70" t="s">
        <v>47</v>
      </c>
      <c r="E70">
        <v>3</v>
      </c>
      <c r="F70" s="4">
        <v>490.92</v>
      </c>
      <c r="G70" t="s">
        <v>147</v>
      </c>
      <c r="H70" t="s">
        <v>40</v>
      </c>
      <c r="I70" t="s">
        <v>95</v>
      </c>
      <c r="J70" t="s">
        <v>315</v>
      </c>
      <c r="K70">
        <v>5</v>
      </c>
      <c r="L70" t="s">
        <v>43</v>
      </c>
      <c r="M70" t="s">
        <v>44</v>
      </c>
      <c r="N70" s="4">
        <v>1472.76</v>
      </c>
      <c r="O70" s="19" t="str">
        <f t="shared" si="5"/>
        <v>Dec-2023</v>
      </c>
      <c r="P70">
        <f t="shared" si="6"/>
        <v>2023</v>
      </c>
      <c r="Q70" t="str">
        <f t="shared" si="7"/>
        <v>OK</v>
      </c>
      <c r="R70">
        <v>1</v>
      </c>
      <c r="S70">
        <f t="shared" si="8"/>
        <v>0</v>
      </c>
      <c r="T70">
        <f t="shared" si="9"/>
        <v>0</v>
      </c>
    </row>
    <row r="71" spans="1:20">
      <c r="A71" t="s">
        <v>316</v>
      </c>
      <c r="B71" s="3">
        <v>45057</v>
      </c>
      <c r="C71" t="s">
        <v>317</v>
      </c>
      <c r="D71" t="s">
        <v>22</v>
      </c>
      <c r="E71">
        <v>3</v>
      </c>
      <c r="F71" s="4">
        <v>478.65</v>
      </c>
      <c r="G71" t="s">
        <v>318</v>
      </c>
      <c r="H71" t="s">
        <v>33</v>
      </c>
      <c r="I71" t="s">
        <v>25</v>
      </c>
      <c r="J71" t="s">
        <v>319</v>
      </c>
      <c r="K71">
        <v>4</v>
      </c>
      <c r="M71" t="s">
        <v>35</v>
      </c>
      <c r="N71" s="4">
        <v>1435.95</v>
      </c>
      <c r="O71" s="19" t="str">
        <f t="shared" si="5"/>
        <v>May-2023</v>
      </c>
      <c r="P71">
        <f t="shared" si="6"/>
        <v>2023</v>
      </c>
      <c r="Q71" t="str">
        <f t="shared" si="7"/>
        <v>OK</v>
      </c>
      <c r="R71">
        <v>1</v>
      </c>
      <c r="S71">
        <f t="shared" si="8"/>
        <v>0</v>
      </c>
      <c r="T71">
        <f t="shared" si="9"/>
        <v>0</v>
      </c>
    </row>
    <row r="72" spans="1:20">
      <c r="A72" t="s">
        <v>320</v>
      </c>
      <c r="B72" s="3">
        <v>45072</v>
      </c>
      <c r="C72" t="s">
        <v>321</v>
      </c>
      <c r="D72" t="s">
        <v>79</v>
      </c>
      <c r="E72">
        <v>1</v>
      </c>
      <c r="F72" s="4">
        <v>629.21</v>
      </c>
      <c r="G72" t="s">
        <v>322</v>
      </c>
      <c r="H72" t="s">
        <v>66</v>
      </c>
      <c r="I72" t="s">
        <v>95</v>
      </c>
      <c r="J72" t="s">
        <v>323</v>
      </c>
      <c r="K72">
        <v>2</v>
      </c>
      <c r="L72" t="s">
        <v>43</v>
      </c>
      <c r="M72" t="s">
        <v>28</v>
      </c>
      <c r="N72" s="4">
        <v>629.21</v>
      </c>
      <c r="O72" s="19" t="str">
        <f t="shared" si="5"/>
        <v>May-2023</v>
      </c>
      <c r="P72">
        <f t="shared" si="6"/>
        <v>2023</v>
      </c>
      <c r="Q72" t="str">
        <f t="shared" si="7"/>
        <v>OK</v>
      </c>
      <c r="R72">
        <v>1</v>
      </c>
      <c r="S72">
        <f t="shared" si="8"/>
        <v>0</v>
      </c>
      <c r="T72">
        <f t="shared" si="9"/>
        <v>0</v>
      </c>
    </row>
    <row r="73" spans="1:20">
      <c r="A73" t="s">
        <v>324</v>
      </c>
      <c r="B73" s="3">
        <v>45818</v>
      </c>
      <c r="C73" t="s">
        <v>325</v>
      </c>
      <c r="D73" t="s">
        <v>22</v>
      </c>
      <c r="E73">
        <v>3</v>
      </c>
      <c r="F73" s="4">
        <v>434.45</v>
      </c>
      <c r="G73" t="s">
        <v>326</v>
      </c>
      <c r="H73" t="s">
        <v>40</v>
      </c>
      <c r="I73" t="s">
        <v>95</v>
      </c>
      <c r="J73" t="s">
        <v>327</v>
      </c>
      <c r="K73">
        <v>4</v>
      </c>
      <c r="M73" t="s">
        <v>35</v>
      </c>
      <c r="N73" s="4">
        <v>1303.3499999999999</v>
      </c>
      <c r="O73" s="19" t="str">
        <f t="shared" si="5"/>
        <v>Jun-2025</v>
      </c>
      <c r="P73">
        <f t="shared" si="6"/>
        <v>2025</v>
      </c>
      <c r="Q73" t="str">
        <f t="shared" si="7"/>
        <v>OK</v>
      </c>
      <c r="R73">
        <v>1</v>
      </c>
      <c r="S73">
        <f t="shared" si="8"/>
        <v>0</v>
      </c>
      <c r="T73">
        <f t="shared" si="9"/>
        <v>0</v>
      </c>
    </row>
    <row r="74" spans="1:20">
      <c r="A74" t="s">
        <v>328</v>
      </c>
      <c r="B74" s="3">
        <v>45648</v>
      </c>
      <c r="C74" t="s">
        <v>329</v>
      </c>
      <c r="D74" t="s">
        <v>38</v>
      </c>
      <c r="E74">
        <v>4</v>
      </c>
      <c r="F74" s="4">
        <v>589.44000000000005</v>
      </c>
      <c r="G74" t="s">
        <v>107</v>
      </c>
      <c r="H74" t="s">
        <v>66</v>
      </c>
      <c r="I74" t="s">
        <v>49</v>
      </c>
      <c r="J74" t="s">
        <v>330</v>
      </c>
      <c r="K74">
        <v>5</v>
      </c>
      <c r="M74" t="s">
        <v>51</v>
      </c>
      <c r="N74" s="4">
        <v>2357.7600000000002</v>
      </c>
      <c r="O74" s="19" t="str">
        <f t="shared" si="5"/>
        <v>Dec-2024</v>
      </c>
      <c r="P74">
        <f t="shared" si="6"/>
        <v>2024</v>
      </c>
      <c r="Q74" t="str">
        <f t="shared" si="7"/>
        <v>OK</v>
      </c>
      <c r="R74">
        <v>1</v>
      </c>
      <c r="S74">
        <f t="shared" si="8"/>
        <v>0</v>
      </c>
      <c r="T74">
        <f t="shared" si="9"/>
        <v>1</v>
      </c>
    </row>
    <row r="75" spans="1:20">
      <c r="A75" t="s">
        <v>331</v>
      </c>
      <c r="B75" s="3">
        <v>45049</v>
      </c>
      <c r="C75" t="s">
        <v>332</v>
      </c>
      <c r="D75" t="s">
        <v>22</v>
      </c>
      <c r="E75">
        <v>4</v>
      </c>
      <c r="F75" s="4">
        <v>433.45</v>
      </c>
      <c r="G75" t="s">
        <v>333</v>
      </c>
      <c r="H75" t="s">
        <v>66</v>
      </c>
      <c r="I75" t="s">
        <v>41</v>
      </c>
      <c r="J75" t="s">
        <v>334</v>
      </c>
      <c r="K75">
        <v>4</v>
      </c>
      <c r="M75" t="s">
        <v>51</v>
      </c>
      <c r="N75" s="4">
        <v>1733.8</v>
      </c>
      <c r="O75" s="19" t="str">
        <f t="shared" si="5"/>
        <v>May-2023</v>
      </c>
      <c r="P75">
        <f t="shared" si="6"/>
        <v>2023</v>
      </c>
      <c r="Q75" t="str">
        <f t="shared" si="7"/>
        <v>OK</v>
      </c>
      <c r="R75">
        <v>1</v>
      </c>
      <c r="S75">
        <f t="shared" si="8"/>
        <v>1</v>
      </c>
      <c r="T75">
        <f t="shared" si="9"/>
        <v>0</v>
      </c>
    </row>
    <row r="76" spans="1:20">
      <c r="A76" t="s">
        <v>335</v>
      </c>
      <c r="B76" s="3">
        <v>45101</v>
      </c>
      <c r="C76" t="s">
        <v>336</v>
      </c>
      <c r="D76" t="s">
        <v>31</v>
      </c>
      <c r="E76">
        <v>5</v>
      </c>
      <c r="F76" s="4">
        <v>90.87</v>
      </c>
      <c r="G76" t="s">
        <v>337</v>
      </c>
      <c r="H76" t="s">
        <v>71</v>
      </c>
      <c r="I76" t="s">
        <v>95</v>
      </c>
      <c r="J76" t="s">
        <v>338</v>
      </c>
      <c r="K76">
        <v>5</v>
      </c>
      <c r="M76" t="s">
        <v>28</v>
      </c>
      <c r="N76" s="4">
        <v>454.35</v>
      </c>
      <c r="O76" s="19" t="str">
        <f t="shared" si="5"/>
        <v>Jun-2023</v>
      </c>
      <c r="P76">
        <f t="shared" si="6"/>
        <v>2023</v>
      </c>
      <c r="Q76" t="str">
        <f t="shared" si="7"/>
        <v>OK</v>
      </c>
      <c r="R76">
        <v>1</v>
      </c>
      <c r="S76">
        <f t="shared" si="8"/>
        <v>0</v>
      </c>
      <c r="T76">
        <f t="shared" si="9"/>
        <v>0</v>
      </c>
    </row>
    <row r="77" spans="1:20">
      <c r="A77" t="s">
        <v>339</v>
      </c>
      <c r="B77" s="3">
        <v>45195</v>
      </c>
      <c r="C77" t="s">
        <v>340</v>
      </c>
      <c r="D77" t="s">
        <v>38</v>
      </c>
      <c r="E77">
        <v>3</v>
      </c>
      <c r="F77" s="4">
        <v>398.17</v>
      </c>
      <c r="G77" t="s">
        <v>341</v>
      </c>
      <c r="H77" t="s">
        <v>24</v>
      </c>
      <c r="I77" t="s">
        <v>56</v>
      </c>
      <c r="J77" t="s">
        <v>342</v>
      </c>
      <c r="K77">
        <v>5</v>
      </c>
      <c r="L77" t="s">
        <v>27</v>
      </c>
      <c r="M77" t="s">
        <v>44</v>
      </c>
      <c r="N77" s="4">
        <v>1194.51</v>
      </c>
      <c r="O77" s="19" t="str">
        <f t="shared" si="5"/>
        <v>Sep-2023</v>
      </c>
      <c r="P77">
        <f t="shared" si="6"/>
        <v>2023</v>
      </c>
      <c r="Q77" t="str">
        <f t="shared" si="7"/>
        <v>OK</v>
      </c>
      <c r="R77">
        <v>1</v>
      </c>
      <c r="S77">
        <f t="shared" si="8"/>
        <v>0</v>
      </c>
      <c r="T77">
        <f t="shared" si="9"/>
        <v>0</v>
      </c>
    </row>
    <row r="78" spans="1:20">
      <c r="A78" t="s">
        <v>343</v>
      </c>
      <c r="B78" s="3">
        <v>45382</v>
      </c>
      <c r="C78" t="s">
        <v>344</v>
      </c>
      <c r="D78" t="s">
        <v>64</v>
      </c>
      <c r="E78">
        <v>4</v>
      </c>
      <c r="F78" s="4">
        <v>382.88</v>
      </c>
      <c r="G78" t="s">
        <v>345</v>
      </c>
      <c r="H78" t="s">
        <v>71</v>
      </c>
      <c r="I78" t="s">
        <v>41</v>
      </c>
      <c r="J78" t="s">
        <v>346</v>
      </c>
      <c r="K78">
        <v>6</v>
      </c>
      <c r="L78" t="s">
        <v>87</v>
      </c>
      <c r="M78" t="s">
        <v>44</v>
      </c>
      <c r="N78" s="4">
        <v>1531.52</v>
      </c>
      <c r="O78" s="19" t="str">
        <f t="shared" si="5"/>
        <v>Mar-2024</v>
      </c>
      <c r="P78">
        <f t="shared" si="6"/>
        <v>2024</v>
      </c>
      <c r="Q78" t="str">
        <f t="shared" si="7"/>
        <v>OK</v>
      </c>
      <c r="R78">
        <v>1</v>
      </c>
      <c r="S78">
        <f t="shared" si="8"/>
        <v>1</v>
      </c>
      <c r="T78">
        <f t="shared" si="9"/>
        <v>0</v>
      </c>
    </row>
    <row r="79" spans="1:20">
      <c r="A79" t="s">
        <v>347</v>
      </c>
      <c r="B79" s="3">
        <v>45436</v>
      </c>
      <c r="C79" t="s">
        <v>348</v>
      </c>
      <c r="D79" t="s">
        <v>31</v>
      </c>
      <c r="E79">
        <v>1</v>
      </c>
      <c r="F79" s="4">
        <v>583.17999999999995</v>
      </c>
      <c r="G79" t="s">
        <v>349</v>
      </c>
      <c r="H79" t="s">
        <v>40</v>
      </c>
      <c r="I79" t="s">
        <v>49</v>
      </c>
      <c r="J79" t="s">
        <v>350</v>
      </c>
      <c r="K79">
        <v>5</v>
      </c>
      <c r="M79" t="s">
        <v>82</v>
      </c>
      <c r="N79" s="4">
        <v>583.17999999999995</v>
      </c>
      <c r="O79" s="19" t="str">
        <f t="shared" si="5"/>
        <v>May-2024</v>
      </c>
      <c r="P79">
        <f t="shared" si="6"/>
        <v>2024</v>
      </c>
      <c r="Q79" t="str">
        <f t="shared" si="7"/>
        <v>OK</v>
      </c>
      <c r="R79">
        <v>1</v>
      </c>
      <c r="S79">
        <f t="shared" si="8"/>
        <v>0</v>
      </c>
      <c r="T79">
        <f t="shared" si="9"/>
        <v>1</v>
      </c>
    </row>
    <row r="80" spans="1:20">
      <c r="A80" t="s">
        <v>351</v>
      </c>
      <c r="B80" s="3">
        <v>45510</v>
      </c>
      <c r="C80" t="s">
        <v>352</v>
      </c>
      <c r="D80" t="s">
        <v>54</v>
      </c>
      <c r="E80">
        <v>4</v>
      </c>
      <c r="F80" s="4">
        <v>175.36</v>
      </c>
      <c r="G80" t="s">
        <v>353</v>
      </c>
      <c r="H80" t="s">
        <v>24</v>
      </c>
      <c r="I80" t="s">
        <v>56</v>
      </c>
      <c r="J80" t="s">
        <v>354</v>
      </c>
      <c r="K80">
        <v>4</v>
      </c>
      <c r="L80" t="s">
        <v>43</v>
      </c>
      <c r="M80" t="s">
        <v>28</v>
      </c>
      <c r="N80" s="4">
        <v>701.44</v>
      </c>
      <c r="O80" s="19" t="str">
        <f t="shared" si="5"/>
        <v>Aug-2024</v>
      </c>
      <c r="P80">
        <f t="shared" si="6"/>
        <v>2024</v>
      </c>
      <c r="Q80" t="str">
        <f t="shared" si="7"/>
        <v>OK</v>
      </c>
      <c r="R80">
        <v>1</v>
      </c>
      <c r="S80">
        <f t="shared" si="8"/>
        <v>0</v>
      </c>
      <c r="T80">
        <f t="shared" si="9"/>
        <v>0</v>
      </c>
    </row>
    <row r="81" spans="1:20">
      <c r="A81" t="s">
        <v>355</v>
      </c>
      <c r="B81" s="3">
        <v>45726</v>
      </c>
      <c r="C81" t="s">
        <v>356</v>
      </c>
      <c r="D81" t="s">
        <v>38</v>
      </c>
      <c r="E81">
        <v>2</v>
      </c>
      <c r="F81" s="4">
        <v>311.91000000000003</v>
      </c>
      <c r="G81" t="s">
        <v>357</v>
      </c>
      <c r="H81" t="s">
        <v>33</v>
      </c>
      <c r="I81" t="s">
        <v>25</v>
      </c>
      <c r="J81" t="s">
        <v>358</v>
      </c>
      <c r="K81">
        <v>2</v>
      </c>
      <c r="M81" t="s">
        <v>51</v>
      </c>
      <c r="N81" s="4">
        <v>623.82000000000005</v>
      </c>
      <c r="O81" s="19" t="str">
        <f t="shared" si="5"/>
        <v>Mar-2025</v>
      </c>
      <c r="P81">
        <f t="shared" si="6"/>
        <v>2025</v>
      </c>
      <c r="Q81" t="str">
        <f t="shared" si="7"/>
        <v>OK</v>
      </c>
      <c r="R81">
        <v>1</v>
      </c>
      <c r="S81">
        <f t="shared" si="8"/>
        <v>0</v>
      </c>
      <c r="T81">
        <f t="shared" si="9"/>
        <v>0</v>
      </c>
    </row>
    <row r="82" spans="1:20">
      <c r="A82" t="s">
        <v>359</v>
      </c>
      <c r="B82" s="3">
        <v>45104</v>
      </c>
      <c r="C82" t="s">
        <v>360</v>
      </c>
      <c r="D82" t="s">
        <v>31</v>
      </c>
      <c r="E82">
        <v>3</v>
      </c>
      <c r="F82" s="4">
        <v>589.55999999999995</v>
      </c>
      <c r="G82" t="s">
        <v>361</v>
      </c>
      <c r="H82" t="s">
        <v>33</v>
      </c>
      <c r="I82" t="s">
        <v>49</v>
      </c>
      <c r="J82" t="s">
        <v>362</v>
      </c>
      <c r="K82">
        <v>6</v>
      </c>
      <c r="M82" t="s">
        <v>51</v>
      </c>
      <c r="N82" s="4">
        <v>1768.68</v>
      </c>
      <c r="O82" s="19" t="str">
        <f t="shared" si="5"/>
        <v>Jun-2023</v>
      </c>
      <c r="P82">
        <f t="shared" si="6"/>
        <v>2023</v>
      </c>
      <c r="Q82" t="str">
        <f t="shared" si="7"/>
        <v>OK</v>
      </c>
      <c r="R82">
        <v>1</v>
      </c>
      <c r="S82">
        <f t="shared" si="8"/>
        <v>0</v>
      </c>
      <c r="T82">
        <f t="shared" si="9"/>
        <v>1</v>
      </c>
    </row>
    <row r="83" spans="1:20">
      <c r="A83" t="s">
        <v>363</v>
      </c>
      <c r="B83" s="3">
        <v>45085</v>
      </c>
      <c r="C83" t="s">
        <v>364</v>
      </c>
      <c r="D83" t="s">
        <v>22</v>
      </c>
      <c r="E83">
        <v>2</v>
      </c>
      <c r="F83" s="4">
        <v>394.3</v>
      </c>
      <c r="G83" t="s">
        <v>365</v>
      </c>
      <c r="H83" t="s">
        <v>71</v>
      </c>
      <c r="I83" t="s">
        <v>25</v>
      </c>
      <c r="J83" t="s">
        <v>366</v>
      </c>
      <c r="K83">
        <v>6</v>
      </c>
      <c r="L83" t="s">
        <v>43</v>
      </c>
      <c r="M83" t="s">
        <v>44</v>
      </c>
      <c r="N83" s="4">
        <v>788.6</v>
      </c>
      <c r="O83" s="19" t="str">
        <f t="shared" si="5"/>
        <v>Jun-2023</v>
      </c>
      <c r="P83">
        <f t="shared" si="6"/>
        <v>2023</v>
      </c>
      <c r="Q83" t="str">
        <f t="shared" si="7"/>
        <v>OK</v>
      </c>
      <c r="R83">
        <v>1</v>
      </c>
      <c r="S83">
        <f t="shared" si="8"/>
        <v>0</v>
      </c>
      <c r="T83">
        <f t="shared" si="9"/>
        <v>0</v>
      </c>
    </row>
    <row r="84" spans="1:20">
      <c r="A84" t="s">
        <v>367</v>
      </c>
      <c r="B84" s="3">
        <v>45296</v>
      </c>
      <c r="C84" t="s">
        <v>368</v>
      </c>
      <c r="D84" t="s">
        <v>38</v>
      </c>
      <c r="E84">
        <v>4</v>
      </c>
      <c r="F84" s="4">
        <v>565.20000000000005</v>
      </c>
      <c r="G84" t="s">
        <v>369</v>
      </c>
      <c r="H84" t="s">
        <v>24</v>
      </c>
      <c r="I84" t="s">
        <v>25</v>
      </c>
      <c r="J84" t="s">
        <v>370</v>
      </c>
      <c r="K84">
        <v>9</v>
      </c>
      <c r="L84" t="s">
        <v>27</v>
      </c>
      <c r="M84" t="s">
        <v>82</v>
      </c>
      <c r="N84" s="4">
        <v>2260.8000000000002</v>
      </c>
      <c r="O84" s="19" t="str">
        <f t="shared" si="5"/>
        <v>Jan-2024</v>
      </c>
      <c r="P84">
        <f t="shared" si="6"/>
        <v>2024</v>
      </c>
      <c r="Q84" t="str">
        <f t="shared" si="7"/>
        <v>OK</v>
      </c>
      <c r="R84">
        <v>1</v>
      </c>
      <c r="S84">
        <f t="shared" si="8"/>
        <v>0</v>
      </c>
      <c r="T84">
        <f t="shared" si="9"/>
        <v>0</v>
      </c>
    </row>
    <row r="85" spans="1:20">
      <c r="A85" t="s">
        <v>371</v>
      </c>
      <c r="B85" s="3">
        <v>45160</v>
      </c>
      <c r="C85" t="s">
        <v>372</v>
      </c>
      <c r="D85" t="s">
        <v>64</v>
      </c>
      <c r="E85">
        <v>4</v>
      </c>
      <c r="F85" s="4">
        <v>540.41</v>
      </c>
      <c r="G85" t="s">
        <v>373</v>
      </c>
      <c r="H85" t="s">
        <v>40</v>
      </c>
      <c r="I85" t="s">
        <v>41</v>
      </c>
      <c r="J85" t="s">
        <v>374</v>
      </c>
      <c r="K85">
        <v>6</v>
      </c>
      <c r="M85" t="s">
        <v>35</v>
      </c>
      <c r="N85" s="4">
        <v>2161.64</v>
      </c>
      <c r="O85" s="19" t="str">
        <f t="shared" si="5"/>
        <v>Aug-2023</v>
      </c>
      <c r="P85">
        <f t="shared" si="6"/>
        <v>2023</v>
      </c>
      <c r="Q85" t="str">
        <f t="shared" si="7"/>
        <v>OK</v>
      </c>
      <c r="R85">
        <v>1</v>
      </c>
      <c r="S85">
        <f t="shared" si="8"/>
        <v>1</v>
      </c>
      <c r="T85">
        <f t="shared" si="9"/>
        <v>0</v>
      </c>
    </row>
    <row r="86" spans="1:20">
      <c r="A86" t="s">
        <v>375</v>
      </c>
      <c r="B86" s="3">
        <v>45166</v>
      </c>
      <c r="C86" t="s">
        <v>376</v>
      </c>
      <c r="D86" t="s">
        <v>22</v>
      </c>
      <c r="E86">
        <v>2</v>
      </c>
      <c r="F86" s="4">
        <v>165.49</v>
      </c>
      <c r="G86" t="s">
        <v>377</v>
      </c>
      <c r="H86" t="s">
        <v>33</v>
      </c>
      <c r="I86" t="s">
        <v>25</v>
      </c>
      <c r="J86" t="s">
        <v>378</v>
      </c>
      <c r="K86">
        <v>4</v>
      </c>
      <c r="L86" t="s">
        <v>87</v>
      </c>
      <c r="M86" t="s">
        <v>28</v>
      </c>
      <c r="N86" s="4">
        <v>330.98</v>
      </c>
      <c r="O86" s="19" t="str">
        <f t="shared" si="5"/>
        <v>Aug-2023</v>
      </c>
      <c r="P86">
        <f t="shared" si="6"/>
        <v>2023</v>
      </c>
      <c r="Q86" t="str">
        <f t="shared" si="7"/>
        <v>OK</v>
      </c>
      <c r="R86">
        <v>1</v>
      </c>
      <c r="S86">
        <f t="shared" si="8"/>
        <v>0</v>
      </c>
      <c r="T86">
        <f t="shared" si="9"/>
        <v>0</v>
      </c>
    </row>
    <row r="87" spans="1:20">
      <c r="A87" t="s">
        <v>379</v>
      </c>
      <c r="B87" s="3">
        <v>45544</v>
      </c>
      <c r="C87" t="s">
        <v>380</v>
      </c>
      <c r="D87" t="s">
        <v>38</v>
      </c>
      <c r="E87">
        <v>3</v>
      </c>
      <c r="F87" s="4">
        <v>146.72999999999999</v>
      </c>
      <c r="G87" t="s">
        <v>381</v>
      </c>
      <c r="H87" t="s">
        <v>71</v>
      </c>
      <c r="I87" t="s">
        <v>56</v>
      </c>
      <c r="J87" t="s">
        <v>382</v>
      </c>
      <c r="K87">
        <v>8</v>
      </c>
      <c r="L87" t="s">
        <v>43</v>
      </c>
      <c r="M87" t="s">
        <v>44</v>
      </c>
      <c r="N87" s="4">
        <v>440.18999999999988</v>
      </c>
      <c r="O87" s="19" t="str">
        <f t="shared" si="5"/>
        <v>Sep-2024</v>
      </c>
      <c r="P87">
        <f t="shared" si="6"/>
        <v>2024</v>
      </c>
      <c r="Q87" t="str">
        <f t="shared" si="7"/>
        <v>OK</v>
      </c>
      <c r="R87">
        <v>1</v>
      </c>
      <c r="S87">
        <f t="shared" si="8"/>
        <v>0</v>
      </c>
      <c r="T87">
        <f t="shared" si="9"/>
        <v>0</v>
      </c>
    </row>
    <row r="88" spans="1:20">
      <c r="A88" t="s">
        <v>383</v>
      </c>
      <c r="B88" s="3">
        <v>45462</v>
      </c>
      <c r="C88" t="s">
        <v>384</v>
      </c>
      <c r="D88" t="s">
        <v>54</v>
      </c>
      <c r="E88">
        <v>5</v>
      </c>
      <c r="F88" s="4">
        <v>643.03</v>
      </c>
      <c r="G88" t="s">
        <v>385</v>
      </c>
      <c r="H88" t="s">
        <v>33</v>
      </c>
      <c r="I88" t="s">
        <v>41</v>
      </c>
      <c r="J88" t="s">
        <v>386</v>
      </c>
      <c r="K88">
        <v>5</v>
      </c>
      <c r="L88" t="s">
        <v>43</v>
      </c>
      <c r="M88" t="s">
        <v>35</v>
      </c>
      <c r="N88" s="4">
        <v>3215.15</v>
      </c>
      <c r="O88" s="19" t="str">
        <f t="shared" si="5"/>
        <v>Jun-2024</v>
      </c>
      <c r="P88">
        <f t="shared" si="6"/>
        <v>2024</v>
      </c>
      <c r="Q88" t="str">
        <f t="shared" si="7"/>
        <v>OK</v>
      </c>
      <c r="R88">
        <v>1</v>
      </c>
      <c r="S88">
        <f t="shared" si="8"/>
        <v>1</v>
      </c>
      <c r="T88">
        <f t="shared" si="9"/>
        <v>0</v>
      </c>
    </row>
    <row r="89" spans="1:20">
      <c r="A89" t="s">
        <v>387</v>
      </c>
      <c r="B89" s="3">
        <v>45575</v>
      </c>
      <c r="C89" t="s">
        <v>388</v>
      </c>
      <c r="D89" t="s">
        <v>38</v>
      </c>
      <c r="E89">
        <v>3</v>
      </c>
      <c r="F89" s="4">
        <v>225.11</v>
      </c>
      <c r="G89" t="s">
        <v>389</v>
      </c>
      <c r="H89" t="s">
        <v>71</v>
      </c>
      <c r="I89" t="s">
        <v>25</v>
      </c>
      <c r="J89" t="s">
        <v>390</v>
      </c>
      <c r="K89">
        <v>4</v>
      </c>
      <c r="L89" t="s">
        <v>27</v>
      </c>
      <c r="M89" t="s">
        <v>51</v>
      </c>
      <c r="N89" s="4">
        <v>675.33</v>
      </c>
      <c r="O89" s="19" t="str">
        <f t="shared" si="5"/>
        <v>Oct-2024</v>
      </c>
      <c r="P89">
        <f t="shared" si="6"/>
        <v>2024</v>
      </c>
      <c r="Q89" t="str">
        <f t="shared" si="7"/>
        <v>OK</v>
      </c>
      <c r="R89">
        <v>1</v>
      </c>
      <c r="S89">
        <f t="shared" si="8"/>
        <v>0</v>
      </c>
      <c r="T89">
        <f t="shared" si="9"/>
        <v>0</v>
      </c>
    </row>
    <row r="90" spans="1:20">
      <c r="A90" t="s">
        <v>391</v>
      </c>
      <c r="B90" s="3">
        <v>45813</v>
      </c>
      <c r="C90" t="s">
        <v>392</v>
      </c>
      <c r="D90" t="s">
        <v>79</v>
      </c>
      <c r="E90">
        <v>3</v>
      </c>
      <c r="F90" s="4">
        <v>114.81</v>
      </c>
      <c r="G90" t="s">
        <v>393</v>
      </c>
      <c r="H90" t="s">
        <v>66</v>
      </c>
      <c r="I90" t="s">
        <v>41</v>
      </c>
      <c r="J90" t="s">
        <v>394</v>
      </c>
      <c r="K90">
        <v>7</v>
      </c>
      <c r="M90" t="s">
        <v>82</v>
      </c>
      <c r="N90" s="4">
        <v>344.43</v>
      </c>
      <c r="O90" s="19" t="str">
        <f t="shared" si="5"/>
        <v>Jun-2025</v>
      </c>
      <c r="P90">
        <f t="shared" si="6"/>
        <v>2025</v>
      </c>
      <c r="Q90" t="str">
        <f t="shared" si="7"/>
        <v>OK</v>
      </c>
      <c r="R90">
        <v>1</v>
      </c>
      <c r="S90">
        <f t="shared" si="8"/>
        <v>1</v>
      </c>
      <c r="T90">
        <f t="shared" si="9"/>
        <v>0</v>
      </c>
    </row>
    <row r="91" spans="1:20">
      <c r="A91" t="s">
        <v>395</v>
      </c>
      <c r="B91" s="3">
        <v>45713</v>
      </c>
      <c r="C91" t="s">
        <v>396</v>
      </c>
      <c r="D91" t="s">
        <v>54</v>
      </c>
      <c r="E91">
        <v>5</v>
      </c>
      <c r="F91" s="4">
        <v>455.33</v>
      </c>
      <c r="G91" t="s">
        <v>397</v>
      </c>
      <c r="H91" t="s">
        <v>40</v>
      </c>
      <c r="I91" t="s">
        <v>41</v>
      </c>
      <c r="J91" t="s">
        <v>398</v>
      </c>
      <c r="K91">
        <v>8</v>
      </c>
      <c r="L91" t="s">
        <v>43</v>
      </c>
      <c r="M91" t="s">
        <v>82</v>
      </c>
      <c r="N91" s="4">
        <v>2276.65</v>
      </c>
      <c r="O91" s="19" t="str">
        <f t="shared" si="5"/>
        <v>Feb-2025</v>
      </c>
      <c r="P91">
        <f t="shared" si="6"/>
        <v>2025</v>
      </c>
      <c r="Q91" t="str">
        <f t="shared" si="7"/>
        <v>OK</v>
      </c>
      <c r="R91">
        <v>1</v>
      </c>
      <c r="S91">
        <f t="shared" si="8"/>
        <v>1</v>
      </c>
      <c r="T91">
        <f t="shared" si="9"/>
        <v>0</v>
      </c>
    </row>
    <row r="92" spans="1:20">
      <c r="A92" t="s">
        <v>399</v>
      </c>
      <c r="B92" s="3">
        <v>45187</v>
      </c>
      <c r="C92" t="s">
        <v>400</v>
      </c>
      <c r="D92" t="s">
        <v>47</v>
      </c>
      <c r="E92">
        <v>4</v>
      </c>
      <c r="F92" s="4">
        <v>182.08</v>
      </c>
      <c r="G92" t="s">
        <v>401</v>
      </c>
      <c r="H92" t="s">
        <v>66</v>
      </c>
      <c r="I92" t="s">
        <v>56</v>
      </c>
      <c r="J92" t="s">
        <v>402</v>
      </c>
      <c r="K92">
        <v>4</v>
      </c>
      <c r="L92" t="s">
        <v>27</v>
      </c>
      <c r="M92" t="s">
        <v>44</v>
      </c>
      <c r="N92" s="4">
        <v>728.32</v>
      </c>
      <c r="O92" s="19" t="str">
        <f t="shared" si="5"/>
        <v>Sep-2023</v>
      </c>
      <c r="P92">
        <f t="shared" si="6"/>
        <v>2023</v>
      </c>
      <c r="Q92" t="str">
        <f t="shared" si="7"/>
        <v>OK</v>
      </c>
      <c r="R92">
        <v>1</v>
      </c>
      <c r="S92">
        <f t="shared" si="8"/>
        <v>0</v>
      </c>
      <c r="T92">
        <f t="shared" si="9"/>
        <v>0</v>
      </c>
    </row>
    <row r="93" spans="1:20">
      <c r="A93" t="s">
        <v>403</v>
      </c>
      <c r="B93" s="3">
        <v>45000</v>
      </c>
      <c r="C93" t="s">
        <v>404</v>
      </c>
      <c r="D93" t="s">
        <v>64</v>
      </c>
      <c r="E93">
        <v>5</v>
      </c>
      <c r="F93" s="4">
        <v>492.75</v>
      </c>
      <c r="G93" t="s">
        <v>405</v>
      </c>
      <c r="H93" t="s">
        <v>71</v>
      </c>
      <c r="I93" t="s">
        <v>25</v>
      </c>
      <c r="J93" t="s">
        <v>406</v>
      </c>
      <c r="K93">
        <v>6</v>
      </c>
      <c r="L93" t="s">
        <v>87</v>
      </c>
      <c r="M93" t="s">
        <v>35</v>
      </c>
      <c r="N93" s="4">
        <v>2463.75</v>
      </c>
      <c r="O93" s="19" t="str">
        <f t="shared" si="5"/>
        <v>Mar-2023</v>
      </c>
      <c r="P93">
        <f t="shared" si="6"/>
        <v>2023</v>
      </c>
      <c r="Q93" t="str">
        <f t="shared" si="7"/>
        <v>OK</v>
      </c>
      <c r="R93">
        <v>1</v>
      </c>
      <c r="S93">
        <f t="shared" si="8"/>
        <v>0</v>
      </c>
      <c r="T93">
        <f t="shared" si="9"/>
        <v>0</v>
      </c>
    </row>
    <row r="94" spans="1:20">
      <c r="A94" t="s">
        <v>407</v>
      </c>
      <c r="B94" s="3">
        <v>45453</v>
      </c>
      <c r="C94" t="s">
        <v>408</v>
      </c>
      <c r="D94" t="s">
        <v>54</v>
      </c>
      <c r="E94">
        <v>4</v>
      </c>
      <c r="F94" s="4">
        <v>48.61</v>
      </c>
      <c r="G94" t="s">
        <v>409</v>
      </c>
      <c r="H94" t="s">
        <v>33</v>
      </c>
      <c r="I94" t="s">
        <v>25</v>
      </c>
      <c r="J94" t="s">
        <v>410</v>
      </c>
      <c r="K94">
        <v>7</v>
      </c>
      <c r="L94" t="s">
        <v>43</v>
      </c>
      <c r="M94" t="s">
        <v>51</v>
      </c>
      <c r="N94" s="4">
        <v>194.44</v>
      </c>
      <c r="O94" s="19" t="str">
        <f t="shared" si="5"/>
        <v>Jun-2024</v>
      </c>
      <c r="P94">
        <f t="shared" si="6"/>
        <v>2024</v>
      </c>
      <c r="Q94" t="str">
        <f t="shared" si="7"/>
        <v>OK</v>
      </c>
      <c r="R94">
        <v>1</v>
      </c>
      <c r="S94">
        <f t="shared" si="8"/>
        <v>0</v>
      </c>
      <c r="T94">
        <f t="shared" si="9"/>
        <v>0</v>
      </c>
    </row>
    <row r="95" spans="1:20">
      <c r="A95" t="s">
        <v>411</v>
      </c>
      <c r="B95" s="3">
        <v>44940</v>
      </c>
      <c r="C95" t="s">
        <v>412</v>
      </c>
      <c r="D95" t="s">
        <v>79</v>
      </c>
      <c r="E95">
        <v>4</v>
      </c>
      <c r="F95" s="4">
        <v>431.01</v>
      </c>
      <c r="G95" t="s">
        <v>413</v>
      </c>
      <c r="H95" t="s">
        <v>40</v>
      </c>
      <c r="I95" t="s">
        <v>49</v>
      </c>
      <c r="J95" t="s">
        <v>414</v>
      </c>
      <c r="K95">
        <v>7</v>
      </c>
      <c r="M95" t="s">
        <v>35</v>
      </c>
      <c r="N95" s="4">
        <v>1724.04</v>
      </c>
      <c r="O95" s="19" t="str">
        <f t="shared" si="5"/>
        <v>Jan-2023</v>
      </c>
      <c r="P95">
        <f t="shared" si="6"/>
        <v>2023</v>
      </c>
      <c r="Q95" t="str">
        <f t="shared" si="7"/>
        <v>OK</v>
      </c>
      <c r="R95">
        <v>1</v>
      </c>
      <c r="S95">
        <f t="shared" si="8"/>
        <v>0</v>
      </c>
      <c r="T95">
        <f t="shared" si="9"/>
        <v>1</v>
      </c>
    </row>
    <row r="96" spans="1:20">
      <c r="A96" t="s">
        <v>415</v>
      </c>
      <c r="B96" s="3">
        <v>44968</v>
      </c>
      <c r="C96" t="s">
        <v>416</v>
      </c>
      <c r="D96" t="s">
        <v>47</v>
      </c>
      <c r="E96">
        <v>1</v>
      </c>
      <c r="F96" s="4">
        <v>531.17999999999995</v>
      </c>
      <c r="G96" t="s">
        <v>417</v>
      </c>
      <c r="H96" t="s">
        <v>66</v>
      </c>
      <c r="I96" t="s">
        <v>49</v>
      </c>
      <c r="J96" t="s">
        <v>418</v>
      </c>
      <c r="K96">
        <v>6</v>
      </c>
      <c r="L96" t="s">
        <v>87</v>
      </c>
      <c r="M96" t="s">
        <v>28</v>
      </c>
      <c r="N96" s="4">
        <v>531.17999999999995</v>
      </c>
      <c r="O96" s="19" t="str">
        <f t="shared" si="5"/>
        <v>Feb-2023</v>
      </c>
      <c r="P96">
        <f t="shared" si="6"/>
        <v>2023</v>
      </c>
      <c r="Q96" t="str">
        <f t="shared" si="7"/>
        <v>OK</v>
      </c>
      <c r="R96">
        <v>1</v>
      </c>
      <c r="S96">
        <f t="shared" si="8"/>
        <v>0</v>
      </c>
      <c r="T96">
        <f t="shared" si="9"/>
        <v>1</v>
      </c>
    </row>
    <row r="97" spans="1:20">
      <c r="A97" t="s">
        <v>419</v>
      </c>
      <c r="B97" s="3">
        <v>45009</v>
      </c>
      <c r="C97" t="s">
        <v>420</v>
      </c>
      <c r="D97" t="s">
        <v>54</v>
      </c>
      <c r="E97">
        <v>4</v>
      </c>
      <c r="F97" s="4">
        <v>117.51</v>
      </c>
      <c r="G97" t="s">
        <v>421</v>
      </c>
      <c r="H97" t="s">
        <v>24</v>
      </c>
      <c r="I97" t="s">
        <v>49</v>
      </c>
      <c r="J97" t="s">
        <v>422</v>
      </c>
      <c r="K97">
        <v>7</v>
      </c>
      <c r="M97" t="s">
        <v>35</v>
      </c>
      <c r="N97" s="4">
        <v>470.04</v>
      </c>
      <c r="O97" s="19" t="str">
        <f t="shared" si="5"/>
        <v>Mar-2023</v>
      </c>
      <c r="P97">
        <f t="shared" si="6"/>
        <v>2023</v>
      </c>
      <c r="Q97" t="str">
        <f t="shared" si="7"/>
        <v>OK</v>
      </c>
      <c r="R97">
        <v>1</v>
      </c>
      <c r="S97">
        <f t="shared" si="8"/>
        <v>0</v>
      </c>
      <c r="T97">
        <f t="shared" si="9"/>
        <v>1</v>
      </c>
    </row>
    <row r="98" spans="1:20">
      <c r="A98" t="s">
        <v>423</v>
      </c>
      <c r="B98" s="3">
        <v>45444</v>
      </c>
      <c r="C98" t="s">
        <v>424</v>
      </c>
      <c r="D98" t="s">
        <v>31</v>
      </c>
      <c r="E98">
        <v>2</v>
      </c>
      <c r="F98" s="4">
        <v>232.83</v>
      </c>
      <c r="G98" t="s">
        <v>357</v>
      </c>
      <c r="H98" t="s">
        <v>66</v>
      </c>
      <c r="I98" t="s">
        <v>56</v>
      </c>
      <c r="J98" t="s">
        <v>425</v>
      </c>
      <c r="K98">
        <v>7</v>
      </c>
      <c r="M98" t="s">
        <v>28</v>
      </c>
      <c r="N98" s="4">
        <v>465.66</v>
      </c>
      <c r="O98" s="19" t="str">
        <f t="shared" si="5"/>
        <v>Jun-2024</v>
      </c>
      <c r="P98">
        <f t="shared" si="6"/>
        <v>2024</v>
      </c>
      <c r="Q98" t="str">
        <f t="shared" si="7"/>
        <v>OK</v>
      </c>
      <c r="R98">
        <v>1</v>
      </c>
      <c r="S98">
        <f t="shared" si="8"/>
        <v>0</v>
      </c>
      <c r="T98">
        <f t="shared" si="9"/>
        <v>0</v>
      </c>
    </row>
    <row r="99" spans="1:20">
      <c r="A99" t="s">
        <v>426</v>
      </c>
      <c r="B99" s="3">
        <v>45678</v>
      </c>
      <c r="C99" t="s">
        <v>427</v>
      </c>
      <c r="D99" t="s">
        <v>38</v>
      </c>
      <c r="E99">
        <v>5</v>
      </c>
      <c r="F99" s="4">
        <v>619.52</v>
      </c>
      <c r="G99" t="s">
        <v>428</v>
      </c>
      <c r="H99" t="s">
        <v>24</v>
      </c>
      <c r="I99" t="s">
        <v>95</v>
      </c>
      <c r="J99" t="s">
        <v>429</v>
      </c>
      <c r="K99">
        <v>9</v>
      </c>
      <c r="M99" t="s">
        <v>44</v>
      </c>
      <c r="N99" s="4">
        <v>3097.6</v>
      </c>
      <c r="O99" s="19" t="str">
        <f t="shared" si="5"/>
        <v>Jan-2025</v>
      </c>
      <c r="P99">
        <f t="shared" si="6"/>
        <v>2025</v>
      </c>
      <c r="Q99" t="str">
        <f t="shared" si="7"/>
        <v>OK</v>
      </c>
      <c r="R99">
        <v>1</v>
      </c>
      <c r="S99">
        <f t="shared" si="8"/>
        <v>0</v>
      </c>
      <c r="T99">
        <f t="shared" si="9"/>
        <v>0</v>
      </c>
    </row>
    <row r="100" spans="1:20">
      <c r="A100" t="s">
        <v>430</v>
      </c>
      <c r="B100" s="3">
        <v>44940</v>
      </c>
      <c r="C100" t="s">
        <v>431</v>
      </c>
      <c r="D100" t="s">
        <v>54</v>
      </c>
      <c r="E100">
        <v>2</v>
      </c>
      <c r="F100" s="4">
        <v>228.54</v>
      </c>
      <c r="G100" t="s">
        <v>432</v>
      </c>
      <c r="H100" t="s">
        <v>24</v>
      </c>
      <c r="I100" t="s">
        <v>95</v>
      </c>
      <c r="J100" t="s">
        <v>433</v>
      </c>
      <c r="K100">
        <v>3</v>
      </c>
      <c r="M100" t="s">
        <v>44</v>
      </c>
      <c r="N100" s="4">
        <v>457.08</v>
      </c>
      <c r="O100" s="19" t="str">
        <f t="shared" si="5"/>
        <v>Jan-2023</v>
      </c>
      <c r="P100">
        <f t="shared" si="6"/>
        <v>2023</v>
      </c>
      <c r="Q100" t="str">
        <f t="shared" si="7"/>
        <v>OK</v>
      </c>
      <c r="R100">
        <v>1</v>
      </c>
      <c r="S100">
        <f t="shared" si="8"/>
        <v>0</v>
      </c>
      <c r="T100">
        <f t="shared" si="9"/>
        <v>0</v>
      </c>
    </row>
    <row r="101" spans="1:20">
      <c r="A101" t="s">
        <v>434</v>
      </c>
      <c r="B101" s="3">
        <v>45759</v>
      </c>
      <c r="C101" t="s">
        <v>435</v>
      </c>
      <c r="D101" t="s">
        <v>54</v>
      </c>
      <c r="E101">
        <v>1</v>
      </c>
      <c r="F101" s="4">
        <v>201.58</v>
      </c>
      <c r="G101" t="s">
        <v>436</v>
      </c>
      <c r="H101" t="s">
        <v>24</v>
      </c>
      <c r="I101" t="s">
        <v>41</v>
      </c>
      <c r="J101" t="s">
        <v>437</v>
      </c>
      <c r="K101">
        <v>2</v>
      </c>
      <c r="L101" t="s">
        <v>87</v>
      </c>
      <c r="M101" t="s">
        <v>44</v>
      </c>
      <c r="N101" s="4">
        <v>201.58</v>
      </c>
      <c r="O101" s="19" t="str">
        <f t="shared" si="5"/>
        <v>Apr-2025</v>
      </c>
      <c r="P101">
        <f t="shared" si="6"/>
        <v>2025</v>
      </c>
      <c r="Q101" t="str">
        <f t="shared" si="7"/>
        <v>OK</v>
      </c>
      <c r="R101">
        <v>1</v>
      </c>
      <c r="S101">
        <f t="shared" si="8"/>
        <v>1</v>
      </c>
      <c r="T101">
        <f t="shared" si="9"/>
        <v>0</v>
      </c>
    </row>
    <row r="102" spans="1:20">
      <c r="A102" t="s">
        <v>438</v>
      </c>
      <c r="B102" s="3">
        <v>44974</v>
      </c>
      <c r="C102" t="s">
        <v>439</v>
      </c>
      <c r="D102" t="s">
        <v>31</v>
      </c>
      <c r="E102">
        <v>3</v>
      </c>
      <c r="F102" s="4">
        <v>664.79</v>
      </c>
      <c r="G102" t="s">
        <v>440</v>
      </c>
      <c r="H102" t="s">
        <v>33</v>
      </c>
      <c r="I102" t="s">
        <v>56</v>
      </c>
      <c r="J102" t="s">
        <v>441</v>
      </c>
      <c r="K102">
        <v>6</v>
      </c>
      <c r="M102" t="s">
        <v>51</v>
      </c>
      <c r="N102" s="4">
        <v>1994.37</v>
      </c>
      <c r="O102" s="19" t="str">
        <f t="shared" si="5"/>
        <v>Feb-2023</v>
      </c>
      <c r="P102">
        <f t="shared" si="6"/>
        <v>2023</v>
      </c>
      <c r="Q102" t="str">
        <f t="shared" si="7"/>
        <v>OK</v>
      </c>
      <c r="R102">
        <v>1</v>
      </c>
      <c r="S102">
        <f t="shared" si="8"/>
        <v>0</v>
      </c>
      <c r="T102">
        <f t="shared" si="9"/>
        <v>0</v>
      </c>
    </row>
    <row r="103" spans="1:20">
      <c r="A103" t="s">
        <v>442</v>
      </c>
      <c r="B103" s="3">
        <v>45255</v>
      </c>
      <c r="C103" t="s">
        <v>443</v>
      </c>
      <c r="D103" t="s">
        <v>54</v>
      </c>
      <c r="E103">
        <v>1</v>
      </c>
      <c r="F103" s="4">
        <v>381.02</v>
      </c>
      <c r="G103" t="s">
        <v>444</v>
      </c>
      <c r="H103" t="s">
        <v>71</v>
      </c>
      <c r="I103" t="s">
        <v>25</v>
      </c>
      <c r="J103" t="s">
        <v>445</v>
      </c>
      <c r="K103">
        <v>6</v>
      </c>
      <c r="M103" t="s">
        <v>82</v>
      </c>
      <c r="N103" s="4">
        <v>381.02</v>
      </c>
      <c r="O103" s="19" t="str">
        <f t="shared" si="5"/>
        <v>Nov-2023</v>
      </c>
      <c r="P103">
        <f t="shared" si="6"/>
        <v>2023</v>
      </c>
      <c r="Q103" t="str">
        <f t="shared" si="7"/>
        <v>OK</v>
      </c>
      <c r="R103">
        <v>1</v>
      </c>
      <c r="S103">
        <f t="shared" si="8"/>
        <v>0</v>
      </c>
      <c r="T103">
        <f t="shared" si="9"/>
        <v>0</v>
      </c>
    </row>
    <row r="104" spans="1:20">
      <c r="A104" t="s">
        <v>446</v>
      </c>
      <c r="B104" s="3">
        <v>44993</v>
      </c>
      <c r="C104" t="s">
        <v>447</v>
      </c>
      <c r="D104" t="s">
        <v>64</v>
      </c>
      <c r="E104">
        <v>2</v>
      </c>
      <c r="F104" s="4">
        <v>70.34</v>
      </c>
      <c r="G104" t="s">
        <v>448</v>
      </c>
      <c r="H104" t="s">
        <v>66</v>
      </c>
      <c r="I104" t="s">
        <v>41</v>
      </c>
      <c r="J104" t="s">
        <v>449</v>
      </c>
      <c r="K104">
        <v>3</v>
      </c>
      <c r="L104" t="s">
        <v>43</v>
      </c>
      <c r="M104" t="s">
        <v>44</v>
      </c>
      <c r="N104" s="4">
        <v>140.68</v>
      </c>
      <c r="O104" s="19" t="str">
        <f t="shared" si="5"/>
        <v>Mar-2023</v>
      </c>
      <c r="P104">
        <f t="shared" si="6"/>
        <v>2023</v>
      </c>
      <c r="Q104" t="str">
        <f t="shared" si="7"/>
        <v>OK</v>
      </c>
      <c r="R104">
        <v>1</v>
      </c>
      <c r="S104">
        <f t="shared" si="8"/>
        <v>1</v>
      </c>
      <c r="T104">
        <f t="shared" si="9"/>
        <v>0</v>
      </c>
    </row>
    <row r="105" spans="1:20">
      <c r="A105" t="s">
        <v>450</v>
      </c>
      <c r="B105" s="3">
        <v>45682</v>
      </c>
      <c r="C105" t="s">
        <v>451</v>
      </c>
      <c r="D105" t="s">
        <v>31</v>
      </c>
      <c r="E105">
        <v>4</v>
      </c>
      <c r="F105" s="4">
        <v>218.43</v>
      </c>
      <c r="G105" t="s">
        <v>452</v>
      </c>
      <c r="H105" t="s">
        <v>40</v>
      </c>
      <c r="I105" t="s">
        <v>41</v>
      </c>
      <c r="J105" t="s">
        <v>453</v>
      </c>
      <c r="K105">
        <v>9</v>
      </c>
      <c r="L105" t="s">
        <v>27</v>
      </c>
      <c r="M105" t="s">
        <v>44</v>
      </c>
      <c r="N105" s="4">
        <v>873.72</v>
      </c>
      <c r="O105" s="19" t="str">
        <f t="shared" si="5"/>
        <v>Jan-2025</v>
      </c>
      <c r="P105">
        <f t="shared" si="6"/>
        <v>2025</v>
      </c>
      <c r="Q105" t="str">
        <f t="shared" si="7"/>
        <v>OK</v>
      </c>
      <c r="R105">
        <v>1</v>
      </c>
      <c r="S105">
        <f t="shared" si="8"/>
        <v>1</v>
      </c>
      <c r="T105">
        <f t="shared" si="9"/>
        <v>0</v>
      </c>
    </row>
    <row r="106" spans="1:20">
      <c r="A106" t="s">
        <v>454</v>
      </c>
      <c r="B106" s="3">
        <v>45503</v>
      </c>
      <c r="C106" t="s">
        <v>455</v>
      </c>
      <c r="D106" t="s">
        <v>31</v>
      </c>
      <c r="E106">
        <v>1</v>
      </c>
      <c r="F106" s="4">
        <v>582.04</v>
      </c>
      <c r="G106" t="s">
        <v>456</v>
      </c>
      <c r="H106" t="s">
        <v>66</v>
      </c>
      <c r="I106" t="s">
        <v>56</v>
      </c>
      <c r="J106" t="s">
        <v>457</v>
      </c>
      <c r="K106">
        <v>1</v>
      </c>
      <c r="L106" t="s">
        <v>43</v>
      </c>
      <c r="M106" t="s">
        <v>44</v>
      </c>
      <c r="N106" s="4">
        <v>582.04</v>
      </c>
      <c r="O106" s="19" t="str">
        <f t="shared" si="5"/>
        <v>Jul-2024</v>
      </c>
      <c r="P106">
        <f t="shared" si="6"/>
        <v>2024</v>
      </c>
      <c r="Q106" t="str">
        <f t="shared" si="7"/>
        <v>OK</v>
      </c>
      <c r="R106">
        <v>1</v>
      </c>
      <c r="S106">
        <f t="shared" si="8"/>
        <v>0</v>
      </c>
      <c r="T106">
        <f t="shared" si="9"/>
        <v>0</v>
      </c>
    </row>
    <row r="107" spans="1:20">
      <c r="A107" t="s">
        <v>458</v>
      </c>
      <c r="B107" s="3">
        <v>45589</v>
      </c>
      <c r="C107" t="s">
        <v>459</v>
      </c>
      <c r="D107" t="s">
        <v>54</v>
      </c>
      <c r="E107">
        <v>3</v>
      </c>
      <c r="F107" s="4">
        <v>185.4</v>
      </c>
      <c r="G107" t="s">
        <v>460</v>
      </c>
      <c r="H107" t="s">
        <v>66</v>
      </c>
      <c r="I107" t="s">
        <v>41</v>
      </c>
      <c r="J107" t="s">
        <v>461</v>
      </c>
      <c r="K107">
        <v>7</v>
      </c>
      <c r="M107" t="s">
        <v>51</v>
      </c>
      <c r="N107" s="4">
        <v>556.20000000000005</v>
      </c>
      <c r="O107" s="19" t="str">
        <f t="shared" si="5"/>
        <v>Oct-2024</v>
      </c>
      <c r="P107">
        <f t="shared" si="6"/>
        <v>2024</v>
      </c>
      <c r="Q107" t="str">
        <f t="shared" si="7"/>
        <v>OK</v>
      </c>
      <c r="R107">
        <v>1</v>
      </c>
      <c r="S107">
        <f t="shared" si="8"/>
        <v>1</v>
      </c>
      <c r="T107">
        <f t="shared" si="9"/>
        <v>0</v>
      </c>
    </row>
    <row r="108" spans="1:20">
      <c r="A108" t="s">
        <v>462</v>
      </c>
      <c r="B108" s="3">
        <v>45177</v>
      </c>
      <c r="C108" t="s">
        <v>463</v>
      </c>
      <c r="D108" t="s">
        <v>79</v>
      </c>
      <c r="E108">
        <v>3</v>
      </c>
      <c r="F108" s="4">
        <v>465.05</v>
      </c>
      <c r="G108" t="s">
        <v>464</v>
      </c>
      <c r="H108" t="s">
        <v>40</v>
      </c>
      <c r="I108" t="s">
        <v>41</v>
      </c>
      <c r="J108" t="s">
        <v>465</v>
      </c>
      <c r="K108">
        <v>3</v>
      </c>
      <c r="L108" t="s">
        <v>27</v>
      </c>
      <c r="M108" t="s">
        <v>44</v>
      </c>
      <c r="N108" s="4">
        <v>1395.15</v>
      </c>
      <c r="O108" s="19" t="str">
        <f t="shared" si="5"/>
        <v>Sep-2023</v>
      </c>
      <c r="P108">
        <f t="shared" si="6"/>
        <v>2023</v>
      </c>
      <c r="Q108" t="str">
        <f t="shared" si="7"/>
        <v>OK</v>
      </c>
      <c r="R108">
        <v>1</v>
      </c>
      <c r="S108">
        <f t="shared" si="8"/>
        <v>1</v>
      </c>
      <c r="T108">
        <f t="shared" si="9"/>
        <v>0</v>
      </c>
    </row>
    <row r="109" spans="1:20">
      <c r="A109" t="s">
        <v>466</v>
      </c>
      <c r="B109" s="3">
        <v>45012</v>
      </c>
      <c r="C109" t="s">
        <v>467</v>
      </c>
      <c r="D109" t="s">
        <v>54</v>
      </c>
      <c r="E109">
        <v>5</v>
      </c>
      <c r="F109" s="4">
        <v>670.75</v>
      </c>
      <c r="G109" t="s">
        <v>468</v>
      </c>
      <c r="H109" t="s">
        <v>66</v>
      </c>
      <c r="I109" t="s">
        <v>25</v>
      </c>
      <c r="J109" t="s">
        <v>469</v>
      </c>
      <c r="K109">
        <v>8</v>
      </c>
      <c r="L109" t="s">
        <v>43</v>
      </c>
      <c r="M109" t="s">
        <v>28</v>
      </c>
      <c r="N109" s="4">
        <v>3353.75</v>
      </c>
      <c r="O109" s="19" t="str">
        <f t="shared" si="5"/>
        <v>Mar-2023</v>
      </c>
      <c r="P109">
        <f t="shared" si="6"/>
        <v>2023</v>
      </c>
      <c r="Q109" t="str">
        <f t="shared" si="7"/>
        <v>OK</v>
      </c>
      <c r="R109">
        <v>1</v>
      </c>
      <c r="S109">
        <f t="shared" si="8"/>
        <v>0</v>
      </c>
      <c r="T109">
        <f t="shared" si="9"/>
        <v>0</v>
      </c>
    </row>
    <row r="110" spans="1:20">
      <c r="A110" t="s">
        <v>470</v>
      </c>
      <c r="B110" s="3">
        <v>45654</v>
      </c>
      <c r="C110" t="s">
        <v>471</v>
      </c>
      <c r="D110" t="s">
        <v>64</v>
      </c>
      <c r="E110">
        <v>5</v>
      </c>
      <c r="F110" s="4">
        <v>48.38</v>
      </c>
      <c r="G110" t="s">
        <v>472</v>
      </c>
      <c r="H110" t="s">
        <v>66</v>
      </c>
      <c r="I110" t="s">
        <v>56</v>
      </c>
      <c r="J110" t="s">
        <v>473</v>
      </c>
      <c r="K110">
        <v>9</v>
      </c>
      <c r="L110" t="s">
        <v>87</v>
      </c>
      <c r="M110" t="s">
        <v>44</v>
      </c>
      <c r="N110" s="4">
        <v>241.9</v>
      </c>
      <c r="O110" s="19" t="str">
        <f t="shared" si="5"/>
        <v>Dec-2024</v>
      </c>
      <c r="P110">
        <f t="shared" si="6"/>
        <v>2024</v>
      </c>
      <c r="Q110" t="str">
        <f t="shared" si="7"/>
        <v>OK</v>
      </c>
      <c r="R110">
        <v>1</v>
      </c>
      <c r="S110">
        <f t="shared" si="8"/>
        <v>0</v>
      </c>
      <c r="T110">
        <f t="shared" si="9"/>
        <v>0</v>
      </c>
    </row>
    <row r="111" spans="1:20">
      <c r="A111" t="s">
        <v>474</v>
      </c>
      <c r="B111" s="3">
        <v>45186</v>
      </c>
      <c r="C111" t="s">
        <v>475</v>
      </c>
      <c r="D111" t="s">
        <v>79</v>
      </c>
      <c r="E111">
        <v>3</v>
      </c>
      <c r="F111" s="4">
        <v>592.87</v>
      </c>
      <c r="G111" t="s">
        <v>476</v>
      </c>
      <c r="H111" t="s">
        <v>66</v>
      </c>
      <c r="I111" t="s">
        <v>25</v>
      </c>
      <c r="J111" t="s">
        <v>477</v>
      </c>
      <c r="K111">
        <v>3</v>
      </c>
      <c r="L111" t="s">
        <v>43</v>
      </c>
      <c r="M111" t="s">
        <v>35</v>
      </c>
      <c r="N111" s="4">
        <v>1778.61</v>
      </c>
      <c r="O111" s="19" t="str">
        <f t="shared" si="5"/>
        <v>Sep-2023</v>
      </c>
      <c r="P111">
        <f t="shared" si="6"/>
        <v>2023</v>
      </c>
      <c r="Q111" t="str">
        <f t="shared" si="7"/>
        <v>OK</v>
      </c>
      <c r="R111">
        <v>1</v>
      </c>
      <c r="S111">
        <f t="shared" si="8"/>
        <v>0</v>
      </c>
      <c r="T111">
        <f t="shared" si="9"/>
        <v>0</v>
      </c>
    </row>
    <row r="112" spans="1:20">
      <c r="A112" t="s">
        <v>478</v>
      </c>
      <c r="B112" s="3">
        <v>45403</v>
      </c>
      <c r="C112" t="s">
        <v>479</v>
      </c>
      <c r="D112" t="s">
        <v>38</v>
      </c>
      <c r="E112">
        <v>1</v>
      </c>
      <c r="F112" s="4">
        <v>220.77</v>
      </c>
      <c r="G112" t="s">
        <v>480</v>
      </c>
      <c r="H112" t="s">
        <v>66</v>
      </c>
      <c r="I112" t="s">
        <v>95</v>
      </c>
      <c r="J112" t="s">
        <v>481</v>
      </c>
      <c r="K112">
        <v>5</v>
      </c>
      <c r="L112" t="s">
        <v>43</v>
      </c>
      <c r="M112" t="s">
        <v>28</v>
      </c>
      <c r="N112" s="4">
        <v>220.77</v>
      </c>
      <c r="O112" s="19" t="str">
        <f t="shared" si="5"/>
        <v>Apr-2024</v>
      </c>
      <c r="P112">
        <f t="shared" si="6"/>
        <v>2024</v>
      </c>
      <c r="Q112" t="str">
        <f t="shared" si="7"/>
        <v>OK</v>
      </c>
      <c r="R112">
        <v>1</v>
      </c>
      <c r="S112">
        <f t="shared" si="8"/>
        <v>0</v>
      </c>
      <c r="T112">
        <f t="shared" si="9"/>
        <v>0</v>
      </c>
    </row>
    <row r="113" spans="1:20">
      <c r="A113" t="s">
        <v>482</v>
      </c>
      <c r="B113" s="3">
        <v>45784</v>
      </c>
      <c r="C113" t="s">
        <v>483</v>
      </c>
      <c r="D113" t="s">
        <v>79</v>
      </c>
      <c r="E113">
        <v>3</v>
      </c>
      <c r="F113" s="4">
        <v>309.22000000000003</v>
      </c>
      <c r="G113" t="s">
        <v>484</v>
      </c>
      <c r="H113" t="s">
        <v>33</v>
      </c>
      <c r="I113" t="s">
        <v>41</v>
      </c>
      <c r="J113" t="s">
        <v>485</v>
      </c>
      <c r="K113">
        <v>7</v>
      </c>
      <c r="L113" t="s">
        <v>43</v>
      </c>
      <c r="M113" t="s">
        <v>82</v>
      </c>
      <c r="N113" s="4">
        <v>927.66000000000008</v>
      </c>
      <c r="O113" s="19" t="str">
        <f t="shared" si="5"/>
        <v>May-2025</v>
      </c>
      <c r="P113">
        <f t="shared" si="6"/>
        <v>2025</v>
      </c>
      <c r="Q113" t="str">
        <f t="shared" si="7"/>
        <v>OK</v>
      </c>
      <c r="R113">
        <v>1</v>
      </c>
      <c r="S113">
        <f t="shared" si="8"/>
        <v>1</v>
      </c>
      <c r="T113">
        <f t="shared" si="9"/>
        <v>0</v>
      </c>
    </row>
    <row r="114" spans="1:20">
      <c r="A114" t="s">
        <v>486</v>
      </c>
      <c r="B114" s="3">
        <v>44927</v>
      </c>
      <c r="C114" t="s">
        <v>487</v>
      </c>
      <c r="D114" t="s">
        <v>22</v>
      </c>
      <c r="E114">
        <v>1</v>
      </c>
      <c r="F114" s="4">
        <v>410.6</v>
      </c>
      <c r="G114" t="s">
        <v>488</v>
      </c>
      <c r="H114" t="s">
        <v>33</v>
      </c>
      <c r="I114" t="s">
        <v>41</v>
      </c>
      <c r="J114" t="s">
        <v>489</v>
      </c>
      <c r="K114">
        <v>2</v>
      </c>
      <c r="L114" t="s">
        <v>87</v>
      </c>
      <c r="M114" t="s">
        <v>35</v>
      </c>
      <c r="N114" s="4">
        <v>410.6</v>
      </c>
      <c r="O114" s="19" t="str">
        <f t="shared" si="5"/>
        <v>Jan-2023</v>
      </c>
      <c r="P114">
        <f t="shared" si="6"/>
        <v>2023</v>
      </c>
      <c r="Q114" t="str">
        <f t="shared" si="7"/>
        <v>OK</v>
      </c>
      <c r="R114">
        <v>1</v>
      </c>
      <c r="S114">
        <f t="shared" si="8"/>
        <v>1</v>
      </c>
      <c r="T114">
        <f t="shared" si="9"/>
        <v>0</v>
      </c>
    </row>
    <row r="115" spans="1:20">
      <c r="A115" t="s">
        <v>490</v>
      </c>
      <c r="B115" s="3">
        <v>45308</v>
      </c>
      <c r="C115" t="s">
        <v>491</v>
      </c>
      <c r="D115" t="s">
        <v>64</v>
      </c>
      <c r="E115">
        <v>5</v>
      </c>
      <c r="F115" s="4">
        <v>190.08</v>
      </c>
      <c r="G115" t="s">
        <v>492</v>
      </c>
      <c r="H115" t="s">
        <v>71</v>
      </c>
      <c r="I115" t="s">
        <v>25</v>
      </c>
      <c r="J115" t="s">
        <v>493</v>
      </c>
      <c r="K115">
        <v>9</v>
      </c>
      <c r="L115" t="s">
        <v>43</v>
      </c>
      <c r="M115" t="s">
        <v>28</v>
      </c>
      <c r="N115" s="4">
        <v>950.40000000000009</v>
      </c>
      <c r="O115" s="19" t="str">
        <f t="shared" si="5"/>
        <v>Jan-2024</v>
      </c>
      <c r="P115">
        <f t="shared" si="6"/>
        <v>2024</v>
      </c>
      <c r="Q115" t="str">
        <f t="shared" si="7"/>
        <v>OK</v>
      </c>
      <c r="R115">
        <v>1</v>
      </c>
      <c r="S115">
        <f t="shared" si="8"/>
        <v>0</v>
      </c>
      <c r="T115">
        <f t="shared" si="9"/>
        <v>0</v>
      </c>
    </row>
    <row r="116" spans="1:20">
      <c r="A116" t="s">
        <v>494</v>
      </c>
      <c r="B116" s="3">
        <v>45684</v>
      </c>
      <c r="C116" t="s">
        <v>495</v>
      </c>
      <c r="D116" t="s">
        <v>22</v>
      </c>
      <c r="E116">
        <v>5</v>
      </c>
      <c r="F116" s="4">
        <v>498.48</v>
      </c>
      <c r="G116" t="s">
        <v>496</v>
      </c>
      <c r="H116" t="s">
        <v>33</v>
      </c>
      <c r="I116" t="s">
        <v>95</v>
      </c>
      <c r="J116" t="s">
        <v>497</v>
      </c>
      <c r="K116">
        <v>8</v>
      </c>
      <c r="L116" t="s">
        <v>27</v>
      </c>
      <c r="M116" t="s">
        <v>82</v>
      </c>
      <c r="N116" s="4">
        <v>2492.4</v>
      </c>
      <c r="O116" s="19" t="str">
        <f t="shared" si="5"/>
        <v>Jan-2025</v>
      </c>
      <c r="P116">
        <f t="shared" si="6"/>
        <v>2025</v>
      </c>
      <c r="Q116" t="str">
        <f t="shared" si="7"/>
        <v>OK</v>
      </c>
      <c r="R116">
        <v>1</v>
      </c>
      <c r="S116">
        <f t="shared" si="8"/>
        <v>0</v>
      </c>
      <c r="T116">
        <f t="shared" si="9"/>
        <v>0</v>
      </c>
    </row>
    <row r="117" spans="1:20">
      <c r="A117" t="s">
        <v>498</v>
      </c>
      <c r="B117" s="3">
        <v>45257</v>
      </c>
      <c r="C117" t="s">
        <v>499</v>
      </c>
      <c r="D117" t="s">
        <v>31</v>
      </c>
      <c r="E117">
        <v>5</v>
      </c>
      <c r="F117" s="4">
        <v>374.99</v>
      </c>
      <c r="G117" t="s">
        <v>500</v>
      </c>
      <c r="H117" t="s">
        <v>33</v>
      </c>
      <c r="I117" t="s">
        <v>25</v>
      </c>
      <c r="J117" t="s">
        <v>501</v>
      </c>
      <c r="K117">
        <v>9</v>
      </c>
      <c r="L117" t="s">
        <v>27</v>
      </c>
      <c r="M117" t="s">
        <v>51</v>
      </c>
      <c r="N117" s="4">
        <v>1874.95</v>
      </c>
      <c r="O117" s="19" t="str">
        <f t="shared" si="5"/>
        <v>Nov-2023</v>
      </c>
      <c r="P117">
        <f t="shared" si="6"/>
        <v>2023</v>
      </c>
      <c r="Q117" t="str">
        <f t="shared" si="7"/>
        <v>OK</v>
      </c>
      <c r="R117">
        <v>1</v>
      </c>
      <c r="S117">
        <f t="shared" si="8"/>
        <v>0</v>
      </c>
      <c r="T117">
        <f t="shared" si="9"/>
        <v>0</v>
      </c>
    </row>
    <row r="118" spans="1:20">
      <c r="A118" t="s">
        <v>502</v>
      </c>
      <c r="B118" s="3">
        <v>45004</v>
      </c>
      <c r="C118" t="s">
        <v>503</v>
      </c>
      <c r="D118" t="s">
        <v>54</v>
      </c>
      <c r="E118">
        <v>4</v>
      </c>
      <c r="F118" s="4">
        <v>291.35000000000002</v>
      </c>
      <c r="G118" t="s">
        <v>504</v>
      </c>
      <c r="H118" t="s">
        <v>40</v>
      </c>
      <c r="I118" t="s">
        <v>41</v>
      </c>
      <c r="J118" t="s">
        <v>505</v>
      </c>
      <c r="K118">
        <v>6</v>
      </c>
      <c r="L118" t="s">
        <v>87</v>
      </c>
      <c r="M118" t="s">
        <v>51</v>
      </c>
      <c r="N118" s="4">
        <v>1165.4000000000001</v>
      </c>
      <c r="O118" s="19" t="str">
        <f t="shared" si="5"/>
        <v>Mar-2023</v>
      </c>
      <c r="P118">
        <f t="shared" si="6"/>
        <v>2023</v>
      </c>
      <c r="Q118" t="str">
        <f t="shared" si="7"/>
        <v>OK</v>
      </c>
      <c r="R118">
        <v>1</v>
      </c>
      <c r="S118">
        <f t="shared" si="8"/>
        <v>1</v>
      </c>
      <c r="T118">
        <f t="shared" si="9"/>
        <v>0</v>
      </c>
    </row>
    <row r="119" spans="1:20">
      <c r="A119" t="s">
        <v>506</v>
      </c>
      <c r="B119" s="3">
        <v>44993</v>
      </c>
      <c r="C119" t="s">
        <v>507</v>
      </c>
      <c r="D119" t="s">
        <v>38</v>
      </c>
      <c r="E119">
        <v>1</v>
      </c>
      <c r="F119" s="4">
        <v>535.5</v>
      </c>
      <c r="G119" t="s">
        <v>508</v>
      </c>
      <c r="H119" t="s">
        <v>66</v>
      </c>
      <c r="I119" t="s">
        <v>41</v>
      </c>
      <c r="J119" t="s">
        <v>509</v>
      </c>
      <c r="K119">
        <v>5</v>
      </c>
      <c r="L119" t="s">
        <v>87</v>
      </c>
      <c r="M119" t="s">
        <v>35</v>
      </c>
      <c r="N119" s="4">
        <v>535.5</v>
      </c>
      <c r="O119" s="19" t="str">
        <f t="shared" si="5"/>
        <v>Mar-2023</v>
      </c>
      <c r="P119">
        <f t="shared" si="6"/>
        <v>2023</v>
      </c>
      <c r="Q119" t="str">
        <f t="shared" si="7"/>
        <v>OK</v>
      </c>
      <c r="R119">
        <v>1</v>
      </c>
      <c r="S119">
        <f t="shared" si="8"/>
        <v>1</v>
      </c>
      <c r="T119">
        <f t="shared" si="9"/>
        <v>0</v>
      </c>
    </row>
    <row r="120" spans="1:20">
      <c r="A120" t="s">
        <v>510</v>
      </c>
      <c r="B120" s="3">
        <v>45208</v>
      </c>
      <c r="C120" t="s">
        <v>511</v>
      </c>
      <c r="D120" t="s">
        <v>54</v>
      </c>
      <c r="E120">
        <v>5</v>
      </c>
      <c r="F120" s="4">
        <v>502.71</v>
      </c>
      <c r="G120" t="s">
        <v>512</v>
      </c>
      <c r="H120" t="s">
        <v>66</v>
      </c>
      <c r="I120" t="s">
        <v>25</v>
      </c>
      <c r="J120" t="s">
        <v>513</v>
      </c>
      <c r="K120">
        <v>7</v>
      </c>
      <c r="L120" t="s">
        <v>43</v>
      </c>
      <c r="M120" t="s">
        <v>82</v>
      </c>
      <c r="N120" s="4">
        <v>2513.5500000000002</v>
      </c>
      <c r="O120" s="19" t="str">
        <f t="shared" si="5"/>
        <v>Oct-2023</v>
      </c>
      <c r="P120">
        <f t="shared" si="6"/>
        <v>2023</v>
      </c>
      <c r="Q120" t="str">
        <f t="shared" si="7"/>
        <v>OK</v>
      </c>
      <c r="R120">
        <v>1</v>
      </c>
      <c r="S120">
        <f t="shared" si="8"/>
        <v>0</v>
      </c>
      <c r="T120">
        <f t="shared" si="9"/>
        <v>0</v>
      </c>
    </row>
    <row r="121" spans="1:20">
      <c r="A121" t="s">
        <v>514</v>
      </c>
      <c r="B121" s="3">
        <v>45819</v>
      </c>
      <c r="C121" t="s">
        <v>515</v>
      </c>
      <c r="D121" t="s">
        <v>79</v>
      </c>
      <c r="E121">
        <v>2</v>
      </c>
      <c r="F121" s="4">
        <v>534.66999999999996</v>
      </c>
      <c r="G121" t="s">
        <v>516</v>
      </c>
      <c r="H121" t="s">
        <v>24</v>
      </c>
      <c r="I121" t="s">
        <v>25</v>
      </c>
      <c r="J121" t="s">
        <v>517</v>
      </c>
      <c r="K121">
        <v>7</v>
      </c>
      <c r="L121" t="s">
        <v>43</v>
      </c>
      <c r="M121" t="s">
        <v>35</v>
      </c>
      <c r="N121" s="4">
        <v>1069.3399999999999</v>
      </c>
      <c r="O121" s="19" t="str">
        <f t="shared" si="5"/>
        <v>Jun-2025</v>
      </c>
      <c r="P121">
        <f t="shared" si="6"/>
        <v>2025</v>
      </c>
      <c r="Q121" t="str">
        <f t="shared" si="7"/>
        <v>OK</v>
      </c>
      <c r="R121">
        <v>1</v>
      </c>
      <c r="S121">
        <f t="shared" si="8"/>
        <v>0</v>
      </c>
      <c r="T121">
        <f t="shared" si="9"/>
        <v>0</v>
      </c>
    </row>
    <row r="122" spans="1:20">
      <c r="A122" t="s">
        <v>518</v>
      </c>
      <c r="B122" s="3">
        <v>45027</v>
      </c>
      <c r="C122" t="s">
        <v>519</v>
      </c>
      <c r="D122" t="s">
        <v>38</v>
      </c>
      <c r="E122">
        <v>4</v>
      </c>
      <c r="F122" s="4">
        <v>629.34</v>
      </c>
      <c r="G122" t="s">
        <v>65</v>
      </c>
      <c r="H122" t="s">
        <v>71</v>
      </c>
      <c r="I122" t="s">
        <v>41</v>
      </c>
      <c r="J122" t="s">
        <v>520</v>
      </c>
      <c r="K122">
        <v>4</v>
      </c>
      <c r="L122" t="s">
        <v>87</v>
      </c>
      <c r="M122" t="s">
        <v>28</v>
      </c>
      <c r="N122" s="4">
        <v>2517.36</v>
      </c>
      <c r="O122" s="19" t="str">
        <f t="shared" si="5"/>
        <v>Apr-2023</v>
      </c>
      <c r="P122">
        <f t="shared" si="6"/>
        <v>2023</v>
      </c>
      <c r="Q122" t="str">
        <f t="shared" si="7"/>
        <v>OK</v>
      </c>
      <c r="R122">
        <v>1</v>
      </c>
      <c r="S122">
        <f t="shared" si="8"/>
        <v>1</v>
      </c>
      <c r="T122">
        <f t="shared" si="9"/>
        <v>0</v>
      </c>
    </row>
    <row r="123" spans="1:20">
      <c r="A123" t="s">
        <v>521</v>
      </c>
      <c r="B123" s="3">
        <v>45260</v>
      </c>
      <c r="C123" t="s">
        <v>522</v>
      </c>
      <c r="D123" t="s">
        <v>79</v>
      </c>
      <c r="E123">
        <v>1</v>
      </c>
      <c r="F123" s="4">
        <v>410.78</v>
      </c>
      <c r="G123" t="s">
        <v>523</v>
      </c>
      <c r="H123" t="s">
        <v>71</v>
      </c>
      <c r="I123" t="s">
        <v>41</v>
      </c>
      <c r="J123" t="s">
        <v>524</v>
      </c>
      <c r="K123">
        <v>1</v>
      </c>
      <c r="L123" t="s">
        <v>43</v>
      </c>
      <c r="M123" t="s">
        <v>28</v>
      </c>
      <c r="N123" s="4">
        <v>410.78</v>
      </c>
      <c r="O123" s="19" t="str">
        <f t="shared" si="5"/>
        <v>Nov-2023</v>
      </c>
      <c r="P123">
        <f t="shared" si="6"/>
        <v>2023</v>
      </c>
      <c r="Q123" t="str">
        <f t="shared" si="7"/>
        <v>OK</v>
      </c>
      <c r="R123">
        <v>1</v>
      </c>
      <c r="S123">
        <f t="shared" si="8"/>
        <v>1</v>
      </c>
      <c r="T123">
        <f t="shared" si="9"/>
        <v>0</v>
      </c>
    </row>
    <row r="124" spans="1:20">
      <c r="A124" t="s">
        <v>525</v>
      </c>
      <c r="B124" s="3">
        <v>45397</v>
      </c>
      <c r="C124" t="s">
        <v>526</v>
      </c>
      <c r="D124" t="s">
        <v>64</v>
      </c>
      <c r="E124">
        <v>2</v>
      </c>
      <c r="F124" s="4">
        <v>533.02</v>
      </c>
      <c r="G124" t="s">
        <v>527</v>
      </c>
      <c r="H124" t="s">
        <v>66</v>
      </c>
      <c r="I124" t="s">
        <v>25</v>
      </c>
      <c r="J124" t="s">
        <v>528</v>
      </c>
      <c r="K124">
        <v>2</v>
      </c>
      <c r="M124" t="s">
        <v>51</v>
      </c>
      <c r="N124" s="4">
        <v>1066.04</v>
      </c>
      <c r="O124" s="19" t="str">
        <f t="shared" si="5"/>
        <v>Apr-2024</v>
      </c>
      <c r="P124">
        <f t="shared" si="6"/>
        <v>2024</v>
      </c>
      <c r="Q124" t="str">
        <f t="shared" si="7"/>
        <v>OK</v>
      </c>
      <c r="R124">
        <v>1</v>
      </c>
      <c r="S124">
        <f t="shared" si="8"/>
        <v>0</v>
      </c>
      <c r="T124">
        <f t="shared" si="9"/>
        <v>0</v>
      </c>
    </row>
    <row r="125" spans="1:20">
      <c r="A125" t="s">
        <v>529</v>
      </c>
      <c r="B125" s="3">
        <v>45113</v>
      </c>
      <c r="C125" t="s">
        <v>530</v>
      </c>
      <c r="D125" t="s">
        <v>79</v>
      </c>
      <c r="E125">
        <v>3</v>
      </c>
      <c r="F125" s="4">
        <v>278.04000000000002</v>
      </c>
      <c r="G125" t="s">
        <v>531</v>
      </c>
      <c r="H125" t="s">
        <v>33</v>
      </c>
      <c r="I125" t="s">
        <v>56</v>
      </c>
      <c r="J125" t="s">
        <v>532</v>
      </c>
      <c r="K125">
        <v>5</v>
      </c>
      <c r="M125" t="s">
        <v>28</v>
      </c>
      <c r="N125" s="4">
        <v>834.12000000000012</v>
      </c>
      <c r="O125" s="19" t="str">
        <f t="shared" si="5"/>
        <v>Jul-2023</v>
      </c>
      <c r="P125">
        <f t="shared" si="6"/>
        <v>2023</v>
      </c>
      <c r="Q125" t="str">
        <f t="shared" si="7"/>
        <v>OK</v>
      </c>
      <c r="R125">
        <v>1</v>
      </c>
      <c r="S125">
        <f t="shared" si="8"/>
        <v>0</v>
      </c>
      <c r="T125">
        <f t="shared" si="9"/>
        <v>0</v>
      </c>
    </row>
    <row r="126" spans="1:20">
      <c r="A126" t="s">
        <v>533</v>
      </c>
      <c r="B126" s="3">
        <v>45501</v>
      </c>
      <c r="C126" t="s">
        <v>534</v>
      </c>
      <c r="D126" t="s">
        <v>54</v>
      </c>
      <c r="E126">
        <v>4</v>
      </c>
      <c r="F126" s="4">
        <v>283.79000000000002</v>
      </c>
      <c r="G126" t="s">
        <v>535</v>
      </c>
      <c r="H126" t="s">
        <v>33</v>
      </c>
      <c r="I126" t="s">
        <v>95</v>
      </c>
      <c r="J126" t="s">
        <v>536</v>
      </c>
      <c r="K126">
        <v>8</v>
      </c>
      <c r="M126" t="s">
        <v>82</v>
      </c>
      <c r="N126" s="4">
        <v>1135.1600000000001</v>
      </c>
      <c r="O126" s="19" t="str">
        <f t="shared" si="5"/>
        <v>Jul-2024</v>
      </c>
      <c r="P126">
        <f t="shared" si="6"/>
        <v>2024</v>
      </c>
      <c r="Q126" t="str">
        <f t="shared" si="7"/>
        <v>OK</v>
      </c>
      <c r="R126">
        <v>1</v>
      </c>
      <c r="S126">
        <f t="shared" si="8"/>
        <v>0</v>
      </c>
      <c r="T126">
        <f t="shared" si="9"/>
        <v>0</v>
      </c>
    </row>
    <row r="127" spans="1:20">
      <c r="A127" t="s">
        <v>537</v>
      </c>
      <c r="B127" s="3">
        <v>45602</v>
      </c>
      <c r="C127" t="s">
        <v>538</v>
      </c>
      <c r="D127" t="s">
        <v>31</v>
      </c>
      <c r="E127">
        <v>2</v>
      </c>
      <c r="F127" s="4">
        <v>512.65</v>
      </c>
      <c r="G127" t="s">
        <v>539</v>
      </c>
      <c r="H127" t="s">
        <v>40</v>
      </c>
      <c r="I127" t="s">
        <v>25</v>
      </c>
      <c r="J127" t="s">
        <v>540</v>
      </c>
      <c r="K127">
        <v>5</v>
      </c>
      <c r="L127" t="s">
        <v>27</v>
      </c>
      <c r="M127" t="s">
        <v>44</v>
      </c>
      <c r="N127" s="4">
        <v>1025.3</v>
      </c>
      <c r="O127" s="19" t="str">
        <f t="shared" si="5"/>
        <v>Nov-2024</v>
      </c>
      <c r="P127">
        <f t="shared" si="6"/>
        <v>2024</v>
      </c>
      <c r="Q127" t="str">
        <f t="shared" si="7"/>
        <v>OK</v>
      </c>
      <c r="R127">
        <v>1</v>
      </c>
      <c r="S127">
        <f t="shared" si="8"/>
        <v>0</v>
      </c>
      <c r="T127">
        <f t="shared" si="9"/>
        <v>0</v>
      </c>
    </row>
    <row r="128" spans="1:20">
      <c r="A128" t="s">
        <v>541</v>
      </c>
      <c r="B128" s="3">
        <v>45780</v>
      </c>
      <c r="C128" t="s">
        <v>542</v>
      </c>
      <c r="D128" t="s">
        <v>79</v>
      </c>
      <c r="E128">
        <v>4</v>
      </c>
      <c r="F128" s="4">
        <v>275.5</v>
      </c>
      <c r="G128" t="s">
        <v>543</v>
      </c>
      <c r="H128" t="s">
        <v>66</v>
      </c>
      <c r="I128" t="s">
        <v>25</v>
      </c>
      <c r="J128" t="s">
        <v>544</v>
      </c>
      <c r="K128">
        <v>8</v>
      </c>
      <c r="L128" t="s">
        <v>43</v>
      </c>
      <c r="M128" t="s">
        <v>82</v>
      </c>
      <c r="N128" s="4">
        <v>1102</v>
      </c>
      <c r="O128" s="19" t="str">
        <f t="shared" si="5"/>
        <v>May-2025</v>
      </c>
      <c r="P128">
        <f t="shared" si="6"/>
        <v>2025</v>
      </c>
      <c r="Q128" t="str">
        <f t="shared" si="7"/>
        <v>OK</v>
      </c>
      <c r="R128">
        <v>1</v>
      </c>
      <c r="S128">
        <f t="shared" si="8"/>
        <v>0</v>
      </c>
      <c r="T128">
        <f t="shared" si="9"/>
        <v>0</v>
      </c>
    </row>
    <row r="129" spans="1:20">
      <c r="A129" t="s">
        <v>545</v>
      </c>
      <c r="B129" s="3">
        <v>45148</v>
      </c>
      <c r="C129" t="s">
        <v>546</v>
      </c>
      <c r="D129" t="s">
        <v>79</v>
      </c>
      <c r="E129">
        <v>3</v>
      </c>
      <c r="F129" s="4">
        <v>469.32</v>
      </c>
      <c r="G129" t="s">
        <v>547</v>
      </c>
      <c r="H129" t="s">
        <v>24</v>
      </c>
      <c r="I129" t="s">
        <v>25</v>
      </c>
      <c r="J129" t="s">
        <v>548</v>
      </c>
      <c r="K129">
        <v>3</v>
      </c>
      <c r="M129" t="s">
        <v>82</v>
      </c>
      <c r="N129" s="4">
        <v>1407.96</v>
      </c>
      <c r="O129" s="19" t="str">
        <f t="shared" si="5"/>
        <v>Aug-2023</v>
      </c>
      <c r="P129">
        <f t="shared" si="6"/>
        <v>2023</v>
      </c>
      <c r="Q129" t="str">
        <f t="shared" si="7"/>
        <v>OK</v>
      </c>
      <c r="R129">
        <v>1</v>
      </c>
      <c r="S129">
        <f t="shared" si="8"/>
        <v>0</v>
      </c>
      <c r="T129">
        <f t="shared" si="9"/>
        <v>0</v>
      </c>
    </row>
    <row r="130" spans="1:20">
      <c r="A130" t="s">
        <v>549</v>
      </c>
      <c r="B130" s="3">
        <v>44974</v>
      </c>
      <c r="C130" t="s">
        <v>550</v>
      </c>
      <c r="D130" t="s">
        <v>38</v>
      </c>
      <c r="E130">
        <v>4</v>
      </c>
      <c r="F130" s="4">
        <v>21.07</v>
      </c>
      <c r="G130" t="s">
        <v>551</v>
      </c>
      <c r="H130" t="s">
        <v>66</v>
      </c>
      <c r="I130" t="s">
        <v>56</v>
      </c>
      <c r="J130" t="s">
        <v>552</v>
      </c>
      <c r="K130">
        <v>4</v>
      </c>
      <c r="L130" t="s">
        <v>43</v>
      </c>
      <c r="M130" t="s">
        <v>82</v>
      </c>
      <c r="N130" s="4">
        <v>84.28</v>
      </c>
      <c r="O130" s="19" t="str">
        <f t="shared" ref="O130:O193" si="10">TEXT(B130,"mmm-yyyy")</f>
        <v>Feb-2023</v>
      </c>
      <c r="P130">
        <f t="shared" ref="P130:P193" si="11">YEAR(B130)</f>
        <v>2023</v>
      </c>
      <c r="Q130" t="str">
        <f t="shared" ref="Q130:Q193" si="12">IF(ABS(N130-(E130*F130))&lt;0.01,"OK","CHECK")</f>
        <v>OK</v>
      </c>
      <c r="R130">
        <v>1</v>
      </c>
      <c r="S130">
        <f t="shared" ref="S130:S193" si="13">IF(I130="Cancelled",1,0)</f>
        <v>0</v>
      </c>
      <c r="T130">
        <f t="shared" ref="T130:T193" si="14">IF(I130="Returned",1,0)</f>
        <v>0</v>
      </c>
    </row>
    <row r="131" spans="1:20">
      <c r="A131" t="s">
        <v>553</v>
      </c>
      <c r="B131" s="3">
        <v>45226</v>
      </c>
      <c r="C131" t="s">
        <v>554</v>
      </c>
      <c r="D131" t="s">
        <v>64</v>
      </c>
      <c r="E131">
        <v>4</v>
      </c>
      <c r="F131" s="4">
        <v>263.93</v>
      </c>
      <c r="G131" t="s">
        <v>555</v>
      </c>
      <c r="H131" t="s">
        <v>24</v>
      </c>
      <c r="I131" t="s">
        <v>25</v>
      </c>
      <c r="J131" t="s">
        <v>556</v>
      </c>
      <c r="K131">
        <v>4</v>
      </c>
      <c r="L131" t="s">
        <v>43</v>
      </c>
      <c r="M131" t="s">
        <v>51</v>
      </c>
      <c r="N131" s="4">
        <v>1055.72</v>
      </c>
      <c r="O131" s="19" t="str">
        <f t="shared" si="10"/>
        <v>Oct-2023</v>
      </c>
      <c r="P131">
        <f t="shared" si="11"/>
        <v>2023</v>
      </c>
      <c r="Q131" t="str">
        <f t="shared" si="12"/>
        <v>OK</v>
      </c>
      <c r="R131">
        <v>1</v>
      </c>
      <c r="S131">
        <f t="shared" si="13"/>
        <v>0</v>
      </c>
      <c r="T131">
        <f t="shared" si="14"/>
        <v>0</v>
      </c>
    </row>
    <row r="132" spans="1:20">
      <c r="A132" t="s">
        <v>557</v>
      </c>
      <c r="B132" s="3">
        <v>45679</v>
      </c>
      <c r="C132" t="s">
        <v>558</v>
      </c>
      <c r="D132" t="s">
        <v>79</v>
      </c>
      <c r="E132">
        <v>3</v>
      </c>
      <c r="F132" s="4">
        <v>501.3</v>
      </c>
      <c r="G132" t="s">
        <v>559</v>
      </c>
      <c r="H132" t="s">
        <v>33</v>
      </c>
      <c r="I132" t="s">
        <v>41</v>
      </c>
      <c r="J132" t="s">
        <v>560</v>
      </c>
      <c r="K132">
        <v>3</v>
      </c>
      <c r="L132" t="s">
        <v>87</v>
      </c>
      <c r="M132" t="s">
        <v>51</v>
      </c>
      <c r="N132" s="4">
        <v>1503.9</v>
      </c>
      <c r="O132" s="19" t="str">
        <f t="shared" si="10"/>
        <v>Jan-2025</v>
      </c>
      <c r="P132">
        <f t="shared" si="11"/>
        <v>2025</v>
      </c>
      <c r="Q132" t="str">
        <f t="shared" si="12"/>
        <v>OK</v>
      </c>
      <c r="R132">
        <v>1</v>
      </c>
      <c r="S132">
        <f t="shared" si="13"/>
        <v>1</v>
      </c>
      <c r="T132">
        <f t="shared" si="14"/>
        <v>0</v>
      </c>
    </row>
    <row r="133" spans="1:20">
      <c r="A133" t="s">
        <v>561</v>
      </c>
      <c r="B133" s="3">
        <v>44934</v>
      </c>
      <c r="C133" t="s">
        <v>562</v>
      </c>
      <c r="D133" t="s">
        <v>38</v>
      </c>
      <c r="E133">
        <v>1</v>
      </c>
      <c r="F133" s="4">
        <v>84.8</v>
      </c>
      <c r="G133" t="s">
        <v>563</v>
      </c>
      <c r="H133" t="s">
        <v>66</v>
      </c>
      <c r="I133" t="s">
        <v>95</v>
      </c>
      <c r="J133" t="s">
        <v>564</v>
      </c>
      <c r="K133">
        <v>5</v>
      </c>
      <c r="M133" t="s">
        <v>28</v>
      </c>
      <c r="N133" s="4">
        <v>84.8</v>
      </c>
      <c r="O133" s="19" t="str">
        <f t="shared" si="10"/>
        <v>Jan-2023</v>
      </c>
      <c r="P133">
        <f t="shared" si="11"/>
        <v>2023</v>
      </c>
      <c r="Q133" t="str">
        <f t="shared" si="12"/>
        <v>OK</v>
      </c>
      <c r="R133">
        <v>1</v>
      </c>
      <c r="S133">
        <f t="shared" si="13"/>
        <v>0</v>
      </c>
      <c r="T133">
        <f t="shared" si="14"/>
        <v>0</v>
      </c>
    </row>
    <row r="134" spans="1:20">
      <c r="A134" t="s">
        <v>565</v>
      </c>
      <c r="B134" s="3">
        <v>45013</v>
      </c>
      <c r="C134" t="s">
        <v>566</v>
      </c>
      <c r="D134" t="s">
        <v>38</v>
      </c>
      <c r="E134">
        <v>4</v>
      </c>
      <c r="F134" s="4">
        <v>450.75</v>
      </c>
      <c r="G134" t="s">
        <v>567</v>
      </c>
      <c r="H134" t="s">
        <v>40</v>
      </c>
      <c r="I134" t="s">
        <v>25</v>
      </c>
      <c r="J134" t="s">
        <v>568</v>
      </c>
      <c r="K134">
        <v>6</v>
      </c>
      <c r="L134" t="s">
        <v>87</v>
      </c>
      <c r="M134" t="s">
        <v>44</v>
      </c>
      <c r="N134" s="4">
        <v>1803</v>
      </c>
      <c r="O134" s="19" t="str">
        <f t="shared" si="10"/>
        <v>Mar-2023</v>
      </c>
      <c r="P134">
        <f t="shared" si="11"/>
        <v>2023</v>
      </c>
      <c r="Q134" t="str">
        <f t="shared" si="12"/>
        <v>OK</v>
      </c>
      <c r="R134">
        <v>1</v>
      </c>
      <c r="S134">
        <f t="shared" si="13"/>
        <v>0</v>
      </c>
      <c r="T134">
        <f t="shared" si="14"/>
        <v>0</v>
      </c>
    </row>
    <row r="135" spans="1:20">
      <c r="A135" t="s">
        <v>569</v>
      </c>
      <c r="B135" s="3">
        <v>45828</v>
      </c>
      <c r="C135" t="s">
        <v>570</v>
      </c>
      <c r="D135" t="s">
        <v>47</v>
      </c>
      <c r="E135">
        <v>4</v>
      </c>
      <c r="F135" s="4">
        <v>302.05</v>
      </c>
      <c r="G135" t="s">
        <v>571</v>
      </c>
      <c r="H135" t="s">
        <v>24</v>
      </c>
      <c r="I135" t="s">
        <v>41</v>
      </c>
      <c r="J135" t="s">
        <v>572</v>
      </c>
      <c r="K135">
        <v>6</v>
      </c>
      <c r="L135" t="s">
        <v>27</v>
      </c>
      <c r="M135" t="s">
        <v>82</v>
      </c>
      <c r="N135" s="4">
        <v>1208.2</v>
      </c>
      <c r="O135" s="19" t="str">
        <f t="shared" si="10"/>
        <v>Jun-2025</v>
      </c>
      <c r="P135">
        <f t="shared" si="11"/>
        <v>2025</v>
      </c>
      <c r="Q135" t="str">
        <f t="shared" si="12"/>
        <v>OK</v>
      </c>
      <c r="R135">
        <v>1</v>
      </c>
      <c r="S135">
        <f t="shared" si="13"/>
        <v>1</v>
      </c>
      <c r="T135">
        <f t="shared" si="14"/>
        <v>0</v>
      </c>
    </row>
    <row r="136" spans="1:20">
      <c r="A136" t="s">
        <v>573</v>
      </c>
      <c r="B136" s="3">
        <v>45831</v>
      </c>
      <c r="C136" t="s">
        <v>574</v>
      </c>
      <c r="D136" t="s">
        <v>64</v>
      </c>
      <c r="E136">
        <v>2</v>
      </c>
      <c r="F136" s="4">
        <v>199.7</v>
      </c>
      <c r="G136" t="s">
        <v>567</v>
      </c>
      <c r="H136" t="s">
        <v>71</v>
      </c>
      <c r="I136" t="s">
        <v>95</v>
      </c>
      <c r="J136" t="s">
        <v>575</v>
      </c>
      <c r="K136">
        <v>4</v>
      </c>
      <c r="M136" t="s">
        <v>44</v>
      </c>
      <c r="N136" s="4">
        <v>399.4</v>
      </c>
      <c r="O136" s="19" t="str">
        <f t="shared" si="10"/>
        <v>Jun-2025</v>
      </c>
      <c r="P136">
        <f t="shared" si="11"/>
        <v>2025</v>
      </c>
      <c r="Q136" t="str">
        <f t="shared" si="12"/>
        <v>OK</v>
      </c>
      <c r="R136">
        <v>1</v>
      </c>
      <c r="S136">
        <f t="shared" si="13"/>
        <v>0</v>
      </c>
      <c r="T136">
        <f t="shared" si="14"/>
        <v>0</v>
      </c>
    </row>
    <row r="137" spans="1:20">
      <c r="A137" t="s">
        <v>576</v>
      </c>
      <c r="B137" s="3">
        <v>45142</v>
      </c>
      <c r="C137" t="s">
        <v>577</v>
      </c>
      <c r="D137" t="s">
        <v>54</v>
      </c>
      <c r="E137">
        <v>2</v>
      </c>
      <c r="F137" s="4">
        <v>68.81</v>
      </c>
      <c r="G137" t="s">
        <v>578</v>
      </c>
      <c r="H137" t="s">
        <v>66</v>
      </c>
      <c r="I137" t="s">
        <v>25</v>
      </c>
      <c r="J137" t="s">
        <v>579</v>
      </c>
      <c r="K137">
        <v>5</v>
      </c>
      <c r="L137" t="s">
        <v>27</v>
      </c>
      <c r="M137" t="s">
        <v>35</v>
      </c>
      <c r="N137" s="4">
        <v>137.62</v>
      </c>
      <c r="O137" s="19" t="str">
        <f t="shared" si="10"/>
        <v>Aug-2023</v>
      </c>
      <c r="P137">
        <f t="shared" si="11"/>
        <v>2023</v>
      </c>
      <c r="Q137" t="str">
        <f t="shared" si="12"/>
        <v>OK</v>
      </c>
      <c r="R137">
        <v>1</v>
      </c>
      <c r="S137">
        <f t="shared" si="13"/>
        <v>0</v>
      </c>
      <c r="T137">
        <f t="shared" si="14"/>
        <v>0</v>
      </c>
    </row>
    <row r="138" spans="1:20">
      <c r="A138" t="s">
        <v>580</v>
      </c>
      <c r="B138" s="3">
        <v>45409</v>
      </c>
      <c r="C138" t="s">
        <v>581</v>
      </c>
      <c r="D138" t="s">
        <v>64</v>
      </c>
      <c r="E138">
        <v>1</v>
      </c>
      <c r="F138" s="4">
        <v>44.35</v>
      </c>
      <c r="G138" t="s">
        <v>582</v>
      </c>
      <c r="H138" t="s">
        <v>66</v>
      </c>
      <c r="I138" t="s">
        <v>41</v>
      </c>
      <c r="J138" t="s">
        <v>583</v>
      </c>
      <c r="K138">
        <v>1</v>
      </c>
      <c r="L138" t="s">
        <v>27</v>
      </c>
      <c r="M138" t="s">
        <v>28</v>
      </c>
      <c r="N138" s="4">
        <v>44.35</v>
      </c>
      <c r="O138" s="19" t="str">
        <f t="shared" si="10"/>
        <v>Apr-2024</v>
      </c>
      <c r="P138">
        <f t="shared" si="11"/>
        <v>2024</v>
      </c>
      <c r="Q138" t="str">
        <f t="shared" si="12"/>
        <v>OK</v>
      </c>
      <c r="R138">
        <v>1</v>
      </c>
      <c r="S138">
        <f t="shared" si="13"/>
        <v>1</v>
      </c>
      <c r="T138">
        <f t="shared" si="14"/>
        <v>0</v>
      </c>
    </row>
    <row r="139" spans="1:20">
      <c r="A139" t="s">
        <v>584</v>
      </c>
      <c r="B139" s="3">
        <v>45622</v>
      </c>
      <c r="C139" t="s">
        <v>585</v>
      </c>
      <c r="D139" t="s">
        <v>22</v>
      </c>
      <c r="E139">
        <v>2</v>
      </c>
      <c r="F139" s="4">
        <v>250.98</v>
      </c>
      <c r="G139" t="s">
        <v>586</v>
      </c>
      <c r="H139" t="s">
        <v>40</v>
      </c>
      <c r="I139" t="s">
        <v>56</v>
      </c>
      <c r="J139" t="s">
        <v>587</v>
      </c>
      <c r="K139">
        <v>5</v>
      </c>
      <c r="M139" t="s">
        <v>82</v>
      </c>
      <c r="N139" s="4">
        <v>501.96</v>
      </c>
      <c r="O139" s="19" t="str">
        <f t="shared" si="10"/>
        <v>Nov-2024</v>
      </c>
      <c r="P139">
        <f t="shared" si="11"/>
        <v>2024</v>
      </c>
      <c r="Q139" t="str">
        <f t="shared" si="12"/>
        <v>OK</v>
      </c>
      <c r="R139">
        <v>1</v>
      </c>
      <c r="S139">
        <f t="shared" si="13"/>
        <v>0</v>
      </c>
      <c r="T139">
        <f t="shared" si="14"/>
        <v>0</v>
      </c>
    </row>
    <row r="140" spans="1:20">
      <c r="A140" t="s">
        <v>588</v>
      </c>
      <c r="B140" s="3">
        <v>45281</v>
      </c>
      <c r="C140" t="s">
        <v>589</v>
      </c>
      <c r="D140" t="s">
        <v>38</v>
      </c>
      <c r="E140">
        <v>1</v>
      </c>
      <c r="F140" s="4">
        <v>298.06</v>
      </c>
      <c r="G140" t="s">
        <v>590</v>
      </c>
      <c r="H140" t="s">
        <v>24</v>
      </c>
      <c r="I140" t="s">
        <v>95</v>
      </c>
      <c r="J140" t="s">
        <v>591</v>
      </c>
      <c r="K140">
        <v>3</v>
      </c>
      <c r="L140" t="s">
        <v>87</v>
      </c>
      <c r="M140" t="s">
        <v>82</v>
      </c>
      <c r="N140" s="4">
        <v>298.06</v>
      </c>
      <c r="O140" s="19" t="str">
        <f t="shared" si="10"/>
        <v>Dec-2023</v>
      </c>
      <c r="P140">
        <f t="shared" si="11"/>
        <v>2023</v>
      </c>
      <c r="Q140" t="str">
        <f t="shared" si="12"/>
        <v>OK</v>
      </c>
      <c r="R140">
        <v>1</v>
      </c>
      <c r="S140">
        <f t="shared" si="13"/>
        <v>0</v>
      </c>
      <c r="T140">
        <f t="shared" si="14"/>
        <v>0</v>
      </c>
    </row>
    <row r="141" spans="1:20">
      <c r="A141" t="s">
        <v>592</v>
      </c>
      <c r="B141" s="3">
        <v>45026</v>
      </c>
      <c r="C141" t="s">
        <v>593</v>
      </c>
      <c r="D141" t="s">
        <v>31</v>
      </c>
      <c r="E141">
        <v>1</v>
      </c>
      <c r="F141" s="4">
        <v>583.9</v>
      </c>
      <c r="G141" t="s">
        <v>594</v>
      </c>
      <c r="H141" t="s">
        <v>71</v>
      </c>
      <c r="I141" t="s">
        <v>49</v>
      </c>
      <c r="J141" t="s">
        <v>595</v>
      </c>
      <c r="K141">
        <v>1</v>
      </c>
      <c r="M141" t="s">
        <v>44</v>
      </c>
      <c r="N141" s="4">
        <v>583.9</v>
      </c>
      <c r="O141" s="19" t="str">
        <f t="shared" si="10"/>
        <v>Apr-2023</v>
      </c>
      <c r="P141">
        <f t="shared" si="11"/>
        <v>2023</v>
      </c>
      <c r="Q141" t="str">
        <f t="shared" si="12"/>
        <v>OK</v>
      </c>
      <c r="R141">
        <v>1</v>
      </c>
      <c r="S141">
        <f t="shared" si="13"/>
        <v>0</v>
      </c>
      <c r="T141">
        <f t="shared" si="14"/>
        <v>1</v>
      </c>
    </row>
    <row r="142" spans="1:20">
      <c r="A142" t="s">
        <v>596</v>
      </c>
      <c r="B142" s="3">
        <v>45808</v>
      </c>
      <c r="C142" t="s">
        <v>597</v>
      </c>
      <c r="D142" t="s">
        <v>47</v>
      </c>
      <c r="E142">
        <v>3</v>
      </c>
      <c r="F142" s="4">
        <v>528.14</v>
      </c>
      <c r="G142" t="s">
        <v>480</v>
      </c>
      <c r="H142" t="s">
        <v>33</v>
      </c>
      <c r="I142" t="s">
        <v>56</v>
      </c>
      <c r="J142" t="s">
        <v>598</v>
      </c>
      <c r="K142">
        <v>3</v>
      </c>
      <c r="L142" t="s">
        <v>43</v>
      </c>
      <c r="M142" t="s">
        <v>44</v>
      </c>
      <c r="N142" s="4">
        <v>1584.42</v>
      </c>
      <c r="O142" s="19" t="str">
        <f t="shared" si="10"/>
        <v>May-2025</v>
      </c>
      <c r="P142">
        <f t="shared" si="11"/>
        <v>2025</v>
      </c>
      <c r="Q142" t="str">
        <f t="shared" si="12"/>
        <v>OK</v>
      </c>
      <c r="R142">
        <v>1</v>
      </c>
      <c r="S142">
        <f t="shared" si="13"/>
        <v>0</v>
      </c>
      <c r="T142">
        <f t="shared" si="14"/>
        <v>0</v>
      </c>
    </row>
    <row r="143" spans="1:20">
      <c r="A143" t="s">
        <v>599</v>
      </c>
      <c r="B143" s="3">
        <v>45248</v>
      </c>
      <c r="C143" t="s">
        <v>600</v>
      </c>
      <c r="D143" t="s">
        <v>54</v>
      </c>
      <c r="E143">
        <v>3</v>
      </c>
      <c r="F143" s="4">
        <v>684.14</v>
      </c>
      <c r="G143" t="s">
        <v>601</v>
      </c>
      <c r="H143" t="s">
        <v>71</v>
      </c>
      <c r="I143" t="s">
        <v>41</v>
      </c>
      <c r="J143" t="s">
        <v>602</v>
      </c>
      <c r="K143">
        <v>3</v>
      </c>
      <c r="L143" t="s">
        <v>87</v>
      </c>
      <c r="M143" t="s">
        <v>28</v>
      </c>
      <c r="N143" s="4">
        <v>2052.42</v>
      </c>
      <c r="O143" s="19" t="str">
        <f t="shared" si="10"/>
        <v>Nov-2023</v>
      </c>
      <c r="P143">
        <f t="shared" si="11"/>
        <v>2023</v>
      </c>
      <c r="Q143" t="str">
        <f t="shared" si="12"/>
        <v>OK</v>
      </c>
      <c r="R143">
        <v>1</v>
      </c>
      <c r="S143">
        <f t="shared" si="13"/>
        <v>1</v>
      </c>
      <c r="T143">
        <f t="shared" si="14"/>
        <v>0</v>
      </c>
    </row>
    <row r="144" spans="1:20">
      <c r="A144" t="s">
        <v>603</v>
      </c>
      <c r="B144" s="3">
        <v>45175</v>
      </c>
      <c r="C144" t="s">
        <v>604</v>
      </c>
      <c r="D144" t="s">
        <v>79</v>
      </c>
      <c r="E144">
        <v>5</v>
      </c>
      <c r="F144" s="4">
        <v>272.77</v>
      </c>
      <c r="G144" t="s">
        <v>605</v>
      </c>
      <c r="H144" t="s">
        <v>71</v>
      </c>
      <c r="I144" t="s">
        <v>95</v>
      </c>
      <c r="J144" t="s">
        <v>606</v>
      </c>
      <c r="K144">
        <v>7</v>
      </c>
      <c r="L144" t="s">
        <v>87</v>
      </c>
      <c r="M144" t="s">
        <v>44</v>
      </c>
      <c r="N144" s="4">
        <v>1363.85</v>
      </c>
      <c r="O144" s="19" t="str">
        <f t="shared" si="10"/>
        <v>Sep-2023</v>
      </c>
      <c r="P144">
        <f t="shared" si="11"/>
        <v>2023</v>
      </c>
      <c r="Q144" t="str">
        <f t="shared" si="12"/>
        <v>OK</v>
      </c>
      <c r="R144">
        <v>1</v>
      </c>
      <c r="S144">
        <f t="shared" si="13"/>
        <v>0</v>
      </c>
      <c r="T144">
        <f t="shared" si="14"/>
        <v>0</v>
      </c>
    </row>
    <row r="145" spans="1:20">
      <c r="A145" t="s">
        <v>607</v>
      </c>
      <c r="B145" s="3">
        <v>45456</v>
      </c>
      <c r="C145" t="s">
        <v>608</v>
      </c>
      <c r="D145" t="s">
        <v>47</v>
      </c>
      <c r="E145">
        <v>4</v>
      </c>
      <c r="F145" s="4">
        <v>400.07</v>
      </c>
      <c r="G145" t="s">
        <v>609</v>
      </c>
      <c r="H145" t="s">
        <v>33</v>
      </c>
      <c r="I145" t="s">
        <v>25</v>
      </c>
      <c r="J145" t="s">
        <v>610</v>
      </c>
      <c r="K145">
        <v>5</v>
      </c>
      <c r="M145" t="s">
        <v>35</v>
      </c>
      <c r="N145" s="4">
        <v>1600.28</v>
      </c>
      <c r="O145" s="19" t="str">
        <f t="shared" si="10"/>
        <v>Jun-2024</v>
      </c>
      <c r="P145">
        <f t="shared" si="11"/>
        <v>2024</v>
      </c>
      <c r="Q145" t="str">
        <f t="shared" si="12"/>
        <v>OK</v>
      </c>
      <c r="R145">
        <v>1</v>
      </c>
      <c r="S145">
        <f t="shared" si="13"/>
        <v>0</v>
      </c>
      <c r="T145">
        <f t="shared" si="14"/>
        <v>0</v>
      </c>
    </row>
    <row r="146" spans="1:20">
      <c r="A146" t="s">
        <v>611</v>
      </c>
      <c r="B146" s="3">
        <v>45142</v>
      </c>
      <c r="C146" t="s">
        <v>612</v>
      </c>
      <c r="D146" t="s">
        <v>79</v>
      </c>
      <c r="E146">
        <v>5</v>
      </c>
      <c r="F146" s="4">
        <v>219.78</v>
      </c>
      <c r="G146" t="s">
        <v>167</v>
      </c>
      <c r="H146" t="s">
        <v>40</v>
      </c>
      <c r="I146" t="s">
        <v>95</v>
      </c>
      <c r="J146" t="s">
        <v>613</v>
      </c>
      <c r="K146">
        <v>8</v>
      </c>
      <c r="M146" t="s">
        <v>51</v>
      </c>
      <c r="N146" s="4">
        <v>1098.9000000000001</v>
      </c>
      <c r="O146" s="19" t="str">
        <f t="shared" si="10"/>
        <v>Aug-2023</v>
      </c>
      <c r="P146">
        <f t="shared" si="11"/>
        <v>2023</v>
      </c>
      <c r="Q146" t="str">
        <f t="shared" si="12"/>
        <v>OK</v>
      </c>
      <c r="R146">
        <v>1</v>
      </c>
      <c r="S146">
        <f t="shared" si="13"/>
        <v>0</v>
      </c>
      <c r="T146">
        <f t="shared" si="14"/>
        <v>0</v>
      </c>
    </row>
    <row r="147" spans="1:20">
      <c r="A147" t="s">
        <v>614</v>
      </c>
      <c r="B147" s="3">
        <v>45353</v>
      </c>
      <c r="C147" t="s">
        <v>615</v>
      </c>
      <c r="D147" t="s">
        <v>54</v>
      </c>
      <c r="E147">
        <v>3</v>
      </c>
      <c r="F147" s="4">
        <v>146.91</v>
      </c>
      <c r="G147" t="s">
        <v>616</v>
      </c>
      <c r="H147" t="s">
        <v>40</v>
      </c>
      <c r="I147" t="s">
        <v>56</v>
      </c>
      <c r="J147" t="s">
        <v>617</v>
      </c>
      <c r="K147">
        <v>6</v>
      </c>
      <c r="L147" t="s">
        <v>43</v>
      </c>
      <c r="M147" t="s">
        <v>82</v>
      </c>
      <c r="N147" s="4">
        <v>440.73</v>
      </c>
      <c r="O147" s="19" t="str">
        <f t="shared" si="10"/>
        <v>Mar-2024</v>
      </c>
      <c r="P147">
        <f t="shared" si="11"/>
        <v>2024</v>
      </c>
      <c r="Q147" t="str">
        <f t="shared" si="12"/>
        <v>OK</v>
      </c>
      <c r="R147">
        <v>1</v>
      </c>
      <c r="S147">
        <f t="shared" si="13"/>
        <v>0</v>
      </c>
      <c r="T147">
        <f t="shared" si="14"/>
        <v>0</v>
      </c>
    </row>
    <row r="148" spans="1:20">
      <c r="A148" t="s">
        <v>618</v>
      </c>
      <c r="B148" s="3">
        <v>45777</v>
      </c>
      <c r="C148" t="s">
        <v>619</v>
      </c>
      <c r="D148" t="s">
        <v>38</v>
      </c>
      <c r="E148">
        <v>2</v>
      </c>
      <c r="F148" s="4">
        <v>411.49</v>
      </c>
      <c r="G148" t="s">
        <v>620</v>
      </c>
      <c r="H148" t="s">
        <v>40</v>
      </c>
      <c r="I148" t="s">
        <v>49</v>
      </c>
      <c r="J148" t="s">
        <v>621</v>
      </c>
      <c r="K148">
        <v>4</v>
      </c>
      <c r="M148" t="s">
        <v>28</v>
      </c>
      <c r="N148" s="4">
        <v>822.98</v>
      </c>
      <c r="O148" s="19" t="str">
        <f t="shared" si="10"/>
        <v>Apr-2025</v>
      </c>
      <c r="P148">
        <f t="shared" si="11"/>
        <v>2025</v>
      </c>
      <c r="Q148" t="str">
        <f t="shared" si="12"/>
        <v>OK</v>
      </c>
      <c r="R148">
        <v>1</v>
      </c>
      <c r="S148">
        <f t="shared" si="13"/>
        <v>0</v>
      </c>
      <c r="T148">
        <f t="shared" si="14"/>
        <v>1</v>
      </c>
    </row>
    <row r="149" spans="1:20">
      <c r="A149" t="s">
        <v>622</v>
      </c>
      <c r="B149" s="3">
        <v>45783</v>
      </c>
      <c r="C149" t="s">
        <v>623</v>
      </c>
      <c r="D149" t="s">
        <v>64</v>
      </c>
      <c r="E149">
        <v>2</v>
      </c>
      <c r="F149" s="4">
        <v>465.18</v>
      </c>
      <c r="G149" t="s">
        <v>624</v>
      </c>
      <c r="H149" t="s">
        <v>40</v>
      </c>
      <c r="I149" t="s">
        <v>41</v>
      </c>
      <c r="J149" t="s">
        <v>625</v>
      </c>
      <c r="K149">
        <v>2</v>
      </c>
      <c r="L149" t="s">
        <v>27</v>
      </c>
      <c r="M149" t="s">
        <v>82</v>
      </c>
      <c r="N149" s="4">
        <v>930.36</v>
      </c>
      <c r="O149" s="19" t="str">
        <f t="shared" si="10"/>
        <v>May-2025</v>
      </c>
      <c r="P149">
        <f t="shared" si="11"/>
        <v>2025</v>
      </c>
      <c r="Q149" t="str">
        <f t="shared" si="12"/>
        <v>OK</v>
      </c>
      <c r="R149">
        <v>1</v>
      </c>
      <c r="S149">
        <f t="shared" si="13"/>
        <v>1</v>
      </c>
      <c r="T149">
        <f t="shared" si="14"/>
        <v>0</v>
      </c>
    </row>
    <row r="150" spans="1:20">
      <c r="A150" t="s">
        <v>626</v>
      </c>
      <c r="B150" s="3">
        <v>45641</v>
      </c>
      <c r="C150" t="s">
        <v>627</v>
      </c>
      <c r="D150" t="s">
        <v>31</v>
      </c>
      <c r="E150">
        <v>2</v>
      </c>
      <c r="F150" s="4">
        <v>319.91000000000003</v>
      </c>
      <c r="G150" t="s">
        <v>628</v>
      </c>
      <c r="H150" t="s">
        <v>40</v>
      </c>
      <c r="I150" t="s">
        <v>41</v>
      </c>
      <c r="J150" t="s">
        <v>629</v>
      </c>
      <c r="K150">
        <v>3</v>
      </c>
      <c r="L150" t="s">
        <v>87</v>
      </c>
      <c r="M150" t="s">
        <v>82</v>
      </c>
      <c r="N150" s="4">
        <v>639.82000000000005</v>
      </c>
      <c r="O150" s="19" t="str">
        <f t="shared" si="10"/>
        <v>Dec-2024</v>
      </c>
      <c r="P150">
        <f t="shared" si="11"/>
        <v>2024</v>
      </c>
      <c r="Q150" t="str">
        <f t="shared" si="12"/>
        <v>OK</v>
      </c>
      <c r="R150">
        <v>1</v>
      </c>
      <c r="S150">
        <f t="shared" si="13"/>
        <v>1</v>
      </c>
      <c r="T150">
        <f t="shared" si="14"/>
        <v>0</v>
      </c>
    </row>
    <row r="151" spans="1:20">
      <c r="A151" t="s">
        <v>630</v>
      </c>
      <c r="B151" s="3">
        <v>45287</v>
      </c>
      <c r="C151" t="s">
        <v>631</v>
      </c>
      <c r="D151" t="s">
        <v>64</v>
      </c>
      <c r="E151">
        <v>1</v>
      </c>
      <c r="F151" s="4">
        <v>217.56</v>
      </c>
      <c r="G151" t="s">
        <v>632</v>
      </c>
      <c r="H151" t="s">
        <v>24</v>
      </c>
      <c r="I151" t="s">
        <v>56</v>
      </c>
      <c r="J151" t="s">
        <v>633</v>
      </c>
      <c r="K151">
        <v>3</v>
      </c>
      <c r="M151" t="s">
        <v>51</v>
      </c>
      <c r="N151" s="4">
        <v>217.56</v>
      </c>
      <c r="O151" s="19" t="str">
        <f t="shared" si="10"/>
        <v>Dec-2023</v>
      </c>
      <c r="P151">
        <f t="shared" si="11"/>
        <v>2023</v>
      </c>
      <c r="Q151" t="str">
        <f t="shared" si="12"/>
        <v>OK</v>
      </c>
      <c r="R151">
        <v>1</v>
      </c>
      <c r="S151">
        <f t="shared" si="13"/>
        <v>0</v>
      </c>
      <c r="T151">
        <f t="shared" si="14"/>
        <v>0</v>
      </c>
    </row>
    <row r="152" spans="1:20">
      <c r="A152" t="s">
        <v>634</v>
      </c>
      <c r="B152" s="3">
        <v>45273</v>
      </c>
      <c r="C152" t="s">
        <v>635</v>
      </c>
      <c r="D152" t="s">
        <v>31</v>
      </c>
      <c r="E152">
        <v>2</v>
      </c>
      <c r="F152" s="4">
        <v>105.57</v>
      </c>
      <c r="G152" t="s">
        <v>636</v>
      </c>
      <c r="H152" t="s">
        <v>24</v>
      </c>
      <c r="I152" t="s">
        <v>49</v>
      </c>
      <c r="J152" t="s">
        <v>637</v>
      </c>
      <c r="K152">
        <v>5</v>
      </c>
      <c r="L152" t="s">
        <v>87</v>
      </c>
      <c r="M152" t="s">
        <v>82</v>
      </c>
      <c r="N152" s="4">
        <v>211.14</v>
      </c>
      <c r="O152" s="19" t="str">
        <f t="shared" si="10"/>
        <v>Dec-2023</v>
      </c>
      <c r="P152">
        <f t="shared" si="11"/>
        <v>2023</v>
      </c>
      <c r="Q152" t="str">
        <f t="shared" si="12"/>
        <v>OK</v>
      </c>
      <c r="R152">
        <v>1</v>
      </c>
      <c r="S152">
        <f t="shared" si="13"/>
        <v>0</v>
      </c>
      <c r="T152">
        <f t="shared" si="14"/>
        <v>1</v>
      </c>
    </row>
    <row r="153" spans="1:20">
      <c r="A153" t="s">
        <v>638</v>
      </c>
      <c r="B153" s="3">
        <v>45261</v>
      </c>
      <c r="C153" t="s">
        <v>639</v>
      </c>
      <c r="D153" t="s">
        <v>54</v>
      </c>
      <c r="E153">
        <v>5</v>
      </c>
      <c r="F153" s="4">
        <v>444.76</v>
      </c>
      <c r="G153" t="s">
        <v>640</v>
      </c>
      <c r="H153" t="s">
        <v>24</v>
      </c>
      <c r="I153" t="s">
        <v>49</v>
      </c>
      <c r="J153" t="s">
        <v>641</v>
      </c>
      <c r="K153">
        <v>7</v>
      </c>
      <c r="M153" t="s">
        <v>44</v>
      </c>
      <c r="N153" s="4">
        <v>2223.8000000000002</v>
      </c>
      <c r="O153" s="19" t="str">
        <f t="shared" si="10"/>
        <v>Dec-2023</v>
      </c>
      <c r="P153">
        <f t="shared" si="11"/>
        <v>2023</v>
      </c>
      <c r="Q153" t="str">
        <f t="shared" si="12"/>
        <v>OK</v>
      </c>
      <c r="R153">
        <v>1</v>
      </c>
      <c r="S153">
        <f t="shared" si="13"/>
        <v>0</v>
      </c>
      <c r="T153">
        <f t="shared" si="14"/>
        <v>1</v>
      </c>
    </row>
    <row r="154" spans="1:20">
      <c r="A154" t="s">
        <v>642</v>
      </c>
      <c r="B154" s="3">
        <v>45659</v>
      </c>
      <c r="C154" t="s">
        <v>643</v>
      </c>
      <c r="D154" t="s">
        <v>47</v>
      </c>
      <c r="E154">
        <v>2</v>
      </c>
      <c r="F154" s="4">
        <v>399.04</v>
      </c>
      <c r="G154" t="s">
        <v>644</v>
      </c>
      <c r="H154" t="s">
        <v>71</v>
      </c>
      <c r="I154" t="s">
        <v>41</v>
      </c>
      <c r="J154" t="s">
        <v>645</v>
      </c>
      <c r="K154">
        <v>3</v>
      </c>
      <c r="L154" t="s">
        <v>43</v>
      </c>
      <c r="M154" t="s">
        <v>35</v>
      </c>
      <c r="N154" s="4">
        <v>798.08</v>
      </c>
      <c r="O154" s="19" t="str">
        <f t="shared" si="10"/>
        <v>Jan-2025</v>
      </c>
      <c r="P154">
        <f t="shared" si="11"/>
        <v>2025</v>
      </c>
      <c r="Q154" t="str">
        <f t="shared" si="12"/>
        <v>OK</v>
      </c>
      <c r="R154">
        <v>1</v>
      </c>
      <c r="S154">
        <f t="shared" si="13"/>
        <v>1</v>
      </c>
      <c r="T154">
        <f t="shared" si="14"/>
        <v>0</v>
      </c>
    </row>
    <row r="155" spans="1:20">
      <c r="A155" t="s">
        <v>646</v>
      </c>
      <c r="B155" s="3">
        <v>45644</v>
      </c>
      <c r="C155" t="s">
        <v>647</v>
      </c>
      <c r="D155" t="s">
        <v>47</v>
      </c>
      <c r="E155">
        <v>4</v>
      </c>
      <c r="F155" s="4">
        <v>534.48</v>
      </c>
      <c r="G155" t="s">
        <v>648</v>
      </c>
      <c r="H155" t="s">
        <v>33</v>
      </c>
      <c r="I155" t="s">
        <v>49</v>
      </c>
      <c r="J155" t="s">
        <v>649</v>
      </c>
      <c r="K155">
        <v>9</v>
      </c>
      <c r="L155" t="s">
        <v>87</v>
      </c>
      <c r="M155" t="s">
        <v>28</v>
      </c>
      <c r="N155" s="4">
        <v>2137.92</v>
      </c>
      <c r="O155" s="19" t="str">
        <f t="shared" si="10"/>
        <v>Dec-2024</v>
      </c>
      <c r="P155">
        <f t="shared" si="11"/>
        <v>2024</v>
      </c>
      <c r="Q155" t="str">
        <f t="shared" si="12"/>
        <v>OK</v>
      </c>
      <c r="R155">
        <v>1</v>
      </c>
      <c r="S155">
        <f t="shared" si="13"/>
        <v>0</v>
      </c>
      <c r="T155">
        <f t="shared" si="14"/>
        <v>1</v>
      </c>
    </row>
    <row r="156" spans="1:20">
      <c r="A156" t="s">
        <v>650</v>
      </c>
      <c r="B156" s="3">
        <v>45127</v>
      </c>
      <c r="C156" t="s">
        <v>651</v>
      </c>
      <c r="D156" t="s">
        <v>31</v>
      </c>
      <c r="E156">
        <v>4</v>
      </c>
      <c r="F156" s="4">
        <v>408.21</v>
      </c>
      <c r="G156" t="s">
        <v>531</v>
      </c>
      <c r="H156" t="s">
        <v>40</v>
      </c>
      <c r="I156" t="s">
        <v>95</v>
      </c>
      <c r="J156" t="s">
        <v>652</v>
      </c>
      <c r="K156">
        <v>9</v>
      </c>
      <c r="M156" t="s">
        <v>28</v>
      </c>
      <c r="N156" s="4">
        <v>1632.84</v>
      </c>
      <c r="O156" s="19" t="str">
        <f t="shared" si="10"/>
        <v>Jul-2023</v>
      </c>
      <c r="P156">
        <f t="shared" si="11"/>
        <v>2023</v>
      </c>
      <c r="Q156" t="str">
        <f t="shared" si="12"/>
        <v>OK</v>
      </c>
      <c r="R156">
        <v>1</v>
      </c>
      <c r="S156">
        <f t="shared" si="13"/>
        <v>0</v>
      </c>
      <c r="T156">
        <f t="shared" si="14"/>
        <v>0</v>
      </c>
    </row>
    <row r="157" spans="1:20">
      <c r="A157" t="s">
        <v>653</v>
      </c>
      <c r="B157" s="3">
        <v>44984</v>
      </c>
      <c r="C157" t="s">
        <v>654</v>
      </c>
      <c r="D157" t="s">
        <v>31</v>
      </c>
      <c r="E157">
        <v>1</v>
      </c>
      <c r="F157" s="4">
        <v>424.4</v>
      </c>
      <c r="G157" t="s">
        <v>244</v>
      </c>
      <c r="H157" t="s">
        <v>33</v>
      </c>
      <c r="I157" t="s">
        <v>25</v>
      </c>
      <c r="J157" t="s">
        <v>655</v>
      </c>
      <c r="K157">
        <v>6</v>
      </c>
      <c r="L157" t="s">
        <v>87</v>
      </c>
      <c r="M157" t="s">
        <v>35</v>
      </c>
      <c r="N157" s="4">
        <v>424.4</v>
      </c>
      <c r="O157" s="19" t="str">
        <f t="shared" si="10"/>
        <v>Feb-2023</v>
      </c>
      <c r="P157">
        <f t="shared" si="11"/>
        <v>2023</v>
      </c>
      <c r="Q157" t="str">
        <f t="shared" si="12"/>
        <v>OK</v>
      </c>
      <c r="R157">
        <v>1</v>
      </c>
      <c r="S157">
        <f t="shared" si="13"/>
        <v>0</v>
      </c>
      <c r="T157">
        <f t="shared" si="14"/>
        <v>0</v>
      </c>
    </row>
    <row r="158" spans="1:20">
      <c r="A158" t="s">
        <v>656</v>
      </c>
      <c r="B158" s="3">
        <v>45604</v>
      </c>
      <c r="C158" t="s">
        <v>657</v>
      </c>
      <c r="D158" t="s">
        <v>47</v>
      </c>
      <c r="E158">
        <v>2</v>
      </c>
      <c r="F158" s="4">
        <v>269.83</v>
      </c>
      <c r="G158" t="s">
        <v>658</v>
      </c>
      <c r="H158" t="s">
        <v>33</v>
      </c>
      <c r="I158" t="s">
        <v>56</v>
      </c>
      <c r="J158" t="s">
        <v>659</v>
      </c>
      <c r="K158">
        <v>4</v>
      </c>
      <c r="L158" t="s">
        <v>27</v>
      </c>
      <c r="M158" t="s">
        <v>44</v>
      </c>
      <c r="N158" s="4">
        <v>539.66</v>
      </c>
      <c r="O158" s="19" t="str">
        <f t="shared" si="10"/>
        <v>Nov-2024</v>
      </c>
      <c r="P158">
        <f t="shared" si="11"/>
        <v>2024</v>
      </c>
      <c r="Q158" t="str">
        <f t="shared" si="12"/>
        <v>OK</v>
      </c>
      <c r="R158">
        <v>1</v>
      </c>
      <c r="S158">
        <f t="shared" si="13"/>
        <v>0</v>
      </c>
      <c r="T158">
        <f t="shared" si="14"/>
        <v>0</v>
      </c>
    </row>
    <row r="159" spans="1:20">
      <c r="A159" t="s">
        <v>660</v>
      </c>
      <c r="B159" s="3">
        <v>45709</v>
      </c>
      <c r="C159" t="s">
        <v>661</v>
      </c>
      <c r="D159" t="s">
        <v>22</v>
      </c>
      <c r="E159">
        <v>2</v>
      </c>
      <c r="F159" s="4">
        <v>564.58000000000004</v>
      </c>
      <c r="G159" t="s">
        <v>571</v>
      </c>
      <c r="H159" t="s">
        <v>33</v>
      </c>
      <c r="I159" t="s">
        <v>49</v>
      </c>
      <c r="J159" t="s">
        <v>662</v>
      </c>
      <c r="K159">
        <v>4</v>
      </c>
      <c r="L159" t="s">
        <v>87</v>
      </c>
      <c r="M159" t="s">
        <v>51</v>
      </c>
      <c r="N159" s="4">
        <v>1129.1600000000001</v>
      </c>
      <c r="O159" s="19" t="str">
        <f t="shared" si="10"/>
        <v>Feb-2025</v>
      </c>
      <c r="P159">
        <f t="shared" si="11"/>
        <v>2025</v>
      </c>
      <c r="Q159" t="str">
        <f t="shared" si="12"/>
        <v>OK</v>
      </c>
      <c r="R159">
        <v>1</v>
      </c>
      <c r="S159">
        <f t="shared" si="13"/>
        <v>0</v>
      </c>
      <c r="T159">
        <f t="shared" si="14"/>
        <v>1</v>
      </c>
    </row>
    <row r="160" spans="1:20">
      <c r="A160" t="s">
        <v>663</v>
      </c>
      <c r="B160" s="3">
        <v>45428</v>
      </c>
      <c r="C160" t="s">
        <v>664</v>
      </c>
      <c r="D160" t="s">
        <v>38</v>
      </c>
      <c r="E160">
        <v>1</v>
      </c>
      <c r="F160" s="4">
        <v>331.06</v>
      </c>
      <c r="G160" t="s">
        <v>665</v>
      </c>
      <c r="H160" t="s">
        <v>40</v>
      </c>
      <c r="I160" t="s">
        <v>95</v>
      </c>
      <c r="J160" t="s">
        <v>666</v>
      </c>
      <c r="K160">
        <v>5</v>
      </c>
      <c r="L160" t="s">
        <v>87</v>
      </c>
      <c r="M160" t="s">
        <v>28</v>
      </c>
      <c r="N160" s="4">
        <v>331.06</v>
      </c>
      <c r="O160" s="19" t="str">
        <f t="shared" si="10"/>
        <v>May-2024</v>
      </c>
      <c r="P160">
        <f t="shared" si="11"/>
        <v>2024</v>
      </c>
      <c r="Q160" t="str">
        <f t="shared" si="12"/>
        <v>OK</v>
      </c>
      <c r="R160">
        <v>1</v>
      </c>
      <c r="S160">
        <f t="shared" si="13"/>
        <v>0</v>
      </c>
      <c r="T160">
        <f t="shared" si="14"/>
        <v>0</v>
      </c>
    </row>
    <row r="161" spans="1:20">
      <c r="A161" t="s">
        <v>667</v>
      </c>
      <c r="B161" s="3">
        <v>45230</v>
      </c>
      <c r="C161" t="s">
        <v>668</v>
      </c>
      <c r="D161" t="s">
        <v>54</v>
      </c>
      <c r="E161">
        <v>1</v>
      </c>
      <c r="F161" s="4">
        <v>299.35000000000002</v>
      </c>
      <c r="G161" t="s">
        <v>669</v>
      </c>
      <c r="H161" t="s">
        <v>40</v>
      </c>
      <c r="I161" t="s">
        <v>41</v>
      </c>
      <c r="J161" t="s">
        <v>670</v>
      </c>
      <c r="K161">
        <v>5</v>
      </c>
      <c r="L161" t="s">
        <v>87</v>
      </c>
      <c r="M161" t="s">
        <v>44</v>
      </c>
      <c r="N161" s="4">
        <v>299.35000000000002</v>
      </c>
      <c r="O161" s="19" t="str">
        <f t="shared" si="10"/>
        <v>Oct-2023</v>
      </c>
      <c r="P161">
        <f t="shared" si="11"/>
        <v>2023</v>
      </c>
      <c r="Q161" t="str">
        <f t="shared" si="12"/>
        <v>OK</v>
      </c>
      <c r="R161">
        <v>1</v>
      </c>
      <c r="S161">
        <f t="shared" si="13"/>
        <v>1</v>
      </c>
      <c r="T161">
        <f t="shared" si="14"/>
        <v>0</v>
      </c>
    </row>
    <row r="162" spans="1:20">
      <c r="A162" t="s">
        <v>671</v>
      </c>
      <c r="B162" s="3">
        <v>44974</v>
      </c>
      <c r="C162" t="s">
        <v>672</v>
      </c>
      <c r="D162" t="s">
        <v>22</v>
      </c>
      <c r="E162">
        <v>4</v>
      </c>
      <c r="F162" s="4">
        <v>101.32</v>
      </c>
      <c r="G162" t="s">
        <v>673</v>
      </c>
      <c r="H162" t="s">
        <v>71</v>
      </c>
      <c r="I162" t="s">
        <v>95</v>
      </c>
      <c r="J162" t="s">
        <v>674</v>
      </c>
      <c r="K162">
        <v>7</v>
      </c>
      <c r="M162" t="s">
        <v>35</v>
      </c>
      <c r="N162" s="4">
        <v>405.28</v>
      </c>
      <c r="O162" s="19" t="str">
        <f t="shared" si="10"/>
        <v>Feb-2023</v>
      </c>
      <c r="P162">
        <f t="shared" si="11"/>
        <v>2023</v>
      </c>
      <c r="Q162" t="str">
        <f t="shared" si="12"/>
        <v>OK</v>
      </c>
      <c r="R162">
        <v>1</v>
      </c>
      <c r="S162">
        <f t="shared" si="13"/>
        <v>0</v>
      </c>
      <c r="T162">
        <f t="shared" si="14"/>
        <v>0</v>
      </c>
    </row>
    <row r="163" spans="1:20">
      <c r="A163" t="s">
        <v>675</v>
      </c>
      <c r="B163" s="3">
        <v>45380</v>
      </c>
      <c r="C163" t="s">
        <v>676</v>
      </c>
      <c r="D163" t="s">
        <v>22</v>
      </c>
      <c r="E163">
        <v>1</v>
      </c>
      <c r="F163" s="4">
        <v>211.14</v>
      </c>
      <c r="G163" t="s">
        <v>559</v>
      </c>
      <c r="H163" t="s">
        <v>40</v>
      </c>
      <c r="I163" t="s">
        <v>41</v>
      </c>
      <c r="J163" t="s">
        <v>677</v>
      </c>
      <c r="K163">
        <v>1</v>
      </c>
      <c r="L163" t="s">
        <v>27</v>
      </c>
      <c r="M163" t="s">
        <v>51</v>
      </c>
      <c r="N163" s="4">
        <v>211.14</v>
      </c>
      <c r="O163" s="19" t="str">
        <f t="shared" si="10"/>
        <v>Mar-2024</v>
      </c>
      <c r="P163">
        <f t="shared" si="11"/>
        <v>2024</v>
      </c>
      <c r="Q163" t="str">
        <f t="shared" si="12"/>
        <v>OK</v>
      </c>
      <c r="R163">
        <v>1</v>
      </c>
      <c r="S163">
        <f t="shared" si="13"/>
        <v>1</v>
      </c>
      <c r="T163">
        <f t="shared" si="14"/>
        <v>0</v>
      </c>
    </row>
    <row r="164" spans="1:20">
      <c r="A164" t="s">
        <v>678</v>
      </c>
      <c r="B164" s="3">
        <v>45134</v>
      </c>
      <c r="C164" t="s">
        <v>679</v>
      </c>
      <c r="D164" t="s">
        <v>47</v>
      </c>
      <c r="E164">
        <v>3</v>
      </c>
      <c r="F164" s="4">
        <v>65.86</v>
      </c>
      <c r="G164" t="s">
        <v>341</v>
      </c>
      <c r="H164" t="s">
        <v>33</v>
      </c>
      <c r="I164" t="s">
        <v>95</v>
      </c>
      <c r="J164" t="s">
        <v>680</v>
      </c>
      <c r="K164">
        <v>8</v>
      </c>
      <c r="L164" t="s">
        <v>87</v>
      </c>
      <c r="M164" t="s">
        <v>82</v>
      </c>
      <c r="N164" s="4">
        <v>197.58</v>
      </c>
      <c r="O164" s="19" t="str">
        <f t="shared" si="10"/>
        <v>Jul-2023</v>
      </c>
      <c r="P164">
        <f t="shared" si="11"/>
        <v>2023</v>
      </c>
      <c r="Q164" t="str">
        <f t="shared" si="12"/>
        <v>OK</v>
      </c>
      <c r="R164">
        <v>1</v>
      </c>
      <c r="S164">
        <f t="shared" si="13"/>
        <v>0</v>
      </c>
      <c r="T164">
        <f t="shared" si="14"/>
        <v>0</v>
      </c>
    </row>
    <row r="165" spans="1:20">
      <c r="A165" t="s">
        <v>681</v>
      </c>
      <c r="B165" s="3">
        <v>45832</v>
      </c>
      <c r="C165" t="s">
        <v>682</v>
      </c>
      <c r="D165" t="s">
        <v>38</v>
      </c>
      <c r="E165">
        <v>1</v>
      </c>
      <c r="F165" s="4">
        <v>641.39</v>
      </c>
      <c r="G165" t="s">
        <v>683</v>
      </c>
      <c r="H165" t="s">
        <v>33</v>
      </c>
      <c r="I165" t="s">
        <v>41</v>
      </c>
      <c r="J165" t="s">
        <v>684</v>
      </c>
      <c r="K165">
        <v>1</v>
      </c>
      <c r="M165" t="s">
        <v>35</v>
      </c>
      <c r="N165" s="4">
        <v>641.39</v>
      </c>
      <c r="O165" s="19" t="str">
        <f t="shared" si="10"/>
        <v>Jun-2025</v>
      </c>
      <c r="P165">
        <f t="shared" si="11"/>
        <v>2025</v>
      </c>
      <c r="Q165" t="str">
        <f t="shared" si="12"/>
        <v>OK</v>
      </c>
      <c r="R165">
        <v>1</v>
      </c>
      <c r="S165">
        <f t="shared" si="13"/>
        <v>1</v>
      </c>
      <c r="T165">
        <f t="shared" si="14"/>
        <v>0</v>
      </c>
    </row>
    <row r="166" spans="1:20">
      <c r="A166" t="s">
        <v>685</v>
      </c>
      <c r="B166" s="3">
        <v>45288</v>
      </c>
      <c r="C166" t="s">
        <v>686</v>
      </c>
      <c r="D166" t="s">
        <v>79</v>
      </c>
      <c r="E166">
        <v>5</v>
      </c>
      <c r="F166" s="4">
        <v>536.58000000000004</v>
      </c>
      <c r="G166" t="s">
        <v>687</v>
      </c>
      <c r="H166" t="s">
        <v>66</v>
      </c>
      <c r="I166" t="s">
        <v>95</v>
      </c>
      <c r="J166" t="s">
        <v>688</v>
      </c>
      <c r="K166">
        <v>5</v>
      </c>
      <c r="L166" t="s">
        <v>27</v>
      </c>
      <c r="M166" t="s">
        <v>82</v>
      </c>
      <c r="N166" s="4">
        <v>2682.9</v>
      </c>
      <c r="O166" s="19" t="str">
        <f t="shared" si="10"/>
        <v>Dec-2023</v>
      </c>
      <c r="P166">
        <f t="shared" si="11"/>
        <v>2023</v>
      </c>
      <c r="Q166" t="str">
        <f t="shared" si="12"/>
        <v>OK</v>
      </c>
      <c r="R166">
        <v>1</v>
      </c>
      <c r="S166">
        <f t="shared" si="13"/>
        <v>0</v>
      </c>
      <c r="T166">
        <f t="shared" si="14"/>
        <v>0</v>
      </c>
    </row>
    <row r="167" spans="1:20">
      <c r="A167" t="s">
        <v>689</v>
      </c>
      <c r="B167" s="3">
        <v>45549</v>
      </c>
      <c r="C167" t="s">
        <v>690</v>
      </c>
      <c r="D167" t="s">
        <v>22</v>
      </c>
      <c r="E167">
        <v>2</v>
      </c>
      <c r="F167" s="4">
        <v>500.29</v>
      </c>
      <c r="G167" t="s">
        <v>691</v>
      </c>
      <c r="H167" t="s">
        <v>33</v>
      </c>
      <c r="I167" t="s">
        <v>49</v>
      </c>
      <c r="J167" t="s">
        <v>692</v>
      </c>
      <c r="K167">
        <v>7</v>
      </c>
      <c r="L167" t="s">
        <v>87</v>
      </c>
      <c r="M167" t="s">
        <v>82</v>
      </c>
      <c r="N167" s="4">
        <v>1000.58</v>
      </c>
      <c r="O167" s="19" t="str">
        <f t="shared" si="10"/>
        <v>Sep-2024</v>
      </c>
      <c r="P167">
        <f t="shared" si="11"/>
        <v>2024</v>
      </c>
      <c r="Q167" t="str">
        <f t="shared" si="12"/>
        <v>OK</v>
      </c>
      <c r="R167">
        <v>1</v>
      </c>
      <c r="S167">
        <f t="shared" si="13"/>
        <v>0</v>
      </c>
      <c r="T167">
        <f t="shared" si="14"/>
        <v>1</v>
      </c>
    </row>
    <row r="168" spans="1:20">
      <c r="A168" t="s">
        <v>693</v>
      </c>
      <c r="B168" s="3">
        <v>45720</v>
      </c>
      <c r="C168" t="s">
        <v>694</v>
      </c>
      <c r="D168" t="s">
        <v>47</v>
      </c>
      <c r="E168">
        <v>3</v>
      </c>
      <c r="F168" s="4">
        <v>86.29</v>
      </c>
      <c r="G168" t="s">
        <v>263</v>
      </c>
      <c r="H168" t="s">
        <v>71</v>
      </c>
      <c r="I168" t="s">
        <v>56</v>
      </c>
      <c r="J168" t="s">
        <v>695</v>
      </c>
      <c r="K168">
        <v>6</v>
      </c>
      <c r="L168" t="s">
        <v>87</v>
      </c>
      <c r="M168" t="s">
        <v>28</v>
      </c>
      <c r="N168" s="4">
        <v>258.87</v>
      </c>
      <c r="O168" s="19" t="str">
        <f t="shared" si="10"/>
        <v>Mar-2025</v>
      </c>
      <c r="P168">
        <f t="shared" si="11"/>
        <v>2025</v>
      </c>
      <c r="Q168" t="str">
        <f t="shared" si="12"/>
        <v>OK</v>
      </c>
      <c r="R168">
        <v>1</v>
      </c>
      <c r="S168">
        <f t="shared" si="13"/>
        <v>0</v>
      </c>
      <c r="T168">
        <f t="shared" si="14"/>
        <v>0</v>
      </c>
    </row>
    <row r="169" spans="1:20">
      <c r="A169" t="s">
        <v>696</v>
      </c>
      <c r="B169" s="3">
        <v>45073</v>
      </c>
      <c r="C169" t="s">
        <v>697</v>
      </c>
      <c r="D169" t="s">
        <v>47</v>
      </c>
      <c r="E169">
        <v>2</v>
      </c>
      <c r="F169" s="4">
        <v>384.14</v>
      </c>
      <c r="G169" t="s">
        <v>698</v>
      </c>
      <c r="H169" t="s">
        <v>33</v>
      </c>
      <c r="I169" t="s">
        <v>49</v>
      </c>
      <c r="J169" t="s">
        <v>699</v>
      </c>
      <c r="K169">
        <v>2</v>
      </c>
      <c r="L169" t="s">
        <v>87</v>
      </c>
      <c r="M169" t="s">
        <v>44</v>
      </c>
      <c r="N169" s="4">
        <v>768.28</v>
      </c>
      <c r="O169" s="19" t="str">
        <f t="shared" si="10"/>
        <v>May-2023</v>
      </c>
      <c r="P169">
        <f t="shared" si="11"/>
        <v>2023</v>
      </c>
      <c r="Q169" t="str">
        <f t="shared" si="12"/>
        <v>OK</v>
      </c>
      <c r="R169">
        <v>1</v>
      </c>
      <c r="S169">
        <f t="shared" si="13"/>
        <v>0</v>
      </c>
      <c r="T169">
        <f t="shared" si="14"/>
        <v>1</v>
      </c>
    </row>
    <row r="170" spans="1:20">
      <c r="A170" t="s">
        <v>700</v>
      </c>
      <c r="B170" s="3">
        <v>45661</v>
      </c>
      <c r="C170" t="s">
        <v>701</v>
      </c>
      <c r="D170" t="s">
        <v>54</v>
      </c>
      <c r="E170">
        <v>1</v>
      </c>
      <c r="F170" s="4">
        <v>594.96</v>
      </c>
      <c r="G170" t="s">
        <v>702</v>
      </c>
      <c r="H170" t="s">
        <v>71</v>
      </c>
      <c r="I170" t="s">
        <v>49</v>
      </c>
      <c r="J170" t="s">
        <v>703</v>
      </c>
      <c r="K170">
        <v>6</v>
      </c>
      <c r="M170" t="s">
        <v>51</v>
      </c>
      <c r="N170" s="4">
        <v>594.96</v>
      </c>
      <c r="O170" s="19" t="str">
        <f t="shared" si="10"/>
        <v>Jan-2025</v>
      </c>
      <c r="P170">
        <f t="shared" si="11"/>
        <v>2025</v>
      </c>
      <c r="Q170" t="str">
        <f t="shared" si="12"/>
        <v>OK</v>
      </c>
      <c r="R170">
        <v>1</v>
      </c>
      <c r="S170">
        <f t="shared" si="13"/>
        <v>0</v>
      </c>
      <c r="T170">
        <f t="shared" si="14"/>
        <v>1</v>
      </c>
    </row>
    <row r="171" spans="1:20">
      <c r="A171" t="s">
        <v>704</v>
      </c>
      <c r="B171" s="3">
        <v>45389</v>
      </c>
      <c r="C171" t="s">
        <v>705</v>
      </c>
      <c r="D171" t="s">
        <v>54</v>
      </c>
      <c r="E171">
        <v>1</v>
      </c>
      <c r="F171" s="4">
        <v>427.82</v>
      </c>
      <c r="G171" t="s">
        <v>706</v>
      </c>
      <c r="H171" t="s">
        <v>33</v>
      </c>
      <c r="I171" t="s">
        <v>56</v>
      </c>
      <c r="J171" t="s">
        <v>707</v>
      </c>
      <c r="K171">
        <v>2</v>
      </c>
      <c r="L171" t="s">
        <v>87</v>
      </c>
      <c r="M171" t="s">
        <v>44</v>
      </c>
      <c r="N171" s="4">
        <v>427.82</v>
      </c>
      <c r="O171" s="19" t="str">
        <f t="shared" si="10"/>
        <v>Apr-2024</v>
      </c>
      <c r="P171">
        <f t="shared" si="11"/>
        <v>2024</v>
      </c>
      <c r="Q171" t="str">
        <f t="shared" si="12"/>
        <v>OK</v>
      </c>
      <c r="R171">
        <v>1</v>
      </c>
      <c r="S171">
        <f t="shared" si="13"/>
        <v>0</v>
      </c>
      <c r="T171">
        <f t="shared" si="14"/>
        <v>0</v>
      </c>
    </row>
    <row r="172" spans="1:20">
      <c r="A172" t="s">
        <v>708</v>
      </c>
      <c r="B172" s="3">
        <v>45751</v>
      </c>
      <c r="C172" t="s">
        <v>709</v>
      </c>
      <c r="D172" t="s">
        <v>79</v>
      </c>
      <c r="E172">
        <v>4</v>
      </c>
      <c r="F172" s="4">
        <v>662.94</v>
      </c>
      <c r="G172" t="s">
        <v>710</v>
      </c>
      <c r="H172" t="s">
        <v>71</v>
      </c>
      <c r="I172" t="s">
        <v>41</v>
      </c>
      <c r="J172" t="s">
        <v>711</v>
      </c>
      <c r="K172">
        <v>8</v>
      </c>
      <c r="L172" t="s">
        <v>27</v>
      </c>
      <c r="M172" t="s">
        <v>28</v>
      </c>
      <c r="N172" s="4">
        <v>2651.76</v>
      </c>
      <c r="O172" s="19" t="str">
        <f t="shared" si="10"/>
        <v>Apr-2025</v>
      </c>
      <c r="P172">
        <f t="shared" si="11"/>
        <v>2025</v>
      </c>
      <c r="Q172" t="str">
        <f t="shared" si="12"/>
        <v>OK</v>
      </c>
      <c r="R172">
        <v>1</v>
      </c>
      <c r="S172">
        <f t="shared" si="13"/>
        <v>1</v>
      </c>
      <c r="T172">
        <f t="shared" si="14"/>
        <v>0</v>
      </c>
    </row>
    <row r="173" spans="1:20">
      <c r="A173" t="s">
        <v>712</v>
      </c>
      <c r="B173" s="3">
        <v>45153</v>
      </c>
      <c r="C173" t="s">
        <v>713</v>
      </c>
      <c r="D173" t="s">
        <v>38</v>
      </c>
      <c r="E173">
        <v>2</v>
      </c>
      <c r="F173" s="4">
        <v>148.22</v>
      </c>
      <c r="G173" t="s">
        <v>714</v>
      </c>
      <c r="H173" t="s">
        <v>40</v>
      </c>
      <c r="I173" t="s">
        <v>56</v>
      </c>
      <c r="J173" t="s">
        <v>715</v>
      </c>
      <c r="K173">
        <v>7</v>
      </c>
      <c r="L173" t="s">
        <v>87</v>
      </c>
      <c r="M173" t="s">
        <v>28</v>
      </c>
      <c r="N173" s="4">
        <v>296.44</v>
      </c>
      <c r="O173" s="19" t="str">
        <f t="shared" si="10"/>
        <v>Aug-2023</v>
      </c>
      <c r="P173">
        <f t="shared" si="11"/>
        <v>2023</v>
      </c>
      <c r="Q173" t="str">
        <f t="shared" si="12"/>
        <v>OK</v>
      </c>
      <c r="R173">
        <v>1</v>
      </c>
      <c r="S173">
        <f t="shared" si="13"/>
        <v>0</v>
      </c>
      <c r="T173">
        <f t="shared" si="14"/>
        <v>0</v>
      </c>
    </row>
    <row r="174" spans="1:20">
      <c r="A174" t="s">
        <v>716</v>
      </c>
      <c r="B174" s="3">
        <v>45753</v>
      </c>
      <c r="C174" t="s">
        <v>717</v>
      </c>
      <c r="D174" t="s">
        <v>54</v>
      </c>
      <c r="E174">
        <v>1</v>
      </c>
      <c r="F174" s="4">
        <v>254.12</v>
      </c>
      <c r="G174" t="s">
        <v>547</v>
      </c>
      <c r="H174" t="s">
        <v>33</v>
      </c>
      <c r="I174" t="s">
        <v>56</v>
      </c>
      <c r="J174" t="s">
        <v>718</v>
      </c>
      <c r="K174">
        <v>1</v>
      </c>
      <c r="L174" t="s">
        <v>87</v>
      </c>
      <c r="M174" t="s">
        <v>44</v>
      </c>
      <c r="N174" s="4">
        <v>254.12</v>
      </c>
      <c r="O174" s="19" t="str">
        <f t="shared" si="10"/>
        <v>Apr-2025</v>
      </c>
      <c r="P174">
        <f t="shared" si="11"/>
        <v>2025</v>
      </c>
      <c r="Q174" t="str">
        <f t="shared" si="12"/>
        <v>OK</v>
      </c>
      <c r="R174">
        <v>1</v>
      </c>
      <c r="S174">
        <f t="shared" si="13"/>
        <v>0</v>
      </c>
      <c r="T174">
        <f t="shared" si="14"/>
        <v>0</v>
      </c>
    </row>
    <row r="175" spans="1:20">
      <c r="A175" t="s">
        <v>719</v>
      </c>
      <c r="B175" s="3">
        <v>45375</v>
      </c>
      <c r="C175" t="s">
        <v>720</v>
      </c>
      <c r="D175" t="s">
        <v>31</v>
      </c>
      <c r="E175">
        <v>3</v>
      </c>
      <c r="F175" s="4">
        <v>664.46</v>
      </c>
      <c r="G175" t="s">
        <v>721</v>
      </c>
      <c r="H175" t="s">
        <v>33</v>
      </c>
      <c r="I175" t="s">
        <v>56</v>
      </c>
      <c r="J175" t="s">
        <v>722</v>
      </c>
      <c r="K175">
        <v>4</v>
      </c>
      <c r="L175" t="s">
        <v>43</v>
      </c>
      <c r="M175" t="s">
        <v>82</v>
      </c>
      <c r="N175" s="4">
        <v>1993.38</v>
      </c>
      <c r="O175" s="19" t="str">
        <f t="shared" si="10"/>
        <v>Mar-2024</v>
      </c>
      <c r="P175">
        <f t="shared" si="11"/>
        <v>2024</v>
      </c>
      <c r="Q175" t="str">
        <f t="shared" si="12"/>
        <v>OK</v>
      </c>
      <c r="R175">
        <v>1</v>
      </c>
      <c r="S175">
        <f t="shared" si="13"/>
        <v>0</v>
      </c>
      <c r="T175">
        <f t="shared" si="14"/>
        <v>0</v>
      </c>
    </row>
    <row r="176" spans="1:20">
      <c r="A176" t="s">
        <v>723</v>
      </c>
      <c r="B176" s="3">
        <v>45398</v>
      </c>
      <c r="C176" t="s">
        <v>724</v>
      </c>
      <c r="D176" t="s">
        <v>54</v>
      </c>
      <c r="E176">
        <v>4</v>
      </c>
      <c r="F176" s="4">
        <v>600.80999999999995</v>
      </c>
      <c r="G176" t="s">
        <v>725</v>
      </c>
      <c r="H176" t="s">
        <v>24</v>
      </c>
      <c r="I176" t="s">
        <v>56</v>
      </c>
      <c r="J176" t="s">
        <v>726</v>
      </c>
      <c r="K176">
        <v>9</v>
      </c>
      <c r="L176" t="s">
        <v>27</v>
      </c>
      <c r="M176" t="s">
        <v>44</v>
      </c>
      <c r="N176" s="4">
        <v>2403.2399999999998</v>
      </c>
      <c r="O176" s="19" t="str">
        <f t="shared" si="10"/>
        <v>Apr-2024</v>
      </c>
      <c r="P176">
        <f t="shared" si="11"/>
        <v>2024</v>
      </c>
      <c r="Q176" t="str">
        <f t="shared" si="12"/>
        <v>OK</v>
      </c>
      <c r="R176">
        <v>1</v>
      </c>
      <c r="S176">
        <f t="shared" si="13"/>
        <v>0</v>
      </c>
      <c r="T176">
        <f t="shared" si="14"/>
        <v>0</v>
      </c>
    </row>
    <row r="177" spans="1:20">
      <c r="A177" t="s">
        <v>727</v>
      </c>
      <c r="B177" s="3">
        <v>45696</v>
      </c>
      <c r="C177" t="s">
        <v>728</v>
      </c>
      <c r="D177" t="s">
        <v>47</v>
      </c>
      <c r="E177">
        <v>5</v>
      </c>
      <c r="F177" s="4">
        <v>68.34</v>
      </c>
      <c r="G177" t="s">
        <v>729</v>
      </c>
      <c r="H177" t="s">
        <v>24</v>
      </c>
      <c r="I177" t="s">
        <v>95</v>
      </c>
      <c r="J177" t="s">
        <v>730</v>
      </c>
      <c r="K177">
        <v>6</v>
      </c>
      <c r="L177" t="s">
        <v>87</v>
      </c>
      <c r="M177" t="s">
        <v>35</v>
      </c>
      <c r="N177" s="4">
        <v>341.7</v>
      </c>
      <c r="O177" s="19" t="str">
        <f t="shared" si="10"/>
        <v>Feb-2025</v>
      </c>
      <c r="P177">
        <f t="shared" si="11"/>
        <v>2025</v>
      </c>
      <c r="Q177" t="str">
        <f t="shared" si="12"/>
        <v>OK</v>
      </c>
      <c r="R177">
        <v>1</v>
      </c>
      <c r="S177">
        <f t="shared" si="13"/>
        <v>0</v>
      </c>
      <c r="T177">
        <f t="shared" si="14"/>
        <v>0</v>
      </c>
    </row>
    <row r="178" spans="1:20">
      <c r="A178" t="s">
        <v>731</v>
      </c>
      <c r="B178" s="3">
        <v>45836</v>
      </c>
      <c r="C178" t="s">
        <v>732</v>
      </c>
      <c r="D178" t="s">
        <v>38</v>
      </c>
      <c r="E178">
        <v>4</v>
      </c>
      <c r="F178" s="4">
        <v>430.83</v>
      </c>
      <c r="G178" t="s">
        <v>733</v>
      </c>
      <c r="H178" t="s">
        <v>66</v>
      </c>
      <c r="I178" t="s">
        <v>95</v>
      </c>
      <c r="J178" t="s">
        <v>734</v>
      </c>
      <c r="K178">
        <v>8</v>
      </c>
      <c r="L178" t="s">
        <v>87</v>
      </c>
      <c r="M178" t="s">
        <v>35</v>
      </c>
      <c r="N178" s="4">
        <v>1723.32</v>
      </c>
      <c r="O178" s="19" t="str">
        <f t="shared" si="10"/>
        <v>Jun-2025</v>
      </c>
      <c r="P178">
        <f t="shared" si="11"/>
        <v>2025</v>
      </c>
      <c r="Q178" t="str">
        <f t="shared" si="12"/>
        <v>OK</v>
      </c>
      <c r="R178">
        <v>1</v>
      </c>
      <c r="S178">
        <f t="shared" si="13"/>
        <v>0</v>
      </c>
      <c r="T178">
        <f t="shared" si="14"/>
        <v>0</v>
      </c>
    </row>
    <row r="179" spans="1:20">
      <c r="A179" t="s">
        <v>735</v>
      </c>
      <c r="B179" s="3">
        <v>45143</v>
      </c>
      <c r="C179" t="s">
        <v>736</v>
      </c>
      <c r="D179" t="s">
        <v>47</v>
      </c>
      <c r="E179">
        <v>5</v>
      </c>
      <c r="F179" s="4">
        <v>431.69</v>
      </c>
      <c r="G179" t="s">
        <v>737</v>
      </c>
      <c r="H179" t="s">
        <v>40</v>
      </c>
      <c r="I179" t="s">
        <v>95</v>
      </c>
      <c r="J179" t="s">
        <v>738</v>
      </c>
      <c r="K179">
        <v>10</v>
      </c>
      <c r="M179" t="s">
        <v>51</v>
      </c>
      <c r="N179" s="4">
        <v>2158.4499999999998</v>
      </c>
      <c r="O179" s="19" t="str">
        <f t="shared" si="10"/>
        <v>Aug-2023</v>
      </c>
      <c r="P179">
        <f t="shared" si="11"/>
        <v>2023</v>
      </c>
      <c r="Q179" t="str">
        <f t="shared" si="12"/>
        <v>OK</v>
      </c>
      <c r="R179">
        <v>1</v>
      </c>
      <c r="S179">
        <f t="shared" si="13"/>
        <v>0</v>
      </c>
      <c r="T179">
        <f t="shared" si="14"/>
        <v>0</v>
      </c>
    </row>
    <row r="180" spans="1:20">
      <c r="A180" t="s">
        <v>739</v>
      </c>
      <c r="B180" s="3">
        <v>45393</v>
      </c>
      <c r="C180" t="s">
        <v>740</v>
      </c>
      <c r="D180" t="s">
        <v>47</v>
      </c>
      <c r="E180">
        <v>4</v>
      </c>
      <c r="F180" s="4">
        <v>512.05999999999995</v>
      </c>
      <c r="G180" t="s">
        <v>741</v>
      </c>
      <c r="H180" t="s">
        <v>33</v>
      </c>
      <c r="I180" t="s">
        <v>56</v>
      </c>
      <c r="J180" t="s">
        <v>742</v>
      </c>
      <c r="K180">
        <v>5</v>
      </c>
      <c r="L180" t="s">
        <v>27</v>
      </c>
      <c r="M180" t="s">
        <v>82</v>
      </c>
      <c r="N180" s="4">
        <v>2048.2399999999998</v>
      </c>
      <c r="O180" s="19" t="str">
        <f t="shared" si="10"/>
        <v>Apr-2024</v>
      </c>
      <c r="P180">
        <f t="shared" si="11"/>
        <v>2024</v>
      </c>
      <c r="Q180" t="str">
        <f t="shared" si="12"/>
        <v>OK</v>
      </c>
      <c r="R180">
        <v>1</v>
      </c>
      <c r="S180">
        <f t="shared" si="13"/>
        <v>0</v>
      </c>
      <c r="T180">
        <f t="shared" si="14"/>
        <v>0</v>
      </c>
    </row>
    <row r="181" spans="1:20">
      <c r="A181" t="s">
        <v>743</v>
      </c>
      <c r="B181" s="3">
        <v>45620</v>
      </c>
      <c r="C181" t="s">
        <v>744</v>
      </c>
      <c r="D181" t="s">
        <v>64</v>
      </c>
      <c r="E181">
        <v>3</v>
      </c>
      <c r="F181" s="4">
        <v>539.91</v>
      </c>
      <c r="G181" t="s">
        <v>745</v>
      </c>
      <c r="H181" t="s">
        <v>40</v>
      </c>
      <c r="I181" t="s">
        <v>56</v>
      </c>
      <c r="J181" t="s">
        <v>746</v>
      </c>
      <c r="K181">
        <v>8</v>
      </c>
      <c r="M181" t="s">
        <v>44</v>
      </c>
      <c r="N181" s="4">
        <v>1619.73</v>
      </c>
      <c r="O181" s="19" t="str">
        <f t="shared" si="10"/>
        <v>Nov-2024</v>
      </c>
      <c r="P181">
        <f t="shared" si="11"/>
        <v>2024</v>
      </c>
      <c r="Q181" t="str">
        <f t="shared" si="12"/>
        <v>OK</v>
      </c>
      <c r="R181">
        <v>1</v>
      </c>
      <c r="S181">
        <f t="shared" si="13"/>
        <v>0</v>
      </c>
      <c r="T181">
        <f t="shared" si="14"/>
        <v>0</v>
      </c>
    </row>
    <row r="182" spans="1:20">
      <c r="A182" t="s">
        <v>747</v>
      </c>
      <c r="B182" s="3">
        <v>45003</v>
      </c>
      <c r="C182" t="s">
        <v>748</v>
      </c>
      <c r="D182" t="s">
        <v>38</v>
      </c>
      <c r="E182">
        <v>5</v>
      </c>
      <c r="F182" s="4">
        <v>316.07</v>
      </c>
      <c r="G182" t="s">
        <v>749</v>
      </c>
      <c r="H182" t="s">
        <v>71</v>
      </c>
      <c r="I182" t="s">
        <v>49</v>
      </c>
      <c r="J182" t="s">
        <v>750</v>
      </c>
      <c r="K182">
        <v>10</v>
      </c>
      <c r="M182" t="s">
        <v>82</v>
      </c>
      <c r="N182" s="4">
        <v>1580.35</v>
      </c>
      <c r="O182" s="19" t="str">
        <f t="shared" si="10"/>
        <v>Mar-2023</v>
      </c>
      <c r="P182">
        <f t="shared" si="11"/>
        <v>2023</v>
      </c>
      <c r="Q182" t="str">
        <f t="shared" si="12"/>
        <v>OK</v>
      </c>
      <c r="R182">
        <v>1</v>
      </c>
      <c r="S182">
        <f t="shared" si="13"/>
        <v>0</v>
      </c>
      <c r="T182">
        <f t="shared" si="14"/>
        <v>1</v>
      </c>
    </row>
    <row r="183" spans="1:20">
      <c r="A183" t="s">
        <v>751</v>
      </c>
      <c r="B183" s="3">
        <v>45535</v>
      </c>
      <c r="C183" t="s">
        <v>752</v>
      </c>
      <c r="D183" t="s">
        <v>54</v>
      </c>
      <c r="E183">
        <v>5</v>
      </c>
      <c r="F183" s="4">
        <v>404.39</v>
      </c>
      <c r="G183" t="s">
        <v>753</v>
      </c>
      <c r="H183" t="s">
        <v>33</v>
      </c>
      <c r="I183" t="s">
        <v>25</v>
      </c>
      <c r="J183" t="s">
        <v>754</v>
      </c>
      <c r="K183">
        <v>10</v>
      </c>
      <c r="M183" t="s">
        <v>35</v>
      </c>
      <c r="N183" s="4">
        <v>2021.95</v>
      </c>
      <c r="O183" s="19" t="str">
        <f t="shared" si="10"/>
        <v>Aug-2024</v>
      </c>
      <c r="P183">
        <f t="shared" si="11"/>
        <v>2024</v>
      </c>
      <c r="Q183" t="str">
        <f t="shared" si="12"/>
        <v>OK</v>
      </c>
      <c r="R183">
        <v>1</v>
      </c>
      <c r="S183">
        <f t="shared" si="13"/>
        <v>0</v>
      </c>
      <c r="T183">
        <f t="shared" si="14"/>
        <v>0</v>
      </c>
    </row>
    <row r="184" spans="1:20">
      <c r="A184" t="s">
        <v>755</v>
      </c>
      <c r="B184" s="3">
        <v>45735</v>
      </c>
      <c r="C184" t="s">
        <v>756</v>
      </c>
      <c r="D184" t="s">
        <v>79</v>
      </c>
      <c r="E184">
        <v>1</v>
      </c>
      <c r="F184" s="4">
        <v>600.54</v>
      </c>
      <c r="G184" t="s">
        <v>757</v>
      </c>
      <c r="H184" t="s">
        <v>24</v>
      </c>
      <c r="I184" t="s">
        <v>95</v>
      </c>
      <c r="J184" t="s">
        <v>758</v>
      </c>
      <c r="K184">
        <v>4</v>
      </c>
      <c r="L184" t="s">
        <v>87</v>
      </c>
      <c r="M184" t="s">
        <v>82</v>
      </c>
      <c r="N184" s="4">
        <v>600.54</v>
      </c>
      <c r="O184" s="19" t="str">
        <f t="shared" si="10"/>
        <v>Mar-2025</v>
      </c>
      <c r="P184">
        <f t="shared" si="11"/>
        <v>2025</v>
      </c>
      <c r="Q184" t="str">
        <f t="shared" si="12"/>
        <v>OK</v>
      </c>
      <c r="R184">
        <v>1</v>
      </c>
      <c r="S184">
        <f t="shared" si="13"/>
        <v>0</v>
      </c>
      <c r="T184">
        <f t="shared" si="14"/>
        <v>0</v>
      </c>
    </row>
    <row r="185" spans="1:20">
      <c r="A185" t="s">
        <v>759</v>
      </c>
      <c r="B185" s="3">
        <v>45400</v>
      </c>
      <c r="C185" t="s">
        <v>760</v>
      </c>
      <c r="D185" t="s">
        <v>22</v>
      </c>
      <c r="E185">
        <v>5</v>
      </c>
      <c r="F185" s="4">
        <v>186.28</v>
      </c>
      <c r="G185" t="s">
        <v>761</v>
      </c>
      <c r="H185" t="s">
        <v>24</v>
      </c>
      <c r="I185" t="s">
        <v>56</v>
      </c>
      <c r="J185" t="s">
        <v>762</v>
      </c>
      <c r="K185">
        <v>8</v>
      </c>
      <c r="L185" t="s">
        <v>27</v>
      </c>
      <c r="M185" t="s">
        <v>44</v>
      </c>
      <c r="N185" s="4">
        <v>931.4</v>
      </c>
      <c r="O185" s="19" t="str">
        <f t="shared" si="10"/>
        <v>Apr-2024</v>
      </c>
      <c r="P185">
        <f t="shared" si="11"/>
        <v>2024</v>
      </c>
      <c r="Q185" t="str">
        <f t="shared" si="12"/>
        <v>OK</v>
      </c>
      <c r="R185">
        <v>1</v>
      </c>
      <c r="S185">
        <f t="shared" si="13"/>
        <v>0</v>
      </c>
      <c r="T185">
        <f t="shared" si="14"/>
        <v>0</v>
      </c>
    </row>
    <row r="186" spans="1:20">
      <c r="A186" t="s">
        <v>763</v>
      </c>
      <c r="B186" s="3">
        <v>45386</v>
      </c>
      <c r="C186" t="s">
        <v>764</v>
      </c>
      <c r="D186" t="s">
        <v>38</v>
      </c>
      <c r="E186">
        <v>4</v>
      </c>
      <c r="F186" s="4">
        <v>214.54</v>
      </c>
      <c r="G186" t="s">
        <v>765</v>
      </c>
      <c r="H186" t="s">
        <v>66</v>
      </c>
      <c r="I186" t="s">
        <v>41</v>
      </c>
      <c r="J186" t="s">
        <v>766</v>
      </c>
      <c r="K186">
        <v>7</v>
      </c>
      <c r="M186" t="s">
        <v>35</v>
      </c>
      <c r="N186" s="4">
        <v>858.16</v>
      </c>
      <c r="O186" s="19" t="str">
        <f t="shared" si="10"/>
        <v>Apr-2024</v>
      </c>
      <c r="P186">
        <f t="shared" si="11"/>
        <v>2024</v>
      </c>
      <c r="Q186" t="str">
        <f t="shared" si="12"/>
        <v>OK</v>
      </c>
      <c r="R186">
        <v>1</v>
      </c>
      <c r="S186">
        <f t="shared" si="13"/>
        <v>1</v>
      </c>
      <c r="T186">
        <f t="shared" si="14"/>
        <v>0</v>
      </c>
    </row>
    <row r="187" spans="1:20">
      <c r="A187" t="s">
        <v>767</v>
      </c>
      <c r="B187" s="3">
        <v>45690</v>
      </c>
      <c r="C187" t="s">
        <v>768</v>
      </c>
      <c r="D187" t="s">
        <v>64</v>
      </c>
      <c r="E187">
        <v>1</v>
      </c>
      <c r="F187" s="4">
        <v>210.7</v>
      </c>
      <c r="G187" t="s">
        <v>769</v>
      </c>
      <c r="H187" t="s">
        <v>33</v>
      </c>
      <c r="I187" t="s">
        <v>25</v>
      </c>
      <c r="J187" t="s">
        <v>770</v>
      </c>
      <c r="K187">
        <v>2</v>
      </c>
      <c r="L187" t="s">
        <v>87</v>
      </c>
      <c r="M187" t="s">
        <v>35</v>
      </c>
      <c r="N187" s="4">
        <v>210.7</v>
      </c>
      <c r="O187" s="19" t="str">
        <f t="shared" si="10"/>
        <v>Feb-2025</v>
      </c>
      <c r="P187">
        <f t="shared" si="11"/>
        <v>2025</v>
      </c>
      <c r="Q187" t="str">
        <f t="shared" si="12"/>
        <v>OK</v>
      </c>
      <c r="R187">
        <v>1</v>
      </c>
      <c r="S187">
        <f t="shared" si="13"/>
        <v>0</v>
      </c>
      <c r="T187">
        <f t="shared" si="14"/>
        <v>0</v>
      </c>
    </row>
    <row r="188" spans="1:20">
      <c r="A188" t="s">
        <v>771</v>
      </c>
      <c r="B188" s="3">
        <v>45267</v>
      </c>
      <c r="C188" t="s">
        <v>772</v>
      </c>
      <c r="D188" t="s">
        <v>31</v>
      </c>
      <c r="E188">
        <v>2</v>
      </c>
      <c r="F188" s="4">
        <v>133.55000000000001</v>
      </c>
      <c r="G188" t="s">
        <v>773</v>
      </c>
      <c r="H188" t="s">
        <v>71</v>
      </c>
      <c r="I188" t="s">
        <v>95</v>
      </c>
      <c r="J188" t="s">
        <v>774</v>
      </c>
      <c r="K188">
        <v>7</v>
      </c>
      <c r="L188" t="s">
        <v>43</v>
      </c>
      <c r="M188" t="s">
        <v>51</v>
      </c>
      <c r="N188" s="4">
        <v>267.10000000000002</v>
      </c>
      <c r="O188" s="19" t="str">
        <f t="shared" si="10"/>
        <v>Dec-2023</v>
      </c>
      <c r="P188">
        <f t="shared" si="11"/>
        <v>2023</v>
      </c>
      <c r="Q188" t="str">
        <f t="shared" si="12"/>
        <v>OK</v>
      </c>
      <c r="R188">
        <v>1</v>
      </c>
      <c r="S188">
        <f t="shared" si="13"/>
        <v>0</v>
      </c>
      <c r="T188">
        <f t="shared" si="14"/>
        <v>0</v>
      </c>
    </row>
    <row r="189" spans="1:20">
      <c r="A189" t="s">
        <v>775</v>
      </c>
      <c r="B189" s="3">
        <v>44965</v>
      </c>
      <c r="C189" t="s">
        <v>776</v>
      </c>
      <c r="D189" t="s">
        <v>47</v>
      </c>
      <c r="E189">
        <v>1</v>
      </c>
      <c r="F189" s="4">
        <v>590.87</v>
      </c>
      <c r="G189" t="s">
        <v>777</v>
      </c>
      <c r="H189" t="s">
        <v>66</v>
      </c>
      <c r="I189" t="s">
        <v>49</v>
      </c>
      <c r="J189" t="s">
        <v>778</v>
      </c>
      <c r="K189">
        <v>6</v>
      </c>
      <c r="L189" t="s">
        <v>43</v>
      </c>
      <c r="M189" t="s">
        <v>35</v>
      </c>
      <c r="N189" s="4">
        <v>590.87</v>
      </c>
      <c r="O189" s="19" t="str">
        <f t="shared" si="10"/>
        <v>Feb-2023</v>
      </c>
      <c r="P189">
        <f t="shared" si="11"/>
        <v>2023</v>
      </c>
      <c r="Q189" t="str">
        <f t="shared" si="12"/>
        <v>OK</v>
      </c>
      <c r="R189">
        <v>1</v>
      </c>
      <c r="S189">
        <f t="shared" si="13"/>
        <v>0</v>
      </c>
      <c r="T189">
        <f t="shared" si="14"/>
        <v>1</v>
      </c>
    </row>
    <row r="190" spans="1:20">
      <c r="A190" t="s">
        <v>779</v>
      </c>
      <c r="B190" s="3">
        <v>45731</v>
      </c>
      <c r="C190" t="s">
        <v>780</v>
      </c>
      <c r="D190" t="s">
        <v>47</v>
      </c>
      <c r="E190">
        <v>2</v>
      </c>
      <c r="F190" s="4">
        <v>363.91</v>
      </c>
      <c r="G190" t="s">
        <v>781</v>
      </c>
      <c r="H190" t="s">
        <v>66</v>
      </c>
      <c r="I190" t="s">
        <v>25</v>
      </c>
      <c r="J190" t="s">
        <v>782</v>
      </c>
      <c r="K190">
        <v>2</v>
      </c>
      <c r="L190" t="s">
        <v>43</v>
      </c>
      <c r="M190" t="s">
        <v>35</v>
      </c>
      <c r="N190" s="4">
        <v>727.82</v>
      </c>
      <c r="O190" s="19" t="str">
        <f t="shared" si="10"/>
        <v>Mar-2025</v>
      </c>
      <c r="P190">
        <f t="shared" si="11"/>
        <v>2025</v>
      </c>
      <c r="Q190" t="str">
        <f t="shared" si="12"/>
        <v>OK</v>
      </c>
      <c r="R190">
        <v>1</v>
      </c>
      <c r="S190">
        <f t="shared" si="13"/>
        <v>0</v>
      </c>
      <c r="T190">
        <f t="shared" si="14"/>
        <v>0</v>
      </c>
    </row>
    <row r="191" spans="1:20">
      <c r="A191" t="s">
        <v>783</v>
      </c>
      <c r="B191" s="3">
        <v>45112</v>
      </c>
      <c r="C191" t="s">
        <v>784</v>
      </c>
      <c r="D191" t="s">
        <v>54</v>
      </c>
      <c r="E191">
        <v>5</v>
      </c>
      <c r="F191" s="4">
        <v>429.45</v>
      </c>
      <c r="G191" t="s">
        <v>785</v>
      </c>
      <c r="H191" t="s">
        <v>66</v>
      </c>
      <c r="I191" t="s">
        <v>41</v>
      </c>
      <c r="J191" t="s">
        <v>786</v>
      </c>
      <c r="K191">
        <v>5</v>
      </c>
      <c r="L191" t="s">
        <v>87</v>
      </c>
      <c r="M191" t="s">
        <v>44</v>
      </c>
      <c r="N191" s="4">
        <v>2147.25</v>
      </c>
      <c r="O191" s="19" t="str">
        <f t="shared" si="10"/>
        <v>Jul-2023</v>
      </c>
      <c r="P191">
        <f t="shared" si="11"/>
        <v>2023</v>
      </c>
      <c r="Q191" t="str">
        <f t="shared" si="12"/>
        <v>OK</v>
      </c>
      <c r="R191">
        <v>1</v>
      </c>
      <c r="S191">
        <f t="shared" si="13"/>
        <v>1</v>
      </c>
      <c r="T191">
        <f t="shared" si="14"/>
        <v>0</v>
      </c>
    </row>
    <row r="192" spans="1:20">
      <c r="A192" t="s">
        <v>787</v>
      </c>
      <c r="B192" s="3">
        <v>45535</v>
      </c>
      <c r="C192" t="s">
        <v>788</v>
      </c>
      <c r="D192" t="s">
        <v>54</v>
      </c>
      <c r="E192">
        <v>3</v>
      </c>
      <c r="F192" s="4">
        <v>223.7</v>
      </c>
      <c r="G192" t="s">
        <v>789</v>
      </c>
      <c r="H192" t="s">
        <v>71</v>
      </c>
      <c r="I192" t="s">
        <v>49</v>
      </c>
      <c r="J192" t="s">
        <v>790</v>
      </c>
      <c r="K192">
        <v>3</v>
      </c>
      <c r="L192" t="s">
        <v>27</v>
      </c>
      <c r="M192" t="s">
        <v>44</v>
      </c>
      <c r="N192" s="4">
        <v>671.09999999999991</v>
      </c>
      <c r="O192" s="19" t="str">
        <f t="shared" si="10"/>
        <v>Aug-2024</v>
      </c>
      <c r="P192">
        <f t="shared" si="11"/>
        <v>2024</v>
      </c>
      <c r="Q192" t="str">
        <f t="shared" si="12"/>
        <v>OK</v>
      </c>
      <c r="R192">
        <v>1</v>
      </c>
      <c r="S192">
        <f t="shared" si="13"/>
        <v>0</v>
      </c>
      <c r="T192">
        <f t="shared" si="14"/>
        <v>1</v>
      </c>
    </row>
    <row r="193" spans="1:20">
      <c r="A193" t="s">
        <v>791</v>
      </c>
      <c r="B193" s="3">
        <v>45724</v>
      </c>
      <c r="C193" t="s">
        <v>792</v>
      </c>
      <c r="D193" t="s">
        <v>64</v>
      </c>
      <c r="E193">
        <v>2</v>
      </c>
      <c r="F193" s="4">
        <v>488.87</v>
      </c>
      <c r="G193" t="s">
        <v>793</v>
      </c>
      <c r="H193" t="s">
        <v>33</v>
      </c>
      <c r="I193" t="s">
        <v>41</v>
      </c>
      <c r="J193" t="s">
        <v>794</v>
      </c>
      <c r="K193">
        <v>4</v>
      </c>
      <c r="L193" t="s">
        <v>43</v>
      </c>
      <c r="M193" t="s">
        <v>82</v>
      </c>
      <c r="N193" s="4">
        <v>977.74</v>
      </c>
      <c r="O193" s="19" t="str">
        <f t="shared" si="10"/>
        <v>Mar-2025</v>
      </c>
      <c r="P193">
        <f t="shared" si="11"/>
        <v>2025</v>
      </c>
      <c r="Q193" t="str">
        <f t="shared" si="12"/>
        <v>OK</v>
      </c>
      <c r="R193">
        <v>1</v>
      </c>
      <c r="S193">
        <f t="shared" si="13"/>
        <v>1</v>
      </c>
      <c r="T193">
        <f t="shared" si="14"/>
        <v>0</v>
      </c>
    </row>
    <row r="194" spans="1:20">
      <c r="A194" t="s">
        <v>795</v>
      </c>
      <c r="B194" s="3">
        <v>45149</v>
      </c>
      <c r="C194" t="s">
        <v>796</v>
      </c>
      <c r="D194" t="s">
        <v>79</v>
      </c>
      <c r="E194">
        <v>1</v>
      </c>
      <c r="F194" s="4">
        <v>645.46</v>
      </c>
      <c r="G194" t="s">
        <v>601</v>
      </c>
      <c r="H194" t="s">
        <v>66</v>
      </c>
      <c r="I194" t="s">
        <v>41</v>
      </c>
      <c r="J194" t="s">
        <v>797</v>
      </c>
      <c r="K194">
        <v>5</v>
      </c>
      <c r="L194" t="s">
        <v>27</v>
      </c>
      <c r="M194" t="s">
        <v>82</v>
      </c>
      <c r="N194" s="4">
        <v>645.46</v>
      </c>
      <c r="O194" s="19" t="str">
        <f t="shared" ref="O194:O257" si="15">TEXT(B194,"mmm-yyyy")</f>
        <v>Aug-2023</v>
      </c>
      <c r="P194">
        <f t="shared" ref="P194:P257" si="16">YEAR(B194)</f>
        <v>2023</v>
      </c>
      <c r="Q194" t="str">
        <f t="shared" ref="Q194:Q257" si="17">IF(ABS(N194-(E194*F194))&lt;0.01,"OK","CHECK")</f>
        <v>OK</v>
      </c>
      <c r="R194">
        <v>1</v>
      </c>
      <c r="S194">
        <f t="shared" ref="S194:S257" si="18">IF(I194="Cancelled",1,0)</f>
        <v>1</v>
      </c>
      <c r="T194">
        <f t="shared" ref="T194:T257" si="19">IF(I194="Returned",1,0)</f>
        <v>0</v>
      </c>
    </row>
    <row r="195" spans="1:20">
      <c r="A195" t="s">
        <v>798</v>
      </c>
      <c r="B195" s="3">
        <v>45128</v>
      </c>
      <c r="C195" t="s">
        <v>799</v>
      </c>
      <c r="D195" t="s">
        <v>54</v>
      </c>
      <c r="E195">
        <v>1</v>
      </c>
      <c r="F195" s="4">
        <v>46.66</v>
      </c>
      <c r="G195" t="s">
        <v>800</v>
      </c>
      <c r="H195" t="s">
        <v>71</v>
      </c>
      <c r="I195" t="s">
        <v>41</v>
      </c>
      <c r="J195" t="s">
        <v>801</v>
      </c>
      <c r="K195">
        <v>6</v>
      </c>
      <c r="M195" t="s">
        <v>82</v>
      </c>
      <c r="N195" s="4">
        <v>46.66</v>
      </c>
      <c r="O195" s="19" t="str">
        <f t="shared" si="15"/>
        <v>Jul-2023</v>
      </c>
      <c r="P195">
        <f t="shared" si="16"/>
        <v>2023</v>
      </c>
      <c r="Q195" t="str">
        <f t="shared" si="17"/>
        <v>OK</v>
      </c>
      <c r="R195">
        <v>1</v>
      </c>
      <c r="S195">
        <f t="shared" si="18"/>
        <v>1</v>
      </c>
      <c r="T195">
        <f t="shared" si="19"/>
        <v>0</v>
      </c>
    </row>
    <row r="196" spans="1:20">
      <c r="A196" t="s">
        <v>802</v>
      </c>
      <c r="B196" s="3">
        <v>45451</v>
      </c>
      <c r="C196" t="s">
        <v>803</v>
      </c>
      <c r="D196" t="s">
        <v>22</v>
      </c>
      <c r="E196">
        <v>1</v>
      </c>
      <c r="F196" s="4">
        <v>249.57</v>
      </c>
      <c r="G196" t="s">
        <v>804</v>
      </c>
      <c r="H196" t="s">
        <v>71</v>
      </c>
      <c r="I196" t="s">
        <v>25</v>
      </c>
      <c r="J196" t="s">
        <v>805</v>
      </c>
      <c r="K196">
        <v>3</v>
      </c>
      <c r="L196" t="s">
        <v>43</v>
      </c>
      <c r="M196" t="s">
        <v>82</v>
      </c>
      <c r="N196" s="4">
        <v>249.57</v>
      </c>
      <c r="O196" s="19" t="str">
        <f t="shared" si="15"/>
        <v>Jun-2024</v>
      </c>
      <c r="P196">
        <f t="shared" si="16"/>
        <v>2024</v>
      </c>
      <c r="Q196" t="str">
        <f t="shared" si="17"/>
        <v>OK</v>
      </c>
      <c r="R196">
        <v>1</v>
      </c>
      <c r="S196">
        <f t="shared" si="18"/>
        <v>0</v>
      </c>
      <c r="T196">
        <f t="shared" si="19"/>
        <v>0</v>
      </c>
    </row>
    <row r="197" spans="1:20">
      <c r="A197" t="s">
        <v>806</v>
      </c>
      <c r="B197" s="3">
        <v>45404</v>
      </c>
      <c r="C197" t="s">
        <v>807</v>
      </c>
      <c r="D197" t="s">
        <v>47</v>
      </c>
      <c r="E197">
        <v>3</v>
      </c>
      <c r="F197" s="4">
        <v>619.21</v>
      </c>
      <c r="G197" t="s">
        <v>808</v>
      </c>
      <c r="H197" t="s">
        <v>24</v>
      </c>
      <c r="I197" t="s">
        <v>41</v>
      </c>
      <c r="J197" t="s">
        <v>809</v>
      </c>
      <c r="K197">
        <v>6</v>
      </c>
      <c r="M197" t="s">
        <v>44</v>
      </c>
      <c r="N197" s="4">
        <v>1857.63</v>
      </c>
      <c r="O197" s="19" t="str">
        <f t="shared" si="15"/>
        <v>Apr-2024</v>
      </c>
      <c r="P197">
        <f t="shared" si="16"/>
        <v>2024</v>
      </c>
      <c r="Q197" t="str">
        <f t="shared" si="17"/>
        <v>OK</v>
      </c>
      <c r="R197">
        <v>1</v>
      </c>
      <c r="S197">
        <f t="shared" si="18"/>
        <v>1</v>
      </c>
      <c r="T197">
        <f t="shared" si="19"/>
        <v>0</v>
      </c>
    </row>
    <row r="198" spans="1:20">
      <c r="A198" t="s">
        <v>810</v>
      </c>
      <c r="B198" s="3">
        <v>45681</v>
      </c>
      <c r="C198" t="s">
        <v>811</v>
      </c>
      <c r="D198" t="s">
        <v>79</v>
      </c>
      <c r="E198">
        <v>4</v>
      </c>
      <c r="F198" s="4">
        <v>217.13</v>
      </c>
      <c r="G198" t="s">
        <v>812</v>
      </c>
      <c r="H198" t="s">
        <v>71</v>
      </c>
      <c r="I198" t="s">
        <v>56</v>
      </c>
      <c r="J198" t="s">
        <v>813</v>
      </c>
      <c r="K198">
        <v>8</v>
      </c>
      <c r="L198" t="s">
        <v>87</v>
      </c>
      <c r="M198" t="s">
        <v>44</v>
      </c>
      <c r="N198" s="4">
        <v>868.52</v>
      </c>
      <c r="O198" s="19" t="str">
        <f t="shared" si="15"/>
        <v>Jan-2025</v>
      </c>
      <c r="P198">
        <f t="shared" si="16"/>
        <v>2025</v>
      </c>
      <c r="Q198" t="str">
        <f t="shared" si="17"/>
        <v>OK</v>
      </c>
      <c r="R198">
        <v>1</v>
      </c>
      <c r="S198">
        <f t="shared" si="18"/>
        <v>0</v>
      </c>
      <c r="T198">
        <f t="shared" si="19"/>
        <v>0</v>
      </c>
    </row>
    <row r="199" spans="1:20">
      <c r="A199" t="s">
        <v>814</v>
      </c>
      <c r="B199" s="3">
        <v>45165</v>
      </c>
      <c r="C199" t="s">
        <v>815</v>
      </c>
      <c r="D199" t="s">
        <v>64</v>
      </c>
      <c r="E199">
        <v>5</v>
      </c>
      <c r="F199" s="4">
        <v>221.51</v>
      </c>
      <c r="G199" t="s">
        <v>816</v>
      </c>
      <c r="H199" t="s">
        <v>71</v>
      </c>
      <c r="I199" t="s">
        <v>49</v>
      </c>
      <c r="J199" t="s">
        <v>817</v>
      </c>
      <c r="K199">
        <v>5</v>
      </c>
      <c r="L199" t="s">
        <v>87</v>
      </c>
      <c r="M199" t="s">
        <v>35</v>
      </c>
      <c r="N199" s="4">
        <v>1107.55</v>
      </c>
      <c r="O199" s="19" t="str">
        <f t="shared" si="15"/>
        <v>Aug-2023</v>
      </c>
      <c r="P199">
        <f t="shared" si="16"/>
        <v>2023</v>
      </c>
      <c r="Q199" t="str">
        <f t="shared" si="17"/>
        <v>OK</v>
      </c>
      <c r="R199">
        <v>1</v>
      </c>
      <c r="S199">
        <f t="shared" si="18"/>
        <v>0</v>
      </c>
      <c r="T199">
        <f t="shared" si="19"/>
        <v>1</v>
      </c>
    </row>
    <row r="200" spans="1:20">
      <c r="A200" t="s">
        <v>818</v>
      </c>
      <c r="B200" s="3">
        <v>45454</v>
      </c>
      <c r="C200" t="s">
        <v>819</v>
      </c>
      <c r="D200" t="s">
        <v>64</v>
      </c>
      <c r="E200">
        <v>4</v>
      </c>
      <c r="F200" s="4">
        <v>340.3</v>
      </c>
      <c r="G200" t="s">
        <v>183</v>
      </c>
      <c r="H200" t="s">
        <v>71</v>
      </c>
      <c r="I200" t="s">
        <v>41</v>
      </c>
      <c r="J200" t="s">
        <v>820</v>
      </c>
      <c r="K200">
        <v>8</v>
      </c>
      <c r="L200" t="s">
        <v>27</v>
      </c>
      <c r="M200" t="s">
        <v>35</v>
      </c>
      <c r="N200" s="4">
        <v>1361.2</v>
      </c>
      <c r="O200" s="19" t="str">
        <f t="shared" si="15"/>
        <v>Jun-2024</v>
      </c>
      <c r="P200">
        <f t="shared" si="16"/>
        <v>2024</v>
      </c>
      <c r="Q200" t="str">
        <f t="shared" si="17"/>
        <v>OK</v>
      </c>
      <c r="R200">
        <v>1</v>
      </c>
      <c r="S200">
        <f t="shared" si="18"/>
        <v>1</v>
      </c>
      <c r="T200">
        <f t="shared" si="19"/>
        <v>0</v>
      </c>
    </row>
    <row r="201" spans="1:20">
      <c r="A201" t="s">
        <v>821</v>
      </c>
      <c r="B201" s="3">
        <v>45680</v>
      </c>
      <c r="C201" t="s">
        <v>822</v>
      </c>
      <c r="D201" t="s">
        <v>31</v>
      </c>
      <c r="E201">
        <v>1</v>
      </c>
      <c r="F201" s="4">
        <v>625</v>
      </c>
      <c r="G201" t="s">
        <v>823</v>
      </c>
      <c r="H201" t="s">
        <v>33</v>
      </c>
      <c r="I201" t="s">
        <v>49</v>
      </c>
      <c r="J201" t="s">
        <v>824</v>
      </c>
      <c r="K201">
        <v>5</v>
      </c>
      <c r="L201" t="s">
        <v>87</v>
      </c>
      <c r="M201" t="s">
        <v>82</v>
      </c>
      <c r="N201" s="4">
        <v>625</v>
      </c>
      <c r="O201" s="19" t="str">
        <f t="shared" si="15"/>
        <v>Jan-2025</v>
      </c>
      <c r="P201">
        <f t="shared" si="16"/>
        <v>2025</v>
      </c>
      <c r="Q201" t="str">
        <f t="shared" si="17"/>
        <v>OK</v>
      </c>
      <c r="R201">
        <v>1</v>
      </c>
      <c r="S201">
        <f t="shared" si="18"/>
        <v>0</v>
      </c>
      <c r="T201">
        <f t="shared" si="19"/>
        <v>1</v>
      </c>
    </row>
    <row r="202" spans="1:20">
      <c r="A202" t="s">
        <v>825</v>
      </c>
      <c r="B202" s="3">
        <v>45815</v>
      </c>
      <c r="C202" t="s">
        <v>826</v>
      </c>
      <c r="D202" t="s">
        <v>38</v>
      </c>
      <c r="E202">
        <v>5</v>
      </c>
      <c r="F202" s="4">
        <v>433.26</v>
      </c>
      <c r="G202" t="s">
        <v>167</v>
      </c>
      <c r="H202" t="s">
        <v>40</v>
      </c>
      <c r="I202" t="s">
        <v>56</v>
      </c>
      <c r="J202" t="s">
        <v>827</v>
      </c>
      <c r="K202">
        <v>9</v>
      </c>
      <c r="L202" t="s">
        <v>27</v>
      </c>
      <c r="M202" t="s">
        <v>82</v>
      </c>
      <c r="N202" s="4">
        <v>2166.3000000000002</v>
      </c>
      <c r="O202" s="19" t="str">
        <f t="shared" si="15"/>
        <v>Jun-2025</v>
      </c>
      <c r="P202">
        <f t="shared" si="16"/>
        <v>2025</v>
      </c>
      <c r="Q202" t="str">
        <f t="shared" si="17"/>
        <v>OK</v>
      </c>
      <c r="R202">
        <v>1</v>
      </c>
      <c r="S202">
        <f t="shared" si="18"/>
        <v>0</v>
      </c>
      <c r="T202">
        <f t="shared" si="19"/>
        <v>0</v>
      </c>
    </row>
    <row r="203" spans="1:20">
      <c r="A203" t="s">
        <v>828</v>
      </c>
      <c r="B203" s="3">
        <v>45095</v>
      </c>
      <c r="C203" t="s">
        <v>829</v>
      </c>
      <c r="D203" t="s">
        <v>22</v>
      </c>
      <c r="E203">
        <v>2</v>
      </c>
      <c r="F203" s="4">
        <v>674.9</v>
      </c>
      <c r="G203" t="s">
        <v>353</v>
      </c>
      <c r="H203" t="s">
        <v>33</v>
      </c>
      <c r="I203" t="s">
        <v>25</v>
      </c>
      <c r="J203" t="s">
        <v>830</v>
      </c>
      <c r="K203">
        <v>4</v>
      </c>
      <c r="L203" t="s">
        <v>27</v>
      </c>
      <c r="M203" t="s">
        <v>51</v>
      </c>
      <c r="N203" s="4">
        <v>1349.8</v>
      </c>
      <c r="O203" s="19" t="str">
        <f t="shared" si="15"/>
        <v>Jun-2023</v>
      </c>
      <c r="P203">
        <f t="shared" si="16"/>
        <v>2023</v>
      </c>
      <c r="Q203" t="str">
        <f t="shared" si="17"/>
        <v>OK</v>
      </c>
      <c r="R203">
        <v>1</v>
      </c>
      <c r="S203">
        <f t="shared" si="18"/>
        <v>0</v>
      </c>
      <c r="T203">
        <f t="shared" si="19"/>
        <v>0</v>
      </c>
    </row>
    <row r="204" spans="1:20">
      <c r="A204" t="s">
        <v>831</v>
      </c>
      <c r="B204" s="3">
        <v>45694</v>
      </c>
      <c r="C204" t="s">
        <v>832</v>
      </c>
      <c r="D204" t="s">
        <v>22</v>
      </c>
      <c r="E204">
        <v>3</v>
      </c>
      <c r="F204" s="4">
        <v>253.98</v>
      </c>
      <c r="G204" t="s">
        <v>571</v>
      </c>
      <c r="H204" t="s">
        <v>40</v>
      </c>
      <c r="I204" t="s">
        <v>41</v>
      </c>
      <c r="J204" t="s">
        <v>833</v>
      </c>
      <c r="K204">
        <v>3</v>
      </c>
      <c r="L204" t="s">
        <v>43</v>
      </c>
      <c r="M204" t="s">
        <v>44</v>
      </c>
      <c r="N204" s="4">
        <v>761.93999999999994</v>
      </c>
      <c r="O204" s="19" t="str">
        <f t="shared" si="15"/>
        <v>Feb-2025</v>
      </c>
      <c r="P204">
        <f t="shared" si="16"/>
        <v>2025</v>
      </c>
      <c r="Q204" t="str">
        <f t="shared" si="17"/>
        <v>OK</v>
      </c>
      <c r="R204">
        <v>1</v>
      </c>
      <c r="S204">
        <f t="shared" si="18"/>
        <v>1</v>
      </c>
      <c r="T204">
        <f t="shared" si="19"/>
        <v>0</v>
      </c>
    </row>
    <row r="205" spans="1:20">
      <c r="A205" t="s">
        <v>834</v>
      </c>
      <c r="B205" s="3">
        <v>45678</v>
      </c>
      <c r="C205" t="s">
        <v>835</v>
      </c>
      <c r="D205" t="s">
        <v>54</v>
      </c>
      <c r="E205">
        <v>3</v>
      </c>
      <c r="F205" s="4">
        <v>356.84</v>
      </c>
      <c r="G205" t="s">
        <v>836</v>
      </c>
      <c r="H205" t="s">
        <v>33</v>
      </c>
      <c r="I205" t="s">
        <v>25</v>
      </c>
      <c r="J205" t="s">
        <v>837</v>
      </c>
      <c r="K205">
        <v>5</v>
      </c>
      <c r="L205" t="s">
        <v>27</v>
      </c>
      <c r="M205" t="s">
        <v>28</v>
      </c>
      <c r="N205" s="4">
        <v>1070.52</v>
      </c>
      <c r="O205" s="19" t="str">
        <f t="shared" si="15"/>
        <v>Jan-2025</v>
      </c>
      <c r="P205">
        <f t="shared" si="16"/>
        <v>2025</v>
      </c>
      <c r="Q205" t="str">
        <f t="shared" si="17"/>
        <v>OK</v>
      </c>
      <c r="R205">
        <v>1</v>
      </c>
      <c r="S205">
        <f t="shared" si="18"/>
        <v>0</v>
      </c>
      <c r="T205">
        <f t="shared" si="19"/>
        <v>0</v>
      </c>
    </row>
    <row r="206" spans="1:20">
      <c r="A206" t="s">
        <v>838</v>
      </c>
      <c r="B206" s="3">
        <v>45174</v>
      </c>
      <c r="C206" t="s">
        <v>839</v>
      </c>
      <c r="D206" t="s">
        <v>64</v>
      </c>
      <c r="E206">
        <v>4</v>
      </c>
      <c r="F206" s="4">
        <v>413.71</v>
      </c>
      <c r="G206" t="s">
        <v>590</v>
      </c>
      <c r="H206" t="s">
        <v>66</v>
      </c>
      <c r="I206" t="s">
        <v>41</v>
      </c>
      <c r="J206" t="s">
        <v>840</v>
      </c>
      <c r="K206">
        <v>9</v>
      </c>
      <c r="L206" t="s">
        <v>43</v>
      </c>
      <c r="M206" t="s">
        <v>51</v>
      </c>
      <c r="N206" s="4">
        <v>1654.84</v>
      </c>
      <c r="O206" s="19" t="str">
        <f t="shared" si="15"/>
        <v>Sep-2023</v>
      </c>
      <c r="P206">
        <f t="shared" si="16"/>
        <v>2023</v>
      </c>
      <c r="Q206" t="str">
        <f t="shared" si="17"/>
        <v>OK</v>
      </c>
      <c r="R206">
        <v>1</v>
      </c>
      <c r="S206">
        <f t="shared" si="18"/>
        <v>1</v>
      </c>
      <c r="T206">
        <f t="shared" si="19"/>
        <v>0</v>
      </c>
    </row>
    <row r="207" spans="1:20">
      <c r="A207" t="s">
        <v>841</v>
      </c>
      <c r="B207" s="3">
        <v>44989</v>
      </c>
      <c r="C207" t="s">
        <v>842</v>
      </c>
      <c r="D207" t="s">
        <v>79</v>
      </c>
      <c r="E207">
        <v>3</v>
      </c>
      <c r="F207" s="4">
        <v>147.38999999999999</v>
      </c>
      <c r="G207" t="s">
        <v>843</v>
      </c>
      <c r="H207" t="s">
        <v>24</v>
      </c>
      <c r="I207" t="s">
        <v>49</v>
      </c>
      <c r="J207" t="s">
        <v>844</v>
      </c>
      <c r="K207">
        <v>3</v>
      </c>
      <c r="M207" t="s">
        <v>44</v>
      </c>
      <c r="N207" s="4">
        <v>442.17</v>
      </c>
      <c r="O207" s="19" t="str">
        <f t="shared" si="15"/>
        <v>Mar-2023</v>
      </c>
      <c r="P207">
        <f t="shared" si="16"/>
        <v>2023</v>
      </c>
      <c r="Q207" t="str">
        <f t="shared" si="17"/>
        <v>OK</v>
      </c>
      <c r="R207">
        <v>1</v>
      </c>
      <c r="S207">
        <f t="shared" si="18"/>
        <v>0</v>
      </c>
      <c r="T207">
        <f t="shared" si="19"/>
        <v>1</v>
      </c>
    </row>
    <row r="208" spans="1:20">
      <c r="A208" t="s">
        <v>845</v>
      </c>
      <c r="B208" s="3">
        <v>45398</v>
      </c>
      <c r="C208" t="s">
        <v>846</v>
      </c>
      <c r="D208" t="s">
        <v>64</v>
      </c>
      <c r="E208">
        <v>4</v>
      </c>
      <c r="F208" s="4">
        <v>229.1</v>
      </c>
      <c r="G208" t="s">
        <v>847</v>
      </c>
      <c r="H208" t="s">
        <v>66</v>
      </c>
      <c r="I208" t="s">
        <v>49</v>
      </c>
      <c r="J208" t="s">
        <v>848</v>
      </c>
      <c r="K208">
        <v>8</v>
      </c>
      <c r="L208" t="s">
        <v>87</v>
      </c>
      <c r="M208" t="s">
        <v>44</v>
      </c>
      <c r="N208" s="4">
        <v>916.4</v>
      </c>
      <c r="O208" s="19" t="str">
        <f t="shared" si="15"/>
        <v>Apr-2024</v>
      </c>
      <c r="P208">
        <f t="shared" si="16"/>
        <v>2024</v>
      </c>
      <c r="Q208" t="str">
        <f t="shared" si="17"/>
        <v>OK</v>
      </c>
      <c r="R208">
        <v>1</v>
      </c>
      <c r="S208">
        <f t="shared" si="18"/>
        <v>0</v>
      </c>
      <c r="T208">
        <f t="shared" si="19"/>
        <v>1</v>
      </c>
    </row>
    <row r="209" spans="1:20">
      <c r="A209" t="s">
        <v>849</v>
      </c>
      <c r="B209" s="3">
        <v>45734</v>
      </c>
      <c r="C209" t="s">
        <v>850</v>
      </c>
      <c r="D209" t="s">
        <v>31</v>
      </c>
      <c r="E209">
        <v>1</v>
      </c>
      <c r="F209" s="4">
        <v>121.96</v>
      </c>
      <c r="G209" t="s">
        <v>851</v>
      </c>
      <c r="H209" t="s">
        <v>24</v>
      </c>
      <c r="I209" t="s">
        <v>56</v>
      </c>
      <c r="J209" t="s">
        <v>852</v>
      </c>
      <c r="K209">
        <v>3</v>
      </c>
      <c r="M209" t="s">
        <v>82</v>
      </c>
      <c r="N209" s="4">
        <v>121.96</v>
      </c>
      <c r="O209" s="19" t="str">
        <f t="shared" si="15"/>
        <v>Mar-2025</v>
      </c>
      <c r="P209">
        <f t="shared" si="16"/>
        <v>2025</v>
      </c>
      <c r="Q209" t="str">
        <f t="shared" si="17"/>
        <v>OK</v>
      </c>
      <c r="R209">
        <v>1</v>
      </c>
      <c r="S209">
        <f t="shared" si="18"/>
        <v>0</v>
      </c>
      <c r="T209">
        <f t="shared" si="19"/>
        <v>0</v>
      </c>
    </row>
    <row r="210" spans="1:20">
      <c r="A210" t="s">
        <v>853</v>
      </c>
      <c r="B210" s="3">
        <v>45573</v>
      </c>
      <c r="C210" t="s">
        <v>854</v>
      </c>
      <c r="D210" t="s">
        <v>79</v>
      </c>
      <c r="E210">
        <v>2</v>
      </c>
      <c r="F210" s="4">
        <v>408.32</v>
      </c>
      <c r="G210" t="s">
        <v>785</v>
      </c>
      <c r="H210" t="s">
        <v>33</v>
      </c>
      <c r="I210" t="s">
        <v>25</v>
      </c>
      <c r="J210" t="s">
        <v>855</v>
      </c>
      <c r="K210">
        <v>3</v>
      </c>
      <c r="L210" t="s">
        <v>43</v>
      </c>
      <c r="M210" t="s">
        <v>51</v>
      </c>
      <c r="N210" s="4">
        <v>816.64</v>
      </c>
      <c r="O210" s="19" t="str">
        <f t="shared" si="15"/>
        <v>Oct-2024</v>
      </c>
      <c r="P210">
        <f t="shared" si="16"/>
        <v>2024</v>
      </c>
      <c r="Q210" t="str">
        <f t="shared" si="17"/>
        <v>OK</v>
      </c>
      <c r="R210">
        <v>1</v>
      </c>
      <c r="S210">
        <f t="shared" si="18"/>
        <v>0</v>
      </c>
      <c r="T210">
        <f t="shared" si="19"/>
        <v>0</v>
      </c>
    </row>
    <row r="211" spans="1:20">
      <c r="A211" t="s">
        <v>856</v>
      </c>
      <c r="B211" s="3">
        <v>45167</v>
      </c>
      <c r="C211" t="s">
        <v>857</v>
      </c>
      <c r="D211" t="s">
        <v>38</v>
      </c>
      <c r="E211">
        <v>5</v>
      </c>
      <c r="F211" s="4">
        <v>187.97</v>
      </c>
      <c r="G211" t="s">
        <v>70</v>
      </c>
      <c r="H211" t="s">
        <v>71</v>
      </c>
      <c r="I211" t="s">
        <v>49</v>
      </c>
      <c r="J211" t="s">
        <v>858</v>
      </c>
      <c r="K211">
        <v>9</v>
      </c>
      <c r="L211" t="s">
        <v>27</v>
      </c>
      <c r="M211" t="s">
        <v>82</v>
      </c>
      <c r="N211" s="4">
        <v>939.85</v>
      </c>
      <c r="O211" s="19" t="str">
        <f t="shared" si="15"/>
        <v>Aug-2023</v>
      </c>
      <c r="P211">
        <f t="shared" si="16"/>
        <v>2023</v>
      </c>
      <c r="Q211" t="str">
        <f t="shared" si="17"/>
        <v>OK</v>
      </c>
      <c r="R211">
        <v>1</v>
      </c>
      <c r="S211">
        <f t="shared" si="18"/>
        <v>0</v>
      </c>
      <c r="T211">
        <f t="shared" si="19"/>
        <v>1</v>
      </c>
    </row>
    <row r="212" spans="1:20">
      <c r="A212" t="s">
        <v>859</v>
      </c>
      <c r="B212" s="3">
        <v>45631</v>
      </c>
      <c r="C212" t="s">
        <v>860</v>
      </c>
      <c r="D212" t="s">
        <v>47</v>
      </c>
      <c r="E212">
        <v>3</v>
      </c>
      <c r="F212" s="4">
        <v>358.48</v>
      </c>
      <c r="G212" t="s">
        <v>559</v>
      </c>
      <c r="H212" t="s">
        <v>66</v>
      </c>
      <c r="I212" t="s">
        <v>56</v>
      </c>
      <c r="J212" t="s">
        <v>861</v>
      </c>
      <c r="K212">
        <v>7</v>
      </c>
      <c r="L212" t="s">
        <v>43</v>
      </c>
      <c r="M212" t="s">
        <v>51</v>
      </c>
      <c r="N212" s="4">
        <v>1075.44</v>
      </c>
      <c r="O212" s="19" t="str">
        <f t="shared" si="15"/>
        <v>Dec-2024</v>
      </c>
      <c r="P212">
        <f t="shared" si="16"/>
        <v>2024</v>
      </c>
      <c r="Q212" t="str">
        <f t="shared" si="17"/>
        <v>OK</v>
      </c>
      <c r="R212">
        <v>1</v>
      </c>
      <c r="S212">
        <f t="shared" si="18"/>
        <v>0</v>
      </c>
      <c r="T212">
        <f t="shared" si="19"/>
        <v>0</v>
      </c>
    </row>
    <row r="213" spans="1:20">
      <c r="A213" t="s">
        <v>862</v>
      </c>
      <c r="B213" s="3">
        <v>45660</v>
      </c>
      <c r="C213" t="s">
        <v>863</v>
      </c>
      <c r="D213" t="s">
        <v>54</v>
      </c>
      <c r="E213">
        <v>3</v>
      </c>
      <c r="F213" s="4">
        <v>193.58</v>
      </c>
      <c r="G213" t="s">
        <v>864</v>
      </c>
      <c r="H213" t="s">
        <v>66</v>
      </c>
      <c r="I213" t="s">
        <v>95</v>
      </c>
      <c r="J213" t="s">
        <v>865</v>
      </c>
      <c r="K213">
        <v>7</v>
      </c>
      <c r="L213" t="s">
        <v>43</v>
      </c>
      <c r="M213" t="s">
        <v>44</v>
      </c>
      <c r="N213" s="4">
        <v>580.74</v>
      </c>
      <c r="O213" s="19" t="str">
        <f t="shared" si="15"/>
        <v>Jan-2025</v>
      </c>
      <c r="P213">
        <f t="shared" si="16"/>
        <v>2025</v>
      </c>
      <c r="Q213" t="str">
        <f t="shared" si="17"/>
        <v>OK</v>
      </c>
      <c r="R213">
        <v>1</v>
      </c>
      <c r="S213">
        <f t="shared" si="18"/>
        <v>0</v>
      </c>
      <c r="T213">
        <f t="shared" si="19"/>
        <v>0</v>
      </c>
    </row>
    <row r="214" spans="1:20">
      <c r="A214" t="s">
        <v>866</v>
      </c>
      <c r="B214" s="3">
        <v>45097</v>
      </c>
      <c r="C214" t="s">
        <v>867</v>
      </c>
      <c r="D214" t="s">
        <v>22</v>
      </c>
      <c r="E214">
        <v>1</v>
      </c>
      <c r="F214" s="4">
        <v>265.38</v>
      </c>
      <c r="G214" t="s">
        <v>868</v>
      </c>
      <c r="H214" t="s">
        <v>40</v>
      </c>
      <c r="I214" t="s">
        <v>41</v>
      </c>
      <c r="J214" t="s">
        <v>869</v>
      </c>
      <c r="K214">
        <v>6</v>
      </c>
      <c r="L214" t="s">
        <v>87</v>
      </c>
      <c r="M214" t="s">
        <v>44</v>
      </c>
      <c r="N214" s="4">
        <v>265.38</v>
      </c>
      <c r="O214" s="19" t="str">
        <f t="shared" si="15"/>
        <v>Jun-2023</v>
      </c>
      <c r="P214">
        <f t="shared" si="16"/>
        <v>2023</v>
      </c>
      <c r="Q214" t="str">
        <f t="shared" si="17"/>
        <v>OK</v>
      </c>
      <c r="R214">
        <v>1</v>
      </c>
      <c r="S214">
        <f t="shared" si="18"/>
        <v>1</v>
      </c>
      <c r="T214">
        <f t="shared" si="19"/>
        <v>0</v>
      </c>
    </row>
    <row r="215" spans="1:20">
      <c r="A215" t="s">
        <v>870</v>
      </c>
      <c r="B215" s="3">
        <v>45036</v>
      </c>
      <c r="C215" t="s">
        <v>871</v>
      </c>
      <c r="D215" t="s">
        <v>64</v>
      </c>
      <c r="E215">
        <v>1</v>
      </c>
      <c r="F215" s="4">
        <v>634.4</v>
      </c>
      <c r="G215" t="s">
        <v>872</v>
      </c>
      <c r="H215" t="s">
        <v>71</v>
      </c>
      <c r="I215" t="s">
        <v>41</v>
      </c>
      <c r="J215" t="s">
        <v>873</v>
      </c>
      <c r="K215">
        <v>6</v>
      </c>
      <c r="L215" t="s">
        <v>27</v>
      </c>
      <c r="M215" t="s">
        <v>44</v>
      </c>
      <c r="N215" s="4">
        <v>634.4</v>
      </c>
      <c r="O215" s="19" t="str">
        <f t="shared" si="15"/>
        <v>Apr-2023</v>
      </c>
      <c r="P215">
        <f t="shared" si="16"/>
        <v>2023</v>
      </c>
      <c r="Q215" t="str">
        <f t="shared" si="17"/>
        <v>OK</v>
      </c>
      <c r="R215">
        <v>1</v>
      </c>
      <c r="S215">
        <f t="shared" si="18"/>
        <v>1</v>
      </c>
      <c r="T215">
        <f t="shared" si="19"/>
        <v>0</v>
      </c>
    </row>
    <row r="216" spans="1:20">
      <c r="A216" t="s">
        <v>874</v>
      </c>
      <c r="B216" s="3">
        <v>45525</v>
      </c>
      <c r="C216" t="s">
        <v>875</v>
      </c>
      <c r="D216" t="s">
        <v>79</v>
      </c>
      <c r="E216">
        <v>4</v>
      </c>
      <c r="F216" s="4">
        <v>305.72000000000003</v>
      </c>
      <c r="G216" t="s">
        <v>523</v>
      </c>
      <c r="H216" t="s">
        <v>33</v>
      </c>
      <c r="I216" t="s">
        <v>56</v>
      </c>
      <c r="J216" t="s">
        <v>876</v>
      </c>
      <c r="K216">
        <v>5</v>
      </c>
      <c r="M216" t="s">
        <v>51</v>
      </c>
      <c r="N216" s="4">
        <v>1222.8800000000001</v>
      </c>
      <c r="O216" s="19" t="str">
        <f t="shared" si="15"/>
        <v>Aug-2024</v>
      </c>
      <c r="P216">
        <f t="shared" si="16"/>
        <v>2024</v>
      </c>
      <c r="Q216" t="str">
        <f t="shared" si="17"/>
        <v>OK</v>
      </c>
      <c r="R216">
        <v>1</v>
      </c>
      <c r="S216">
        <f t="shared" si="18"/>
        <v>0</v>
      </c>
      <c r="T216">
        <f t="shared" si="19"/>
        <v>0</v>
      </c>
    </row>
    <row r="217" spans="1:20">
      <c r="A217" t="s">
        <v>877</v>
      </c>
      <c r="B217" s="3">
        <v>45148</v>
      </c>
      <c r="C217" t="s">
        <v>878</v>
      </c>
      <c r="D217" t="s">
        <v>54</v>
      </c>
      <c r="E217">
        <v>1</v>
      </c>
      <c r="F217" s="4">
        <v>303.60000000000002</v>
      </c>
      <c r="G217" t="s">
        <v>879</v>
      </c>
      <c r="H217" t="s">
        <v>71</v>
      </c>
      <c r="I217" t="s">
        <v>25</v>
      </c>
      <c r="J217" t="s">
        <v>880</v>
      </c>
      <c r="K217">
        <v>5</v>
      </c>
      <c r="L217" t="s">
        <v>43</v>
      </c>
      <c r="M217" t="s">
        <v>51</v>
      </c>
      <c r="N217" s="4">
        <v>303.60000000000002</v>
      </c>
      <c r="O217" s="19" t="str">
        <f t="shared" si="15"/>
        <v>Aug-2023</v>
      </c>
      <c r="P217">
        <f t="shared" si="16"/>
        <v>2023</v>
      </c>
      <c r="Q217" t="str">
        <f t="shared" si="17"/>
        <v>OK</v>
      </c>
      <c r="R217">
        <v>1</v>
      </c>
      <c r="S217">
        <f t="shared" si="18"/>
        <v>0</v>
      </c>
      <c r="T217">
        <f t="shared" si="19"/>
        <v>0</v>
      </c>
    </row>
    <row r="218" spans="1:20">
      <c r="A218" t="s">
        <v>881</v>
      </c>
      <c r="B218" s="3">
        <v>45762</v>
      </c>
      <c r="C218" t="s">
        <v>882</v>
      </c>
      <c r="D218" t="s">
        <v>22</v>
      </c>
      <c r="E218">
        <v>4</v>
      </c>
      <c r="F218" s="4">
        <v>496</v>
      </c>
      <c r="G218" t="s">
        <v>279</v>
      </c>
      <c r="H218" t="s">
        <v>33</v>
      </c>
      <c r="I218" t="s">
        <v>41</v>
      </c>
      <c r="J218" t="s">
        <v>883</v>
      </c>
      <c r="K218">
        <v>8</v>
      </c>
      <c r="L218" t="s">
        <v>87</v>
      </c>
      <c r="M218" t="s">
        <v>82</v>
      </c>
      <c r="N218" s="4">
        <v>1984</v>
      </c>
      <c r="O218" s="19" t="str">
        <f t="shared" si="15"/>
        <v>Apr-2025</v>
      </c>
      <c r="P218">
        <f t="shared" si="16"/>
        <v>2025</v>
      </c>
      <c r="Q218" t="str">
        <f t="shared" si="17"/>
        <v>OK</v>
      </c>
      <c r="R218">
        <v>1</v>
      </c>
      <c r="S218">
        <f t="shared" si="18"/>
        <v>1</v>
      </c>
      <c r="T218">
        <f t="shared" si="19"/>
        <v>0</v>
      </c>
    </row>
    <row r="219" spans="1:20">
      <c r="A219" t="s">
        <v>884</v>
      </c>
      <c r="B219" s="3">
        <v>45432</v>
      </c>
      <c r="C219" t="s">
        <v>885</v>
      </c>
      <c r="D219" t="s">
        <v>79</v>
      </c>
      <c r="E219">
        <v>4</v>
      </c>
      <c r="F219" s="4">
        <v>321.51</v>
      </c>
      <c r="G219" t="s">
        <v>886</v>
      </c>
      <c r="H219" t="s">
        <v>71</v>
      </c>
      <c r="I219" t="s">
        <v>49</v>
      </c>
      <c r="J219" t="s">
        <v>887</v>
      </c>
      <c r="K219">
        <v>9</v>
      </c>
      <c r="M219" t="s">
        <v>82</v>
      </c>
      <c r="N219" s="4">
        <v>1286.04</v>
      </c>
      <c r="O219" s="19" t="str">
        <f t="shared" si="15"/>
        <v>May-2024</v>
      </c>
      <c r="P219">
        <f t="shared" si="16"/>
        <v>2024</v>
      </c>
      <c r="Q219" t="str">
        <f t="shared" si="17"/>
        <v>OK</v>
      </c>
      <c r="R219">
        <v>1</v>
      </c>
      <c r="S219">
        <f t="shared" si="18"/>
        <v>0</v>
      </c>
      <c r="T219">
        <f t="shared" si="19"/>
        <v>1</v>
      </c>
    </row>
    <row r="220" spans="1:20">
      <c r="A220" t="s">
        <v>888</v>
      </c>
      <c r="B220" s="3">
        <v>45044</v>
      </c>
      <c r="C220" t="s">
        <v>889</v>
      </c>
      <c r="D220" t="s">
        <v>38</v>
      </c>
      <c r="E220">
        <v>3</v>
      </c>
      <c r="F220" s="4">
        <v>112.46</v>
      </c>
      <c r="G220" t="s">
        <v>890</v>
      </c>
      <c r="H220" t="s">
        <v>66</v>
      </c>
      <c r="I220" t="s">
        <v>25</v>
      </c>
      <c r="J220" t="s">
        <v>891</v>
      </c>
      <c r="K220">
        <v>6</v>
      </c>
      <c r="L220" t="s">
        <v>27</v>
      </c>
      <c r="M220" t="s">
        <v>28</v>
      </c>
      <c r="N220" s="4">
        <v>337.38</v>
      </c>
      <c r="O220" s="19" t="str">
        <f t="shared" si="15"/>
        <v>Apr-2023</v>
      </c>
      <c r="P220">
        <f t="shared" si="16"/>
        <v>2023</v>
      </c>
      <c r="Q220" t="str">
        <f t="shared" si="17"/>
        <v>OK</v>
      </c>
      <c r="R220">
        <v>1</v>
      </c>
      <c r="S220">
        <f t="shared" si="18"/>
        <v>0</v>
      </c>
      <c r="T220">
        <f t="shared" si="19"/>
        <v>0</v>
      </c>
    </row>
    <row r="221" spans="1:20">
      <c r="A221" t="s">
        <v>892</v>
      </c>
      <c r="B221" s="3">
        <v>45779</v>
      </c>
      <c r="C221" t="s">
        <v>893</v>
      </c>
      <c r="D221" t="s">
        <v>64</v>
      </c>
      <c r="E221">
        <v>5</v>
      </c>
      <c r="F221" s="4">
        <v>61.97</v>
      </c>
      <c r="G221" t="s">
        <v>894</v>
      </c>
      <c r="H221" t="s">
        <v>71</v>
      </c>
      <c r="I221" t="s">
        <v>56</v>
      </c>
      <c r="J221" t="s">
        <v>895</v>
      </c>
      <c r="K221">
        <v>6</v>
      </c>
      <c r="L221" t="s">
        <v>27</v>
      </c>
      <c r="M221" t="s">
        <v>44</v>
      </c>
      <c r="N221" s="4">
        <v>309.85000000000002</v>
      </c>
      <c r="O221" s="19" t="str">
        <f t="shared" si="15"/>
        <v>May-2025</v>
      </c>
      <c r="P221">
        <f t="shared" si="16"/>
        <v>2025</v>
      </c>
      <c r="Q221" t="str">
        <f t="shared" si="17"/>
        <v>OK</v>
      </c>
      <c r="R221">
        <v>1</v>
      </c>
      <c r="S221">
        <f t="shared" si="18"/>
        <v>0</v>
      </c>
      <c r="T221">
        <f t="shared" si="19"/>
        <v>0</v>
      </c>
    </row>
    <row r="222" spans="1:20">
      <c r="A222" t="s">
        <v>896</v>
      </c>
      <c r="B222" s="3">
        <v>45125</v>
      </c>
      <c r="C222" t="s">
        <v>897</v>
      </c>
      <c r="D222" t="s">
        <v>64</v>
      </c>
      <c r="E222">
        <v>2</v>
      </c>
      <c r="F222" s="4">
        <v>373.17</v>
      </c>
      <c r="G222" t="s">
        <v>898</v>
      </c>
      <c r="H222" t="s">
        <v>40</v>
      </c>
      <c r="I222" t="s">
        <v>95</v>
      </c>
      <c r="J222" t="s">
        <v>899</v>
      </c>
      <c r="K222">
        <v>6</v>
      </c>
      <c r="L222" t="s">
        <v>27</v>
      </c>
      <c r="M222" t="s">
        <v>35</v>
      </c>
      <c r="N222" s="4">
        <v>746.34</v>
      </c>
      <c r="O222" s="19" t="str">
        <f t="shared" si="15"/>
        <v>Jul-2023</v>
      </c>
      <c r="P222">
        <f t="shared" si="16"/>
        <v>2023</v>
      </c>
      <c r="Q222" t="str">
        <f t="shared" si="17"/>
        <v>OK</v>
      </c>
      <c r="R222">
        <v>1</v>
      </c>
      <c r="S222">
        <f t="shared" si="18"/>
        <v>0</v>
      </c>
      <c r="T222">
        <f t="shared" si="19"/>
        <v>0</v>
      </c>
    </row>
    <row r="223" spans="1:20">
      <c r="A223" t="s">
        <v>900</v>
      </c>
      <c r="B223" s="3">
        <v>45345</v>
      </c>
      <c r="C223" t="s">
        <v>901</v>
      </c>
      <c r="D223" t="s">
        <v>38</v>
      </c>
      <c r="E223">
        <v>5</v>
      </c>
      <c r="F223" s="4">
        <v>639.37</v>
      </c>
      <c r="G223" t="s">
        <v>318</v>
      </c>
      <c r="H223" t="s">
        <v>24</v>
      </c>
      <c r="I223" t="s">
        <v>95</v>
      </c>
      <c r="J223" t="s">
        <v>902</v>
      </c>
      <c r="K223">
        <v>6</v>
      </c>
      <c r="L223" t="s">
        <v>27</v>
      </c>
      <c r="M223" t="s">
        <v>82</v>
      </c>
      <c r="N223" s="4">
        <v>3196.85</v>
      </c>
      <c r="O223" s="19" t="str">
        <f t="shared" si="15"/>
        <v>Feb-2024</v>
      </c>
      <c r="P223">
        <f t="shared" si="16"/>
        <v>2024</v>
      </c>
      <c r="Q223" t="str">
        <f t="shared" si="17"/>
        <v>OK</v>
      </c>
      <c r="R223">
        <v>1</v>
      </c>
      <c r="S223">
        <f t="shared" si="18"/>
        <v>0</v>
      </c>
      <c r="T223">
        <f t="shared" si="19"/>
        <v>0</v>
      </c>
    </row>
    <row r="224" spans="1:20">
      <c r="A224" t="s">
        <v>903</v>
      </c>
      <c r="B224" s="3">
        <v>45050</v>
      </c>
      <c r="C224" t="s">
        <v>904</v>
      </c>
      <c r="D224" t="s">
        <v>47</v>
      </c>
      <c r="E224">
        <v>4</v>
      </c>
      <c r="F224" s="4">
        <v>693.36</v>
      </c>
      <c r="G224" t="s">
        <v>905</v>
      </c>
      <c r="H224" t="s">
        <v>33</v>
      </c>
      <c r="I224" t="s">
        <v>25</v>
      </c>
      <c r="J224" t="s">
        <v>906</v>
      </c>
      <c r="K224">
        <v>8</v>
      </c>
      <c r="M224" t="s">
        <v>28</v>
      </c>
      <c r="N224" s="4">
        <v>2773.44</v>
      </c>
      <c r="O224" s="19" t="str">
        <f t="shared" si="15"/>
        <v>May-2023</v>
      </c>
      <c r="P224">
        <f t="shared" si="16"/>
        <v>2023</v>
      </c>
      <c r="Q224" t="str">
        <f t="shared" si="17"/>
        <v>OK</v>
      </c>
      <c r="R224">
        <v>1</v>
      </c>
      <c r="S224">
        <f t="shared" si="18"/>
        <v>0</v>
      </c>
      <c r="T224">
        <f t="shared" si="19"/>
        <v>0</v>
      </c>
    </row>
    <row r="225" spans="1:20">
      <c r="A225" t="s">
        <v>907</v>
      </c>
      <c r="B225" s="3">
        <v>45546</v>
      </c>
      <c r="C225" t="s">
        <v>908</v>
      </c>
      <c r="D225" t="s">
        <v>31</v>
      </c>
      <c r="E225">
        <v>4</v>
      </c>
      <c r="F225" s="4">
        <v>692.91</v>
      </c>
      <c r="G225" t="s">
        <v>523</v>
      </c>
      <c r="H225" t="s">
        <v>40</v>
      </c>
      <c r="I225" t="s">
        <v>95</v>
      </c>
      <c r="J225" t="s">
        <v>909</v>
      </c>
      <c r="K225">
        <v>9</v>
      </c>
      <c r="L225" t="s">
        <v>27</v>
      </c>
      <c r="M225" t="s">
        <v>28</v>
      </c>
      <c r="N225" s="4">
        <v>2771.64</v>
      </c>
      <c r="O225" s="19" t="str">
        <f t="shared" si="15"/>
        <v>Sep-2024</v>
      </c>
      <c r="P225">
        <f t="shared" si="16"/>
        <v>2024</v>
      </c>
      <c r="Q225" t="str">
        <f t="shared" si="17"/>
        <v>OK</v>
      </c>
      <c r="R225">
        <v>1</v>
      </c>
      <c r="S225">
        <f t="shared" si="18"/>
        <v>0</v>
      </c>
      <c r="T225">
        <f t="shared" si="19"/>
        <v>0</v>
      </c>
    </row>
    <row r="226" spans="1:20">
      <c r="A226" t="s">
        <v>910</v>
      </c>
      <c r="B226" s="3">
        <v>45192</v>
      </c>
      <c r="C226" t="s">
        <v>911</v>
      </c>
      <c r="D226" t="s">
        <v>54</v>
      </c>
      <c r="E226">
        <v>4</v>
      </c>
      <c r="F226" s="4">
        <v>91.46</v>
      </c>
      <c r="G226" t="s">
        <v>912</v>
      </c>
      <c r="H226" t="s">
        <v>71</v>
      </c>
      <c r="I226" t="s">
        <v>41</v>
      </c>
      <c r="J226" t="s">
        <v>913</v>
      </c>
      <c r="K226">
        <v>9</v>
      </c>
      <c r="L226" t="s">
        <v>27</v>
      </c>
      <c r="M226" t="s">
        <v>35</v>
      </c>
      <c r="N226" s="4">
        <v>365.84</v>
      </c>
      <c r="O226" s="19" t="str">
        <f t="shared" si="15"/>
        <v>Sep-2023</v>
      </c>
      <c r="P226">
        <f t="shared" si="16"/>
        <v>2023</v>
      </c>
      <c r="Q226" t="str">
        <f t="shared" si="17"/>
        <v>OK</v>
      </c>
      <c r="R226">
        <v>1</v>
      </c>
      <c r="S226">
        <f t="shared" si="18"/>
        <v>1</v>
      </c>
      <c r="T226">
        <f t="shared" si="19"/>
        <v>0</v>
      </c>
    </row>
    <row r="227" spans="1:20">
      <c r="A227" t="s">
        <v>914</v>
      </c>
      <c r="B227" s="3">
        <v>45364</v>
      </c>
      <c r="C227" t="s">
        <v>915</v>
      </c>
      <c r="D227" t="s">
        <v>31</v>
      </c>
      <c r="E227">
        <v>3</v>
      </c>
      <c r="F227" s="4">
        <v>273.95999999999998</v>
      </c>
      <c r="G227" t="s">
        <v>916</v>
      </c>
      <c r="H227" t="s">
        <v>24</v>
      </c>
      <c r="I227" t="s">
        <v>49</v>
      </c>
      <c r="J227" t="s">
        <v>917</v>
      </c>
      <c r="K227">
        <v>8</v>
      </c>
      <c r="L227" t="s">
        <v>27</v>
      </c>
      <c r="M227" t="s">
        <v>82</v>
      </c>
      <c r="N227" s="4">
        <v>821.87999999999988</v>
      </c>
      <c r="O227" s="19" t="str">
        <f t="shared" si="15"/>
        <v>Mar-2024</v>
      </c>
      <c r="P227">
        <f t="shared" si="16"/>
        <v>2024</v>
      </c>
      <c r="Q227" t="str">
        <f t="shared" si="17"/>
        <v>OK</v>
      </c>
      <c r="R227">
        <v>1</v>
      </c>
      <c r="S227">
        <f t="shared" si="18"/>
        <v>0</v>
      </c>
      <c r="T227">
        <f t="shared" si="19"/>
        <v>1</v>
      </c>
    </row>
    <row r="228" spans="1:20">
      <c r="A228" t="s">
        <v>918</v>
      </c>
      <c r="B228" s="3">
        <v>45835</v>
      </c>
      <c r="C228" t="s">
        <v>919</v>
      </c>
      <c r="D228" t="s">
        <v>79</v>
      </c>
      <c r="E228">
        <v>3</v>
      </c>
      <c r="F228" s="4">
        <v>588.04999999999995</v>
      </c>
      <c r="G228" t="s">
        <v>920</v>
      </c>
      <c r="H228" t="s">
        <v>66</v>
      </c>
      <c r="I228" t="s">
        <v>56</v>
      </c>
      <c r="J228" t="s">
        <v>921</v>
      </c>
      <c r="K228">
        <v>8</v>
      </c>
      <c r="M228" t="s">
        <v>28</v>
      </c>
      <c r="N228" s="4">
        <v>1764.15</v>
      </c>
      <c r="O228" s="19" t="str">
        <f t="shared" si="15"/>
        <v>Jun-2025</v>
      </c>
      <c r="P228">
        <f t="shared" si="16"/>
        <v>2025</v>
      </c>
      <c r="Q228" t="str">
        <f t="shared" si="17"/>
        <v>OK</v>
      </c>
      <c r="R228">
        <v>1</v>
      </c>
      <c r="S228">
        <f t="shared" si="18"/>
        <v>0</v>
      </c>
      <c r="T228">
        <f t="shared" si="19"/>
        <v>0</v>
      </c>
    </row>
    <row r="229" spans="1:20">
      <c r="A229" t="s">
        <v>922</v>
      </c>
      <c r="B229" s="3">
        <v>45232</v>
      </c>
      <c r="C229" t="s">
        <v>923</v>
      </c>
      <c r="D229" t="s">
        <v>22</v>
      </c>
      <c r="E229">
        <v>2</v>
      </c>
      <c r="F229" s="4">
        <v>365.17</v>
      </c>
      <c r="G229" t="s">
        <v>543</v>
      </c>
      <c r="H229" t="s">
        <v>33</v>
      </c>
      <c r="I229" t="s">
        <v>41</v>
      </c>
      <c r="J229" t="s">
        <v>924</v>
      </c>
      <c r="K229">
        <v>4</v>
      </c>
      <c r="L229" t="s">
        <v>43</v>
      </c>
      <c r="M229" t="s">
        <v>51</v>
      </c>
      <c r="N229" s="4">
        <v>730.34</v>
      </c>
      <c r="O229" s="19" t="str">
        <f t="shared" si="15"/>
        <v>Nov-2023</v>
      </c>
      <c r="P229">
        <f t="shared" si="16"/>
        <v>2023</v>
      </c>
      <c r="Q229" t="str">
        <f t="shared" si="17"/>
        <v>OK</v>
      </c>
      <c r="R229">
        <v>1</v>
      </c>
      <c r="S229">
        <f t="shared" si="18"/>
        <v>1</v>
      </c>
      <c r="T229">
        <f t="shared" si="19"/>
        <v>0</v>
      </c>
    </row>
    <row r="230" spans="1:20">
      <c r="A230" t="s">
        <v>925</v>
      </c>
      <c r="B230" s="3">
        <v>45063</v>
      </c>
      <c r="C230" t="s">
        <v>926</v>
      </c>
      <c r="D230" t="s">
        <v>47</v>
      </c>
      <c r="E230">
        <v>4</v>
      </c>
      <c r="F230" s="4">
        <v>385.92</v>
      </c>
      <c r="G230" t="s">
        <v>927</v>
      </c>
      <c r="H230" t="s">
        <v>40</v>
      </c>
      <c r="I230" t="s">
        <v>41</v>
      </c>
      <c r="J230" t="s">
        <v>928</v>
      </c>
      <c r="K230">
        <v>8</v>
      </c>
      <c r="M230" t="s">
        <v>28</v>
      </c>
      <c r="N230" s="4">
        <v>1543.68</v>
      </c>
      <c r="O230" s="19" t="str">
        <f t="shared" si="15"/>
        <v>May-2023</v>
      </c>
      <c r="P230">
        <f t="shared" si="16"/>
        <v>2023</v>
      </c>
      <c r="Q230" t="str">
        <f t="shared" si="17"/>
        <v>OK</v>
      </c>
      <c r="R230">
        <v>1</v>
      </c>
      <c r="S230">
        <f t="shared" si="18"/>
        <v>1</v>
      </c>
      <c r="T230">
        <f t="shared" si="19"/>
        <v>0</v>
      </c>
    </row>
    <row r="231" spans="1:20">
      <c r="A231" t="s">
        <v>929</v>
      </c>
      <c r="B231" s="3">
        <v>45744</v>
      </c>
      <c r="C231" t="s">
        <v>930</v>
      </c>
      <c r="D231" t="s">
        <v>38</v>
      </c>
      <c r="E231">
        <v>1</v>
      </c>
      <c r="F231" s="4">
        <v>562.61</v>
      </c>
      <c r="G231" t="s">
        <v>931</v>
      </c>
      <c r="H231" t="s">
        <v>40</v>
      </c>
      <c r="I231" t="s">
        <v>56</v>
      </c>
      <c r="J231" t="s">
        <v>932</v>
      </c>
      <c r="K231">
        <v>3</v>
      </c>
      <c r="L231" t="s">
        <v>87</v>
      </c>
      <c r="M231" t="s">
        <v>51</v>
      </c>
      <c r="N231" s="4">
        <v>562.61</v>
      </c>
      <c r="O231" s="19" t="str">
        <f t="shared" si="15"/>
        <v>Mar-2025</v>
      </c>
      <c r="P231">
        <f t="shared" si="16"/>
        <v>2025</v>
      </c>
      <c r="Q231" t="str">
        <f t="shared" si="17"/>
        <v>OK</v>
      </c>
      <c r="R231">
        <v>1</v>
      </c>
      <c r="S231">
        <f t="shared" si="18"/>
        <v>0</v>
      </c>
      <c r="T231">
        <f t="shared" si="19"/>
        <v>0</v>
      </c>
    </row>
    <row r="232" spans="1:20">
      <c r="A232" t="s">
        <v>933</v>
      </c>
      <c r="B232" s="3">
        <v>45276</v>
      </c>
      <c r="C232" t="s">
        <v>934</v>
      </c>
      <c r="D232" t="s">
        <v>79</v>
      </c>
      <c r="E232">
        <v>4</v>
      </c>
      <c r="F232" s="4">
        <v>61.91</v>
      </c>
      <c r="G232" t="s">
        <v>935</v>
      </c>
      <c r="H232" t="s">
        <v>66</v>
      </c>
      <c r="I232" t="s">
        <v>56</v>
      </c>
      <c r="J232" t="s">
        <v>936</v>
      </c>
      <c r="K232">
        <v>6</v>
      </c>
      <c r="L232" t="s">
        <v>87</v>
      </c>
      <c r="M232" t="s">
        <v>44</v>
      </c>
      <c r="N232" s="4">
        <v>247.64</v>
      </c>
      <c r="O232" s="19" t="str">
        <f t="shared" si="15"/>
        <v>Dec-2023</v>
      </c>
      <c r="P232">
        <f t="shared" si="16"/>
        <v>2023</v>
      </c>
      <c r="Q232" t="str">
        <f t="shared" si="17"/>
        <v>OK</v>
      </c>
      <c r="R232">
        <v>1</v>
      </c>
      <c r="S232">
        <f t="shared" si="18"/>
        <v>0</v>
      </c>
      <c r="T232">
        <f t="shared" si="19"/>
        <v>0</v>
      </c>
    </row>
    <row r="233" spans="1:20">
      <c r="A233" t="s">
        <v>937</v>
      </c>
      <c r="B233" s="3">
        <v>45235</v>
      </c>
      <c r="C233" t="s">
        <v>938</v>
      </c>
      <c r="D233" t="s">
        <v>31</v>
      </c>
      <c r="E233">
        <v>4</v>
      </c>
      <c r="F233" s="4">
        <v>41.9</v>
      </c>
      <c r="G233" t="s">
        <v>939</v>
      </c>
      <c r="H233" t="s">
        <v>66</v>
      </c>
      <c r="I233" t="s">
        <v>95</v>
      </c>
      <c r="J233" t="s">
        <v>940</v>
      </c>
      <c r="K233">
        <v>9</v>
      </c>
      <c r="L233" t="s">
        <v>43</v>
      </c>
      <c r="M233" t="s">
        <v>28</v>
      </c>
      <c r="N233" s="4">
        <v>167.6</v>
      </c>
      <c r="O233" s="19" t="str">
        <f t="shared" si="15"/>
        <v>Nov-2023</v>
      </c>
      <c r="P233">
        <f t="shared" si="16"/>
        <v>2023</v>
      </c>
      <c r="Q233" t="str">
        <f t="shared" si="17"/>
        <v>OK</v>
      </c>
      <c r="R233">
        <v>1</v>
      </c>
      <c r="S233">
        <f t="shared" si="18"/>
        <v>0</v>
      </c>
      <c r="T233">
        <f t="shared" si="19"/>
        <v>0</v>
      </c>
    </row>
    <row r="234" spans="1:20">
      <c r="A234" t="s">
        <v>941</v>
      </c>
      <c r="B234" s="3">
        <v>45065</v>
      </c>
      <c r="C234" t="s">
        <v>942</v>
      </c>
      <c r="D234" t="s">
        <v>54</v>
      </c>
      <c r="E234">
        <v>4</v>
      </c>
      <c r="F234" s="4">
        <v>444.44</v>
      </c>
      <c r="G234" t="s">
        <v>943</v>
      </c>
      <c r="H234" t="s">
        <v>24</v>
      </c>
      <c r="I234" t="s">
        <v>41</v>
      </c>
      <c r="J234" t="s">
        <v>944</v>
      </c>
      <c r="K234">
        <v>8</v>
      </c>
      <c r="L234" t="s">
        <v>87</v>
      </c>
      <c r="M234" t="s">
        <v>82</v>
      </c>
      <c r="N234" s="4">
        <v>1777.76</v>
      </c>
      <c r="O234" s="19" t="str">
        <f t="shared" si="15"/>
        <v>May-2023</v>
      </c>
      <c r="P234">
        <f t="shared" si="16"/>
        <v>2023</v>
      </c>
      <c r="Q234" t="str">
        <f t="shared" si="17"/>
        <v>OK</v>
      </c>
      <c r="R234">
        <v>1</v>
      </c>
      <c r="S234">
        <f t="shared" si="18"/>
        <v>1</v>
      </c>
      <c r="T234">
        <f t="shared" si="19"/>
        <v>0</v>
      </c>
    </row>
    <row r="235" spans="1:20">
      <c r="A235" t="s">
        <v>945</v>
      </c>
      <c r="B235" s="3">
        <v>45528</v>
      </c>
      <c r="C235" t="s">
        <v>946</v>
      </c>
      <c r="D235" t="s">
        <v>31</v>
      </c>
      <c r="E235">
        <v>3</v>
      </c>
      <c r="F235" s="4">
        <v>311.33</v>
      </c>
      <c r="G235" t="s">
        <v>353</v>
      </c>
      <c r="H235" t="s">
        <v>71</v>
      </c>
      <c r="I235" t="s">
        <v>41</v>
      </c>
      <c r="J235" t="s">
        <v>947</v>
      </c>
      <c r="K235">
        <v>3</v>
      </c>
      <c r="L235" t="s">
        <v>87</v>
      </c>
      <c r="M235" t="s">
        <v>28</v>
      </c>
      <c r="N235" s="4">
        <v>933.99</v>
      </c>
      <c r="O235" s="19" t="str">
        <f t="shared" si="15"/>
        <v>Aug-2024</v>
      </c>
      <c r="P235">
        <f t="shared" si="16"/>
        <v>2024</v>
      </c>
      <c r="Q235" t="str">
        <f t="shared" si="17"/>
        <v>OK</v>
      </c>
      <c r="R235">
        <v>1</v>
      </c>
      <c r="S235">
        <f t="shared" si="18"/>
        <v>1</v>
      </c>
      <c r="T235">
        <f t="shared" si="19"/>
        <v>0</v>
      </c>
    </row>
    <row r="236" spans="1:20">
      <c r="A236" t="s">
        <v>948</v>
      </c>
      <c r="B236" s="3">
        <v>45622</v>
      </c>
      <c r="C236" t="s">
        <v>949</v>
      </c>
      <c r="D236" t="s">
        <v>54</v>
      </c>
      <c r="E236">
        <v>4</v>
      </c>
      <c r="F236" s="4">
        <v>236.41</v>
      </c>
      <c r="G236" t="s">
        <v>950</v>
      </c>
      <c r="H236" t="s">
        <v>24</v>
      </c>
      <c r="I236" t="s">
        <v>95</v>
      </c>
      <c r="J236" t="s">
        <v>951</v>
      </c>
      <c r="K236">
        <v>7</v>
      </c>
      <c r="L236" t="s">
        <v>27</v>
      </c>
      <c r="M236" t="s">
        <v>82</v>
      </c>
      <c r="N236" s="4">
        <v>945.64</v>
      </c>
      <c r="O236" s="19" t="str">
        <f t="shared" si="15"/>
        <v>Nov-2024</v>
      </c>
      <c r="P236">
        <f t="shared" si="16"/>
        <v>2024</v>
      </c>
      <c r="Q236" t="str">
        <f t="shared" si="17"/>
        <v>OK</v>
      </c>
      <c r="R236">
        <v>1</v>
      </c>
      <c r="S236">
        <f t="shared" si="18"/>
        <v>0</v>
      </c>
      <c r="T236">
        <f t="shared" si="19"/>
        <v>0</v>
      </c>
    </row>
    <row r="237" spans="1:20">
      <c r="A237" t="s">
        <v>952</v>
      </c>
      <c r="B237" s="3">
        <v>44977</v>
      </c>
      <c r="C237" t="s">
        <v>953</v>
      </c>
      <c r="D237" t="s">
        <v>79</v>
      </c>
      <c r="E237">
        <v>1</v>
      </c>
      <c r="F237" s="4">
        <v>65.45</v>
      </c>
      <c r="G237" t="s">
        <v>954</v>
      </c>
      <c r="H237" t="s">
        <v>71</v>
      </c>
      <c r="I237" t="s">
        <v>95</v>
      </c>
      <c r="J237" t="s">
        <v>955</v>
      </c>
      <c r="K237">
        <v>2</v>
      </c>
      <c r="L237" t="s">
        <v>87</v>
      </c>
      <c r="M237" t="s">
        <v>82</v>
      </c>
      <c r="N237" s="4">
        <v>65.45</v>
      </c>
      <c r="O237" s="19" t="str">
        <f t="shared" si="15"/>
        <v>Feb-2023</v>
      </c>
      <c r="P237">
        <f t="shared" si="16"/>
        <v>2023</v>
      </c>
      <c r="Q237" t="str">
        <f t="shared" si="17"/>
        <v>OK</v>
      </c>
      <c r="R237">
        <v>1</v>
      </c>
      <c r="S237">
        <f t="shared" si="18"/>
        <v>0</v>
      </c>
      <c r="T237">
        <f t="shared" si="19"/>
        <v>0</v>
      </c>
    </row>
    <row r="238" spans="1:20">
      <c r="A238" t="s">
        <v>956</v>
      </c>
      <c r="B238" s="3">
        <v>44927</v>
      </c>
      <c r="C238" t="s">
        <v>957</v>
      </c>
      <c r="D238" t="s">
        <v>22</v>
      </c>
      <c r="E238">
        <v>1</v>
      </c>
      <c r="F238" s="4">
        <v>318.81</v>
      </c>
      <c r="G238" t="s">
        <v>958</v>
      </c>
      <c r="H238" t="s">
        <v>24</v>
      </c>
      <c r="I238" t="s">
        <v>95</v>
      </c>
      <c r="J238" t="s">
        <v>959</v>
      </c>
      <c r="K238">
        <v>3</v>
      </c>
      <c r="L238" t="s">
        <v>87</v>
      </c>
      <c r="M238" t="s">
        <v>44</v>
      </c>
      <c r="N238" s="4">
        <v>318.81</v>
      </c>
      <c r="O238" s="19" t="str">
        <f t="shared" si="15"/>
        <v>Jan-2023</v>
      </c>
      <c r="P238">
        <f t="shared" si="16"/>
        <v>2023</v>
      </c>
      <c r="Q238" t="str">
        <f t="shared" si="17"/>
        <v>OK</v>
      </c>
      <c r="R238">
        <v>1</v>
      </c>
      <c r="S238">
        <f t="shared" si="18"/>
        <v>0</v>
      </c>
      <c r="T238">
        <f t="shared" si="19"/>
        <v>0</v>
      </c>
    </row>
    <row r="239" spans="1:20">
      <c r="A239" t="s">
        <v>960</v>
      </c>
      <c r="B239" s="3">
        <v>45365</v>
      </c>
      <c r="C239" t="s">
        <v>961</v>
      </c>
      <c r="D239" t="s">
        <v>22</v>
      </c>
      <c r="E239">
        <v>3</v>
      </c>
      <c r="F239" s="4">
        <v>583.72</v>
      </c>
      <c r="G239" t="s">
        <v>962</v>
      </c>
      <c r="H239" t="s">
        <v>40</v>
      </c>
      <c r="I239" t="s">
        <v>25</v>
      </c>
      <c r="J239" t="s">
        <v>963</v>
      </c>
      <c r="K239">
        <v>5</v>
      </c>
      <c r="L239" t="s">
        <v>43</v>
      </c>
      <c r="M239" t="s">
        <v>51</v>
      </c>
      <c r="N239" s="4">
        <v>1751.16</v>
      </c>
      <c r="O239" s="19" t="str">
        <f t="shared" si="15"/>
        <v>Mar-2024</v>
      </c>
      <c r="P239">
        <f t="shared" si="16"/>
        <v>2024</v>
      </c>
      <c r="Q239" t="str">
        <f t="shared" si="17"/>
        <v>OK</v>
      </c>
      <c r="R239">
        <v>1</v>
      </c>
      <c r="S239">
        <f t="shared" si="18"/>
        <v>0</v>
      </c>
      <c r="T239">
        <f t="shared" si="19"/>
        <v>0</v>
      </c>
    </row>
    <row r="240" spans="1:20">
      <c r="A240" t="s">
        <v>964</v>
      </c>
      <c r="B240" s="3">
        <v>45639</v>
      </c>
      <c r="C240" t="s">
        <v>965</v>
      </c>
      <c r="D240" t="s">
        <v>79</v>
      </c>
      <c r="E240">
        <v>4</v>
      </c>
      <c r="F240" s="4">
        <v>384.32</v>
      </c>
      <c r="G240" t="s">
        <v>966</v>
      </c>
      <c r="H240" t="s">
        <v>40</v>
      </c>
      <c r="I240" t="s">
        <v>95</v>
      </c>
      <c r="J240" t="s">
        <v>967</v>
      </c>
      <c r="K240">
        <v>6</v>
      </c>
      <c r="L240" t="s">
        <v>87</v>
      </c>
      <c r="M240" t="s">
        <v>82</v>
      </c>
      <c r="N240" s="4">
        <v>1537.28</v>
      </c>
      <c r="O240" s="19" t="str">
        <f t="shared" si="15"/>
        <v>Dec-2024</v>
      </c>
      <c r="P240">
        <f t="shared" si="16"/>
        <v>2024</v>
      </c>
      <c r="Q240" t="str">
        <f t="shared" si="17"/>
        <v>OK</v>
      </c>
      <c r="R240">
        <v>1</v>
      </c>
      <c r="S240">
        <f t="shared" si="18"/>
        <v>0</v>
      </c>
      <c r="T240">
        <f t="shared" si="19"/>
        <v>0</v>
      </c>
    </row>
    <row r="241" spans="1:20">
      <c r="A241" t="s">
        <v>968</v>
      </c>
      <c r="B241" s="3">
        <v>45637</v>
      </c>
      <c r="C241" t="s">
        <v>969</v>
      </c>
      <c r="D241" t="s">
        <v>38</v>
      </c>
      <c r="E241">
        <v>3</v>
      </c>
      <c r="F241" s="4">
        <v>538.74</v>
      </c>
      <c r="G241" t="s">
        <v>970</v>
      </c>
      <c r="H241" t="s">
        <v>33</v>
      </c>
      <c r="I241" t="s">
        <v>25</v>
      </c>
      <c r="J241" t="s">
        <v>971</v>
      </c>
      <c r="K241">
        <v>6</v>
      </c>
      <c r="L241" t="s">
        <v>43</v>
      </c>
      <c r="M241" t="s">
        <v>44</v>
      </c>
      <c r="N241" s="4">
        <v>1616.22</v>
      </c>
      <c r="O241" s="19" t="str">
        <f t="shared" si="15"/>
        <v>Dec-2024</v>
      </c>
      <c r="P241">
        <f t="shared" si="16"/>
        <v>2024</v>
      </c>
      <c r="Q241" t="str">
        <f t="shared" si="17"/>
        <v>OK</v>
      </c>
      <c r="R241">
        <v>1</v>
      </c>
      <c r="S241">
        <f t="shared" si="18"/>
        <v>0</v>
      </c>
      <c r="T241">
        <f t="shared" si="19"/>
        <v>0</v>
      </c>
    </row>
    <row r="242" spans="1:20">
      <c r="A242" t="s">
        <v>972</v>
      </c>
      <c r="B242" s="3">
        <v>45119</v>
      </c>
      <c r="C242" t="s">
        <v>973</v>
      </c>
      <c r="D242" t="s">
        <v>38</v>
      </c>
      <c r="E242">
        <v>1</v>
      </c>
      <c r="F242" s="4">
        <v>17.239999999999998</v>
      </c>
      <c r="G242" t="s">
        <v>974</v>
      </c>
      <c r="H242" t="s">
        <v>33</v>
      </c>
      <c r="I242" t="s">
        <v>95</v>
      </c>
      <c r="J242" t="s">
        <v>975</v>
      </c>
      <c r="K242">
        <v>2</v>
      </c>
      <c r="L242" t="s">
        <v>43</v>
      </c>
      <c r="M242" t="s">
        <v>28</v>
      </c>
      <c r="N242" s="4">
        <v>17.239999999999998</v>
      </c>
      <c r="O242" s="19" t="str">
        <f t="shared" si="15"/>
        <v>Jul-2023</v>
      </c>
      <c r="P242">
        <f t="shared" si="16"/>
        <v>2023</v>
      </c>
      <c r="Q242" t="str">
        <f t="shared" si="17"/>
        <v>OK</v>
      </c>
      <c r="R242">
        <v>1</v>
      </c>
      <c r="S242">
        <f t="shared" si="18"/>
        <v>0</v>
      </c>
      <c r="T242">
        <f t="shared" si="19"/>
        <v>0</v>
      </c>
    </row>
    <row r="243" spans="1:20">
      <c r="A243" t="s">
        <v>976</v>
      </c>
      <c r="B243" s="3">
        <v>45062</v>
      </c>
      <c r="C243" t="s">
        <v>977</v>
      </c>
      <c r="D243" t="s">
        <v>47</v>
      </c>
      <c r="E243">
        <v>5</v>
      </c>
      <c r="F243" s="4">
        <v>615.66999999999996</v>
      </c>
      <c r="G243" t="s">
        <v>978</v>
      </c>
      <c r="H243" t="s">
        <v>33</v>
      </c>
      <c r="I243" t="s">
        <v>95</v>
      </c>
      <c r="J243" t="s">
        <v>979</v>
      </c>
      <c r="K243">
        <v>6</v>
      </c>
      <c r="L243" t="s">
        <v>27</v>
      </c>
      <c r="M243" t="s">
        <v>44</v>
      </c>
      <c r="N243" s="4">
        <v>3078.35</v>
      </c>
      <c r="O243" s="19" t="str">
        <f t="shared" si="15"/>
        <v>May-2023</v>
      </c>
      <c r="P243">
        <f t="shared" si="16"/>
        <v>2023</v>
      </c>
      <c r="Q243" t="str">
        <f t="shared" si="17"/>
        <v>OK</v>
      </c>
      <c r="R243">
        <v>1</v>
      </c>
      <c r="S243">
        <f t="shared" si="18"/>
        <v>0</v>
      </c>
      <c r="T243">
        <f t="shared" si="19"/>
        <v>0</v>
      </c>
    </row>
    <row r="244" spans="1:20">
      <c r="A244" t="s">
        <v>980</v>
      </c>
      <c r="B244" s="3">
        <v>45055</v>
      </c>
      <c r="C244" t="s">
        <v>981</v>
      </c>
      <c r="D244" t="s">
        <v>54</v>
      </c>
      <c r="E244">
        <v>2</v>
      </c>
      <c r="F244" s="4">
        <v>219.1</v>
      </c>
      <c r="G244" t="s">
        <v>982</v>
      </c>
      <c r="H244" t="s">
        <v>33</v>
      </c>
      <c r="I244" t="s">
        <v>95</v>
      </c>
      <c r="J244" t="s">
        <v>983</v>
      </c>
      <c r="K244">
        <v>4</v>
      </c>
      <c r="L244" t="s">
        <v>27</v>
      </c>
      <c r="M244" t="s">
        <v>35</v>
      </c>
      <c r="N244" s="4">
        <v>438.2</v>
      </c>
      <c r="O244" s="19" t="str">
        <f t="shared" si="15"/>
        <v>May-2023</v>
      </c>
      <c r="P244">
        <f t="shared" si="16"/>
        <v>2023</v>
      </c>
      <c r="Q244" t="str">
        <f t="shared" si="17"/>
        <v>OK</v>
      </c>
      <c r="R244">
        <v>1</v>
      </c>
      <c r="S244">
        <f t="shared" si="18"/>
        <v>0</v>
      </c>
      <c r="T244">
        <f t="shared" si="19"/>
        <v>0</v>
      </c>
    </row>
    <row r="245" spans="1:20">
      <c r="A245" t="s">
        <v>984</v>
      </c>
      <c r="B245" s="3">
        <v>45786</v>
      </c>
      <c r="C245" t="s">
        <v>985</v>
      </c>
      <c r="D245" t="s">
        <v>47</v>
      </c>
      <c r="E245">
        <v>2</v>
      </c>
      <c r="F245" s="4">
        <v>144.66</v>
      </c>
      <c r="G245" t="s">
        <v>986</v>
      </c>
      <c r="H245" t="s">
        <v>33</v>
      </c>
      <c r="I245" t="s">
        <v>41</v>
      </c>
      <c r="J245" t="s">
        <v>987</v>
      </c>
      <c r="K245">
        <v>7</v>
      </c>
      <c r="L245" t="s">
        <v>43</v>
      </c>
      <c r="M245" t="s">
        <v>82</v>
      </c>
      <c r="N245" s="4">
        <v>289.32</v>
      </c>
      <c r="O245" s="19" t="str">
        <f t="shared" si="15"/>
        <v>May-2025</v>
      </c>
      <c r="P245">
        <f t="shared" si="16"/>
        <v>2025</v>
      </c>
      <c r="Q245" t="str">
        <f t="shared" si="17"/>
        <v>OK</v>
      </c>
      <c r="R245">
        <v>1</v>
      </c>
      <c r="S245">
        <f t="shared" si="18"/>
        <v>1</v>
      </c>
      <c r="T245">
        <f t="shared" si="19"/>
        <v>0</v>
      </c>
    </row>
    <row r="246" spans="1:20">
      <c r="A246" t="s">
        <v>988</v>
      </c>
      <c r="B246" s="3">
        <v>44973</v>
      </c>
      <c r="C246" t="s">
        <v>989</v>
      </c>
      <c r="D246" t="s">
        <v>79</v>
      </c>
      <c r="E246">
        <v>2</v>
      </c>
      <c r="F246" s="4">
        <v>317.77</v>
      </c>
      <c r="G246" t="s">
        <v>990</v>
      </c>
      <c r="H246" t="s">
        <v>24</v>
      </c>
      <c r="I246" t="s">
        <v>41</v>
      </c>
      <c r="J246" t="s">
        <v>991</v>
      </c>
      <c r="K246">
        <v>4</v>
      </c>
      <c r="L246" t="s">
        <v>87</v>
      </c>
      <c r="M246" t="s">
        <v>51</v>
      </c>
      <c r="N246" s="4">
        <v>635.54</v>
      </c>
      <c r="O246" s="19" t="str">
        <f t="shared" si="15"/>
        <v>Feb-2023</v>
      </c>
      <c r="P246">
        <f t="shared" si="16"/>
        <v>2023</v>
      </c>
      <c r="Q246" t="str">
        <f t="shared" si="17"/>
        <v>OK</v>
      </c>
      <c r="R246">
        <v>1</v>
      </c>
      <c r="S246">
        <f t="shared" si="18"/>
        <v>1</v>
      </c>
      <c r="T246">
        <f t="shared" si="19"/>
        <v>0</v>
      </c>
    </row>
    <row r="247" spans="1:20">
      <c r="A247" t="s">
        <v>992</v>
      </c>
      <c r="B247" s="3">
        <v>45767</v>
      </c>
      <c r="C247" t="s">
        <v>993</v>
      </c>
      <c r="D247" t="s">
        <v>64</v>
      </c>
      <c r="E247">
        <v>1</v>
      </c>
      <c r="F247" s="4">
        <v>223.3</v>
      </c>
      <c r="G247" t="s">
        <v>994</v>
      </c>
      <c r="H247" t="s">
        <v>33</v>
      </c>
      <c r="I247" t="s">
        <v>49</v>
      </c>
      <c r="J247" t="s">
        <v>995</v>
      </c>
      <c r="K247">
        <v>1</v>
      </c>
      <c r="M247" t="s">
        <v>51</v>
      </c>
      <c r="N247" s="4">
        <v>223.3</v>
      </c>
      <c r="O247" s="19" t="str">
        <f t="shared" si="15"/>
        <v>Apr-2025</v>
      </c>
      <c r="P247">
        <f t="shared" si="16"/>
        <v>2025</v>
      </c>
      <c r="Q247" t="str">
        <f t="shared" si="17"/>
        <v>OK</v>
      </c>
      <c r="R247">
        <v>1</v>
      </c>
      <c r="S247">
        <f t="shared" si="18"/>
        <v>0</v>
      </c>
      <c r="T247">
        <f t="shared" si="19"/>
        <v>1</v>
      </c>
    </row>
    <row r="248" spans="1:20">
      <c r="A248" t="s">
        <v>996</v>
      </c>
      <c r="B248" s="3">
        <v>45534</v>
      </c>
      <c r="C248" t="s">
        <v>997</v>
      </c>
      <c r="D248" t="s">
        <v>79</v>
      </c>
      <c r="E248">
        <v>2</v>
      </c>
      <c r="F248" s="4">
        <v>342.11</v>
      </c>
      <c r="G248" t="s">
        <v>998</v>
      </c>
      <c r="H248" t="s">
        <v>66</v>
      </c>
      <c r="I248" t="s">
        <v>25</v>
      </c>
      <c r="J248" t="s">
        <v>999</v>
      </c>
      <c r="K248">
        <v>2</v>
      </c>
      <c r="L248" t="s">
        <v>87</v>
      </c>
      <c r="M248" t="s">
        <v>28</v>
      </c>
      <c r="N248" s="4">
        <v>684.22</v>
      </c>
      <c r="O248" s="19" t="str">
        <f t="shared" si="15"/>
        <v>Aug-2024</v>
      </c>
      <c r="P248">
        <f t="shared" si="16"/>
        <v>2024</v>
      </c>
      <c r="Q248" t="str">
        <f t="shared" si="17"/>
        <v>OK</v>
      </c>
      <c r="R248">
        <v>1</v>
      </c>
      <c r="S248">
        <f t="shared" si="18"/>
        <v>0</v>
      </c>
      <c r="T248">
        <f t="shared" si="19"/>
        <v>0</v>
      </c>
    </row>
    <row r="249" spans="1:20">
      <c r="A249" t="s">
        <v>1000</v>
      </c>
      <c r="B249" s="3">
        <v>45127</v>
      </c>
      <c r="C249" t="s">
        <v>1001</v>
      </c>
      <c r="D249" t="s">
        <v>54</v>
      </c>
      <c r="E249">
        <v>2</v>
      </c>
      <c r="F249" s="4">
        <v>220.9</v>
      </c>
      <c r="G249" t="s">
        <v>1002</v>
      </c>
      <c r="H249" t="s">
        <v>66</v>
      </c>
      <c r="I249" t="s">
        <v>25</v>
      </c>
      <c r="J249" t="s">
        <v>1003</v>
      </c>
      <c r="K249">
        <v>4</v>
      </c>
      <c r="M249" t="s">
        <v>44</v>
      </c>
      <c r="N249" s="4">
        <v>441.8</v>
      </c>
      <c r="O249" s="19" t="str">
        <f t="shared" si="15"/>
        <v>Jul-2023</v>
      </c>
      <c r="P249">
        <f t="shared" si="16"/>
        <v>2023</v>
      </c>
      <c r="Q249" t="str">
        <f t="shared" si="17"/>
        <v>OK</v>
      </c>
      <c r="R249">
        <v>1</v>
      </c>
      <c r="S249">
        <f t="shared" si="18"/>
        <v>0</v>
      </c>
      <c r="T249">
        <f t="shared" si="19"/>
        <v>0</v>
      </c>
    </row>
    <row r="250" spans="1:20">
      <c r="A250" t="s">
        <v>1004</v>
      </c>
      <c r="B250" s="3">
        <v>45109</v>
      </c>
      <c r="C250" t="s">
        <v>1005</v>
      </c>
      <c r="D250" t="s">
        <v>64</v>
      </c>
      <c r="E250">
        <v>1</v>
      </c>
      <c r="F250" s="4">
        <v>670.54</v>
      </c>
      <c r="G250" t="s">
        <v>1006</v>
      </c>
      <c r="H250" t="s">
        <v>71</v>
      </c>
      <c r="I250" t="s">
        <v>25</v>
      </c>
      <c r="J250" t="s">
        <v>1007</v>
      </c>
      <c r="K250">
        <v>6</v>
      </c>
      <c r="L250" t="s">
        <v>43</v>
      </c>
      <c r="M250" t="s">
        <v>35</v>
      </c>
      <c r="N250" s="4">
        <v>670.54</v>
      </c>
      <c r="O250" s="19" t="str">
        <f t="shared" si="15"/>
        <v>Jul-2023</v>
      </c>
      <c r="P250">
        <f t="shared" si="16"/>
        <v>2023</v>
      </c>
      <c r="Q250" t="str">
        <f t="shared" si="17"/>
        <v>OK</v>
      </c>
      <c r="R250">
        <v>1</v>
      </c>
      <c r="S250">
        <f t="shared" si="18"/>
        <v>0</v>
      </c>
      <c r="T250">
        <f t="shared" si="19"/>
        <v>0</v>
      </c>
    </row>
    <row r="251" spans="1:20">
      <c r="A251" t="s">
        <v>1008</v>
      </c>
      <c r="B251" s="3">
        <v>45329</v>
      </c>
      <c r="C251" t="s">
        <v>1009</v>
      </c>
      <c r="D251" t="s">
        <v>54</v>
      </c>
      <c r="E251">
        <v>1</v>
      </c>
      <c r="F251" s="4">
        <v>546.19000000000005</v>
      </c>
      <c r="G251" t="s">
        <v>1010</v>
      </c>
      <c r="H251" t="s">
        <v>71</v>
      </c>
      <c r="I251" t="s">
        <v>95</v>
      </c>
      <c r="J251" t="s">
        <v>1011</v>
      </c>
      <c r="K251">
        <v>5</v>
      </c>
      <c r="L251" t="s">
        <v>43</v>
      </c>
      <c r="M251" t="s">
        <v>35</v>
      </c>
      <c r="N251" s="4">
        <v>546.19000000000005</v>
      </c>
      <c r="O251" s="19" t="str">
        <f t="shared" si="15"/>
        <v>Feb-2024</v>
      </c>
      <c r="P251">
        <f t="shared" si="16"/>
        <v>2024</v>
      </c>
      <c r="Q251" t="str">
        <f t="shared" si="17"/>
        <v>OK</v>
      </c>
      <c r="R251">
        <v>1</v>
      </c>
      <c r="S251">
        <f t="shared" si="18"/>
        <v>0</v>
      </c>
      <c r="T251">
        <f t="shared" si="19"/>
        <v>0</v>
      </c>
    </row>
    <row r="252" spans="1:20">
      <c r="A252" t="s">
        <v>1012</v>
      </c>
      <c r="B252" s="3">
        <v>45021</v>
      </c>
      <c r="C252" t="s">
        <v>1013</v>
      </c>
      <c r="D252" t="s">
        <v>79</v>
      </c>
      <c r="E252">
        <v>3</v>
      </c>
      <c r="F252" s="4">
        <v>42.95</v>
      </c>
      <c r="G252" t="s">
        <v>393</v>
      </c>
      <c r="H252" t="s">
        <v>66</v>
      </c>
      <c r="I252" t="s">
        <v>49</v>
      </c>
      <c r="J252" t="s">
        <v>1014</v>
      </c>
      <c r="K252">
        <v>8</v>
      </c>
      <c r="L252" t="s">
        <v>27</v>
      </c>
      <c r="M252" t="s">
        <v>44</v>
      </c>
      <c r="N252" s="4">
        <v>128.85</v>
      </c>
      <c r="O252" s="19" t="str">
        <f t="shared" si="15"/>
        <v>Apr-2023</v>
      </c>
      <c r="P252">
        <f t="shared" si="16"/>
        <v>2023</v>
      </c>
      <c r="Q252" t="str">
        <f t="shared" si="17"/>
        <v>OK</v>
      </c>
      <c r="R252">
        <v>1</v>
      </c>
      <c r="S252">
        <f t="shared" si="18"/>
        <v>0</v>
      </c>
      <c r="T252">
        <f t="shared" si="19"/>
        <v>1</v>
      </c>
    </row>
    <row r="253" spans="1:20">
      <c r="A253" t="s">
        <v>1015</v>
      </c>
      <c r="B253" s="3">
        <v>45792</v>
      </c>
      <c r="C253" t="s">
        <v>1016</v>
      </c>
      <c r="D253" t="s">
        <v>22</v>
      </c>
      <c r="E253">
        <v>4</v>
      </c>
      <c r="F253" s="4">
        <v>14.69</v>
      </c>
      <c r="G253" t="s">
        <v>1017</v>
      </c>
      <c r="H253" t="s">
        <v>71</v>
      </c>
      <c r="I253" t="s">
        <v>41</v>
      </c>
      <c r="J253" t="s">
        <v>1018</v>
      </c>
      <c r="K253">
        <v>9</v>
      </c>
      <c r="M253" t="s">
        <v>44</v>
      </c>
      <c r="N253" s="4">
        <v>58.76</v>
      </c>
      <c r="O253" s="19" t="str">
        <f t="shared" si="15"/>
        <v>May-2025</v>
      </c>
      <c r="P253">
        <f t="shared" si="16"/>
        <v>2025</v>
      </c>
      <c r="Q253" t="str">
        <f t="shared" si="17"/>
        <v>OK</v>
      </c>
      <c r="R253">
        <v>1</v>
      </c>
      <c r="S253">
        <f t="shared" si="18"/>
        <v>1</v>
      </c>
      <c r="T253">
        <f t="shared" si="19"/>
        <v>0</v>
      </c>
    </row>
    <row r="254" spans="1:20">
      <c r="A254" t="s">
        <v>1019</v>
      </c>
      <c r="B254" s="3">
        <v>45555</v>
      </c>
      <c r="C254" t="s">
        <v>1020</v>
      </c>
      <c r="D254" t="s">
        <v>31</v>
      </c>
      <c r="E254">
        <v>4</v>
      </c>
      <c r="F254" s="4">
        <v>668.36</v>
      </c>
      <c r="G254" t="s">
        <v>1021</v>
      </c>
      <c r="H254" t="s">
        <v>66</v>
      </c>
      <c r="I254" t="s">
        <v>41</v>
      </c>
      <c r="J254" t="s">
        <v>1022</v>
      </c>
      <c r="K254">
        <v>5</v>
      </c>
      <c r="L254" t="s">
        <v>43</v>
      </c>
      <c r="M254" t="s">
        <v>51</v>
      </c>
      <c r="N254" s="4">
        <v>2673.44</v>
      </c>
      <c r="O254" s="19" t="str">
        <f t="shared" si="15"/>
        <v>Sep-2024</v>
      </c>
      <c r="P254">
        <f t="shared" si="16"/>
        <v>2024</v>
      </c>
      <c r="Q254" t="str">
        <f t="shared" si="17"/>
        <v>OK</v>
      </c>
      <c r="R254">
        <v>1</v>
      </c>
      <c r="S254">
        <f t="shared" si="18"/>
        <v>1</v>
      </c>
      <c r="T254">
        <f t="shared" si="19"/>
        <v>0</v>
      </c>
    </row>
    <row r="255" spans="1:20">
      <c r="A255" t="s">
        <v>1023</v>
      </c>
      <c r="B255" s="3">
        <v>45374</v>
      </c>
      <c r="C255" t="s">
        <v>1024</v>
      </c>
      <c r="D255" t="s">
        <v>47</v>
      </c>
      <c r="E255">
        <v>4</v>
      </c>
      <c r="F255" s="4">
        <v>413.74</v>
      </c>
      <c r="G255" t="s">
        <v>440</v>
      </c>
      <c r="H255" t="s">
        <v>66</v>
      </c>
      <c r="I255" t="s">
        <v>49</v>
      </c>
      <c r="J255" t="s">
        <v>1025</v>
      </c>
      <c r="K255">
        <v>7</v>
      </c>
      <c r="L255" t="s">
        <v>43</v>
      </c>
      <c r="M255" t="s">
        <v>28</v>
      </c>
      <c r="N255" s="4">
        <v>1654.96</v>
      </c>
      <c r="O255" s="19" t="str">
        <f t="shared" si="15"/>
        <v>Mar-2024</v>
      </c>
      <c r="P255">
        <f t="shared" si="16"/>
        <v>2024</v>
      </c>
      <c r="Q255" t="str">
        <f t="shared" si="17"/>
        <v>OK</v>
      </c>
      <c r="R255">
        <v>1</v>
      </c>
      <c r="S255">
        <f t="shared" si="18"/>
        <v>0</v>
      </c>
      <c r="T255">
        <f t="shared" si="19"/>
        <v>1</v>
      </c>
    </row>
    <row r="256" spans="1:20">
      <c r="A256" t="s">
        <v>1026</v>
      </c>
      <c r="B256" s="3">
        <v>45286</v>
      </c>
      <c r="C256" t="s">
        <v>1027</v>
      </c>
      <c r="D256" t="s">
        <v>22</v>
      </c>
      <c r="E256">
        <v>3</v>
      </c>
      <c r="F256" s="4">
        <v>263.19</v>
      </c>
      <c r="G256" t="s">
        <v>966</v>
      </c>
      <c r="H256" t="s">
        <v>33</v>
      </c>
      <c r="I256" t="s">
        <v>56</v>
      </c>
      <c r="J256" t="s">
        <v>1028</v>
      </c>
      <c r="K256">
        <v>5</v>
      </c>
      <c r="M256" t="s">
        <v>28</v>
      </c>
      <c r="N256" s="4">
        <v>789.56999999999994</v>
      </c>
      <c r="O256" s="19" t="str">
        <f t="shared" si="15"/>
        <v>Dec-2023</v>
      </c>
      <c r="P256">
        <f t="shared" si="16"/>
        <v>2023</v>
      </c>
      <c r="Q256" t="str">
        <f t="shared" si="17"/>
        <v>OK</v>
      </c>
      <c r="R256">
        <v>1</v>
      </c>
      <c r="S256">
        <f t="shared" si="18"/>
        <v>0</v>
      </c>
      <c r="T256">
        <f t="shared" si="19"/>
        <v>0</v>
      </c>
    </row>
    <row r="257" spans="1:20">
      <c r="A257" t="s">
        <v>1029</v>
      </c>
      <c r="B257" s="3">
        <v>45425</v>
      </c>
      <c r="C257" t="s">
        <v>1030</v>
      </c>
      <c r="D257" t="s">
        <v>22</v>
      </c>
      <c r="E257">
        <v>1</v>
      </c>
      <c r="F257" s="4">
        <v>263.95999999999998</v>
      </c>
      <c r="G257" t="s">
        <v>721</v>
      </c>
      <c r="H257" t="s">
        <v>66</v>
      </c>
      <c r="I257" t="s">
        <v>49</v>
      </c>
      <c r="J257" t="s">
        <v>1031</v>
      </c>
      <c r="K257">
        <v>2</v>
      </c>
      <c r="L257" t="s">
        <v>27</v>
      </c>
      <c r="M257" t="s">
        <v>82</v>
      </c>
      <c r="N257" s="4">
        <v>263.95999999999998</v>
      </c>
      <c r="O257" s="19" t="str">
        <f t="shared" si="15"/>
        <v>May-2024</v>
      </c>
      <c r="P257">
        <f t="shared" si="16"/>
        <v>2024</v>
      </c>
      <c r="Q257" t="str">
        <f t="shared" si="17"/>
        <v>OK</v>
      </c>
      <c r="R257">
        <v>1</v>
      </c>
      <c r="S257">
        <f t="shared" si="18"/>
        <v>0</v>
      </c>
      <c r="T257">
        <f t="shared" si="19"/>
        <v>1</v>
      </c>
    </row>
    <row r="258" spans="1:20">
      <c r="A258" t="s">
        <v>1032</v>
      </c>
      <c r="B258" s="3">
        <v>45838</v>
      </c>
      <c r="C258" t="s">
        <v>1033</v>
      </c>
      <c r="D258" t="s">
        <v>47</v>
      </c>
      <c r="E258">
        <v>5</v>
      </c>
      <c r="F258" s="4">
        <v>75.81</v>
      </c>
      <c r="G258" t="s">
        <v>1034</v>
      </c>
      <c r="H258" t="s">
        <v>66</v>
      </c>
      <c r="I258" t="s">
        <v>49</v>
      </c>
      <c r="J258" t="s">
        <v>1035</v>
      </c>
      <c r="K258">
        <v>10</v>
      </c>
      <c r="L258" t="s">
        <v>87</v>
      </c>
      <c r="M258" t="s">
        <v>28</v>
      </c>
      <c r="N258" s="4">
        <v>379.05</v>
      </c>
      <c r="O258" s="19" t="str">
        <f t="shared" ref="O258:O321" si="20">TEXT(B258,"mmm-yyyy")</f>
        <v>Jun-2025</v>
      </c>
      <c r="P258">
        <f t="shared" ref="P258:P321" si="21">YEAR(B258)</f>
        <v>2025</v>
      </c>
      <c r="Q258" t="str">
        <f t="shared" ref="Q258:Q321" si="22">IF(ABS(N258-(E258*F258))&lt;0.01,"OK","CHECK")</f>
        <v>OK</v>
      </c>
      <c r="R258">
        <v>1</v>
      </c>
      <c r="S258">
        <f t="shared" ref="S258:S321" si="23">IF(I258="Cancelled",1,0)</f>
        <v>0</v>
      </c>
      <c r="T258">
        <f t="shared" ref="T258:T321" si="24">IF(I258="Returned",1,0)</f>
        <v>1</v>
      </c>
    </row>
    <row r="259" spans="1:20">
      <c r="A259" t="s">
        <v>1036</v>
      </c>
      <c r="B259" s="3">
        <v>45405</v>
      </c>
      <c r="C259" t="s">
        <v>1037</v>
      </c>
      <c r="D259" t="s">
        <v>31</v>
      </c>
      <c r="E259">
        <v>1</v>
      </c>
      <c r="F259" s="4">
        <v>406.22</v>
      </c>
      <c r="G259" t="s">
        <v>1038</v>
      </c>
      <c r="H259" t="s">
        <v>40</v>
      </c>
      <c r="I259" t="s">
        <v>41</v>
      </c>
      <c r="J259" t="s">
        <v>1039</v>
      </c>
      <c r="K259">
        <v>5</v>
      </c>
      <c r="L259" t="s">
        <v>27</v>
      </c>
      <c r="M259" t="s">
        <v>35</v>
      </c>
      <c r="N259" s="4">
        <v>406.22</v>
      </c>
      <c r="O259" s="19" t="str">
        <f t="shared" si="20"/>
        <v>Apr-2024</v>
      </c>
      <c r="P259">
        <f t="shared" si="21"/>
        <v>2024</v>
      </c>
      <c r="Q259" t="str">
        <f t="shared" si="22"/>
        <v>OK</v>
      </c>
      <c r="R259">
        <v>1</v>
      </c>
      <c r="S259">
        <f t="shared" si="23"/>
        <v>1</v>
      </c>
      <c r="T259">
        <f t="shared" si="24"/>
        <v>0</v>
      </c>
    </row>
    <row r="260" spans="1:20">
      <c r="A260" t="s">
        <v>1040</v>
      </c>
      <c r="B260" s="3">
        <v>45348</v>
      </c>
      <c r="C260" t="s">
        <v>1041</v>
      </c>
      <c r="D260" t="s">
        <v>38</v>
      </c>
      <c r="E260">
        <v>2</v>
      </c>
      <c r="F260" s="4">
        <v>103.41</v>
      </c>
      <c r="G260" t="s">
        <v>1042</v>
      </c>
      <c r="H260" t="s">
        <v>33</v>
      </c>
      <c r="I260" t="s">
        <v>25</v>
      </c>
      <c r="J260" t="s">
        <v>1043</v>
      </c>
      <c r="K260">
        <v>2</v>
      </c>
      <c r="L260" t="s">
        <v>43</v>
      </c>
      <c r="M260" t="s">
        <v>35</v>
      </c>
      <c r="N260" s="4">
        <v>206.82</v>
      </c>
      <c r="O260" s="19" t="str">
        <f t="shared" si="20"/>
        <v>Feb-2024</v>
      </c>
      <c r="P260">
        <f t="shared" si="21"/>
        <v>2024</v>
      </c>
      <c r="Q260" t="str">
        <f t="shared" si="22"/>
        <v>OK</v>
      </c>
      <c r="R260">
        <v>1</v>
      </c>
      <c r="S260">
        <f t="shared" si="23"/>
        <v>0</v>
      </c>
      <c r="T260">
        <f t="shared" si="24"/>
        <v>0</v>
      </c>
    </row>
    <row r="261" spans="1:20">
      <c r="A261" t="s">
        <v>1044</v>
      </c>
      <c r="B261" s="3">
        <v>45088</v>
      </c>
      <c r="C261" t="s">
        <v>1045</v>
      </c>
      <c r="D261" t="s">
        <v>47</v>
      </c>
      <c r="E261">
        <v>4</v>
      </c>
      <c r="F261" s="4">
        <v>435.12</v>
      </c>
      <c r="G261" t="s">
        <v>571</v>
      </c>
      <c r="H261" t="s">
        <v>40</v>
      </c>
      <c r="I261" t="s">
        <v>56</v>
      </c>
      <c r="J261" t="s">
        <v>1046</v>
      </c>
      <c r="K261">
        <v>9</v>
      </c>
      <c r="L261" t="s">
        <v>27</v>
      </c>
      <c r="M261" t="s">
        <v>28</v>
      </c>
      <c r="N261" s="4">
        <v>1740.48</v>
      </c>
      <c r="O261" s="19" t="str">
        <f t="shared" si="20"/>
        <v>Jun-2023</v>
      </c>
      <c r="P261">
        <f t="shared" si="21"/>
        <v>2023</v>
      </c>
      <c r="Q261" t="str">
        <f t="shared" si="22"/>
        <v>OK</v>
      </c>
      <c r="R261">
        <v>1</v>
      </c>
      <c r="S261">
        <f t="shared" si="23"/>
        <v>0</v>
      </c>
      <c r="T261">
        <f t="shared" si="24"/>
        <v>0</v>
      </c>
    </row>
    <row r="262" spans="1:20">
      <c r="A262" t="s">
        <v>1047</v>
      </c>
      <c r="B262" s="3">
        <v>45063</v>
      </c>
      <c r="C262" t="s">
        <v>1048</v>
      </c>
      <c r="D262" t="s">
        <v>22</v>
      </c>
      <c r="E262">
        <v>2</v>
      </c>
      <c r="F262" s="4">
        <v>407.79</v>
      </c>
      <c r="G262" t="s">
        <v>1049</v>
      </c>
      <c r="H262" t="s">
        <v>24</v>
      </c>
      <c r="I262" t="s">
        <v>25</v>
      </c>
      <c r="J262" t="s">
        <v>1050</v>
      </c>
      <c r="K262">
        <v>3</v>
      </c>
      <c r="M262" t="s">
        <v>82</v>
      </c>
      <c r="N262" s="4">
        <v>815.58</v>
      </c>
      <c r="O262" s="19" t="str">
        <f t="shared" si="20"/>
        <v>May-2023</v>
      </c>
      <c r="P262">
        <f t="shared" si="21"/>
        <v>2023</v>
      </c>
      <c r="Q262" t="str">
        <f t="shared" si="22"/>
        <v>OK</v>
      </c>
      <c r="R262">
        <v>1</v>
      </c>
      <c r="S262">
        <f t="shared" si="23"/>
        <v>0</v>
      </c>
      <c r="T262">
        <f t="shared" si="24"/>
        <v>0</v>
      </c>
    </row>
    <row r="263" spans="1:20">
      <c r="A263" t="s">
        <v>1051</v>
      </c>
      <c r="B263" s="3">
        <v>45805</v>
      </c>
      <c r="C263" t="s">
        <v>1052</v>
      </c>
      <c r="D263" t="s">
        <v>31</v>
      </c>
      <c r="E263">
        <v>5</v>
      </c>
      <c r="F263" s="4">
        <v>173.65</v>
      </c>
      <c r="G263" t="s">
        <v>1053</v>
      </c>
      <c r="H263" t="s">
        <v>66</v>
      </c>
      <c r="I263" t="s">
        <v>56</v>
      </c>
      <c r="J263" t="s">
        <v>1054</v>
      </c>
      <c r="K263">
        <v>9</v>
      </c>
      <c r="L263" t="s">
        <v>27</v>
      </c>
      <c r="M263" t="s">
        <v>44</v>
      </c>
      <c r="N263" s="4">
        <v>868.25</v>
      </c>
      <c r="O263" s="19" t="str">
        <f t="shared" si="20"/>
        <v>May-2025</v>
      </c>
      <c r="P263">
        <f t="shared" si="21"/>
        <v>2025</v>
      </c>
      <c r="Q263" t="str">
        <f t="shared" si="22"/>
        <v>OK</v>
      </c>
      <c r="R263">
        <v>1</v>
      </c>
      <c r="S263">
        <f t="shared" si="23"/>
        <v>0</v>
      </c>
      <c r="T263">
        <f t="shared" si="24"/>
        <v>0</v>
      </c>
    </row>
    <row r="264" spans="1:20">
      <c r="A264" t="s">
        <v>1055</v>
      </c>
      <c r="B264" s="3">
        <v>44936</v>
      </c>
      <c r="C264" t="s">
        <v>1056</v>
      </c>
      <c r="D264" t="s">
        <v>31</v>
      </c>
      <c r="E264">
        <v>4</v>
      </c>
      <c r="F264" s="4">
        <v>249.07</v>
      </c>
      <c r="G264" t="s">
        <v>578</v>
      </c>
      <c r="H264" t="s">
        <v>40</v>
      </c>
      <c r="I264" t="s">
        <v>49</v>
      </c>
      <c r="J264" t="s">
        <v>1057</v>
      </c>
      <c r="K264">
        <v>5</v>
      </c>
      <c r="L264" t="s">
        <v>87</v>
      </c>
      <c r="M264" t="s">
        <v>35</v>
      </c>
      <c r="N264" s="4">
        <v>996.28</v>
      </c>
      <c r="O264" s="19" t="str">
        <f t="shared" si="20"/>
        <v>Jan-2023</v>
      </c>
      <c r="P264">
        <f t="shared" si="21"/>
        <v>2023</v>
      </c>
      <c r="Q264" t="str">
        <f t="shared" si="22"/>
        <v>OK</v>
      </c>
      <c r="R264">
        <v>1</v>
      </c>
      <c r="S264">
        <f t="shared" si="23"/>
        <v>0</v>
      </c>
      <c r="T264">
        <f t="shared" si="24"/>
        <v>1</v>
      </c>
    </row>
    <row r="265" spans="1:20">
      <c r="A265" t="s">
        <v>1058</v>
      </c>
      <c r="B265" s="3">
        <v>45010</v>
      </c>
      <c r="C265" t="s">
        <v>1059</v>
      </c>
      <c r="D265" t="s">
        <v>31</v>
      </c>
      <c r="E265">
        <v>4</v>
      </c>
      <c r="F265" s="4">
        <v>434.85</v>
      </c>
      <c r="G265" t="s">
        <v>1060</v>
      </c>
      <c r="H265" t="s">
        <v>40</v>
      </c>
      <c r="I265" t="s">
        <v>95</v>
      </c>
      <c r="J265" t="s">
        <v>1061</v>
      </c>
      <c r="K265">
        <v>4</v>
      </c>
      <c r="L265" t="s">
        <v>87</v>
      </c>
      <c r="M265" t="s">
        <v>82</v>
      </c>
      <c r="N265" s="4">
        <v>1739.4</v>
      </c>
      <c r="O265" s="19" t="str">
        <f t="shared" si="20"/>
        <v>Mar-2023</v>
      </c>
      <c r="P265">
        <f t="shared" si="21"/>
        <v>2023</v>
      </c>
      <c r="Q265" t="str">
        <f t="shared" si="22"/>
        <v>OK</v>
      </c>
      <c r="R265">
        <v>1</v>
      </c>
      <c r="S265">
        <f t="shared" si="23"/>
        <v>0</v>
      </c>
      <c r="T265">
        <f t="shared" si="24"/>
        <v>0</v>
      </c>
    </row>
    <row r="266" spans="1:20">
      <c r="A266" t="s">
        <v>1062</v>
      </c>
      <c r="B266" s="3">
        <v>45507</v>
      </c>
      <c r="C266" t="s">
        <v>1063</v>
      </c>
      <c r="D266" t="s">
        <v>38</v>
      </c>
      <c r="E266">
        <v>1</v>
      </c>
      <c r="F266" s="4">
        <v>436.77</v>
      </c>
      <c r="G266" t="s">
        <v>1064</v>
      </c>
      <c r="H266" t="s">
        <v>71</v>
      </c>
      <c r="I266" t="s">
        <v>49</v>
      </c>
      <c r="J266" t="s">
        <v>1065</v>
      </c>
      <c r="K266">
        <v>5</v>
      </c>
      <c r="L266" t="s">
        <v>43</v>
      </c>
      <c r="M266" t="s">
        <v>82</v>
      </c>
      <c r="N266" s="4">
        <v>436.77</v>
      </c>
      <c r="O266" s="19" t="str">
        <f t="shared" si="20"/>
        <v>Aug-2024</v>
      </c>
      <c r="P266">
        <f t="shared" si="21"/>
        <v>2024</v>
      </c>
      <c r="Q266" t="str">
        <f t="shared" si="22"/>
        <v>OK</v>
      </c>
      <c r="R266">
        <v>1</v>
      </c>
      <c r="S266">
        <f t="shared" si="23"/>
        <v>0</v>
      </c>
      <c r="T266">
        <f t="shared" si="24"/>
        <v>1</v>
      </c>
    </row>
    <row r="267" spans="1:20">
      <c r="A267" t="s">
        <v>1066</v>
      </c>
      <c r="B267" s="3">
        <v>45282</v>
      </c>
      <c r="C267" t="s">
        <v>1067</v>
      </c>
      <c r="D267" t="s">
        <v>54</v>
      </c>
      <c r="E267">
        <v>1</v>
      </c>
      <c r="F267" s="4">
        <v>572.13</v>
      </c>
      <c r="G267" t="s">
        <v>1068</v>
      </c>
      <c r="H267" t="s">
        <v>24</v>
      </c>
      <c r="I267" t="s">
        <v>41</v>
      </c>
      <c r="J267" t="s">
        <v>1069</v>
      </c>
      <c r="K267">
        <v>4</v>
      </c>
      <c r="L267" t="s">
        <v>27</v>
      </c>
      <c r="M267" t="s">
        <v>82</v>
      </c>
      <c r="N267" s="4">
        <v>572.13</v>
      </c>
      <c r="O267" s="19" t="str">
        <f t="shared" si="20"/>
        <v>Dec-2023</v>
      </c>
      <c r="P267">
        <f t="shared" si="21"/>
        <v>2023</v>
      </c>
      <c r="Q267" t="str">
        <f t="shared" si="22"/>
        <v>OK</v>
      </c>
      <c r="R267">
        <v>1</v>
      </c>
      <c r="S267">
        <f t="shared" si="23"/>
        <v>1</v>
      </c>
      <c r="T267">
        <f t="shared" si="24"/>
        <v>0</v>
      </c>
    </row>
    <row r="268" spans="1:20">
      <c r="A268" t="s">
        <v>1070</v>
      </c>
      <c r="B268" s="3">
        <v>45451</v>
      </c>
      <c r="C268" t="s">
        <v>1071</v>
      </c>
      <c r="D268" t="s">
        <v>47</v>
      </c>
      <c r="E268">
        <v>4</v>
      </c>
      <c r="F268" s="4">
        <v>583.07000000000005</v>
      </c>
      <c r="G268" t="s">
        <v>1072</v>
      </c>
      <c r="H268" t="s">
        <v>40</v>
      </c>
      <c r="I268" t="s">
        <v>41</v>
      </c>
      <c r="J268" t="s">
        <v>1073</v>
      </c>
      <c r="K268">
        <v>6</v>
      </c>
      <c r="L268" t="s">
        <v>43</v>
      </c>
      <c r="M268" t="s">
        <v>35</v>
      </c>
      <c r="N268" s="4">
        <v>2332.2800000000002</v>
      </c>
      <c r="O268" s="19" t="str">
        <f t="shared" si="20"/>
        <v>Jun-2024</v>
      </c>
      <c r="P268">
        <f t="shared" si="21"/>
        <v>2024</v>
      </c>
      <c r="Q268" t="str">
        <f t="shared" si="22"/>
        <v>OK</v>
      </c>
      <c r="R268">
        <v>1</v>
      </c>
      <c r="S268">
        <f t="shared" si="23"/>
        <v>1</v>
      </c>
      <c r="T268">
        <f t="shared" si="24"/>
        <v>0</v>
      </c>
    </row>
    <row r="269" spans="1:20">
      <c r="A269" t="s">
        <v>1074</v>
      </c>
      <c r="B269" s="3">
        <v>45764</v>
      </c>
      <c r="C269" t="s">
        <v>1075</v>
      </c>
      <c r="D269" t="s">
        <v>47</v>
      </c>
      <c r="E269">
        <v>5</v>
      </c>
      <c r="F269" s="4">
        <v>468.51</v>
      </c>
      <c r="G269" t="s">
        <v>1076</v>
      </c>
      <c r="H269" t="s">
        <v>24</v>
      </c>
      <c r="I269" t="s">
        <v>56</v>
      </c>
      <c r="J269" t="s">
        <v>1077</v>
      </c>
      <c r="K269">
        <v>9</v>
      </c>
      <c r="M269" t="s">
        <v>51</v>
      </c>
      <c r="N269" s="4">
        <v>2342.5500000000002</v>
      </c>
      <c r="O269" s="19" t="str">
        <f t="shared" si="20"/>
        <v>Apr-2025</v>
      </c>
      <c r="P269">
        <f t="shared" si="21"/>
        <v>2025</v>
      </c>
      <c r="Q269" t="str">
        <f t="shared" si="22"/>
        <v>OK</v>
      </c>
      <c r="R269">
        <v>1</v>
      </c>
      <c r="S269">
        <f t="shared" si="23"/>
        <v>0</v>
      </c>
      <c r="T269">
        <f t="shared" si="24"/>
        <v>0</v>
      </c>
    </row>
    <row r="270" spans="1:20">
      <c r="A270" t="s">
        <v>1078</v>
      </c>
      <c r="B270" s="3">
        <v>45149</v>
      </c>
      <c r="C270" t="s">
        <v>1079</v>
      </c>
      <c r="D270" t="s">
        <v>31</v>
      </c>
      <c r="E270">
        <v>2</v>
      </c>
      <c r="F270" s="4">
        <v>423.88</v>
      </c>
      <c r="G270" t="s">
        <v>1080</v>
      </c>
      <c r="H270" t="s">
        <v>24</v>
      </c>
      <c r="I270" t="s">
        <v>56</v>
      </c>
      <c r="J270" t="s">
        <v>1081</v>
      </c>
      <c r="K270">
        <v>7</v>
      </c>
      <c r="L270" t="s">
        <v>27</v>
      </c>
      <c r="M270" t="s">
        <v>35</v>
      </c>
      <c r="N270" s="4">
        <v>847.76</v>
      </c>
      <c r="O270" s="19" t="str">
        <f t="shared" si="20"/>
        <v>Aug-2023</v>
      </c>
      <c r="P270">
        <f t="shared" si="21"/>
        <v>2023</v>
      </c>
      <c r="Q270" t="str">
        <f t="shared" si="22"/>
        <v>OK</v>
      </c>
      <c r="R270">
        <v>1</v>
      </c>
      <c r="S270">
        <f t="shared" si="23"/>
        <v>0</v>
      </c>
      <c r="T270">
        <f t="shared" si="24"/>
        <v>0</v>
      </c>
    </row>
    <row r="271" spans="1:20">
      <c r="A271" t="s">
        <v>1082</v>
      </c>
      <c r="B271" s="3">
        <v>45255</v>
      </c>
      <c r="C271" t="s">
        <v>1083</v>
      </c>
      <c r="D271" t="s">
        <v>38</v>
      </c>
      <c r="E271">
        <v>4</v>
      </c>
      <c r="F271" s="4">
        <v>663.67</v>
      </c>
      <c r="G271" t="s">
        <v>333</v>
      </c>
      <c r="H271" t="s">
        <v>40</v>
      </c>
      <c r="I271" t="s">
        <v>95</v>
      </c>
      <c r="J271" t="s">
        <v>1084</v>
      </c>
      <c r="K271">
        <v>7</v>
      </c>
      <c r="L271" t="s">
        <v>43</v>
      </c>
      <c r="M271" t="s">
        <v>82</v>
      </c>
      <c r="N271" s="4">
        <v>2654.68</v>
      </c>
      <c r="O271" s="19" t="str">
        <f t="shared" si="20"/>
        <v>Nov-2023</v>
      </c>
      <c r="P271">
        <f t="shared" si="21"/>
        <v>2023</v>
      </c>
      <c r="Q271" t="str">
        <f t="shared" si="22"/>
        <v>OK</v>
      </c>
      <c r="R271">
        <v>1</v>
      </c>
      <c r="S271">
        <f t="shared" si="23"/>
        <v>0</v>
      </c>
      <c r="T271">
        <f t="shared" si="24"/>
        <v>0</v>
      </c>
    </row>
    <row r="272" spans="1:20">
      <c r="A272" t="s">
        <v>1085</v>
      </c>
      <c r="B272" s="3">
        <v>45081</v>
      </c>
      <c r="C272" t="s">
        <v>1086</v>
      </c>
      <c r="D272" t="s">
        <v>54</v>
      </c>
      <c r="E272">
        <v>4</v>
      </c>
      <c r="F272" s="4">
        <v>309.91000000000003</v>
      </c>
      <c r="G272" t="s">
        <v>1087</v>
      </c>
      <c r="H272" t="s">
        <v>24</v>
      </c>
      <c r="I272" t="s">
        <v>25</v>
      </c>
      <c r="J272" t="s">
        <v>1088</v>
      </c>
      <c r="K272">
        <v>5</v>
      </c>
      <c r="L272" t="s">
        <v>87</v>
      </c>
      <c r="M272" t="s">
        <v>82</v>
      </c>
      <c r="N272" s="4">
        <v>1239.6400000000001</v>
      </c>
      <c r="O272" s="19" t="str">
        <f t="shared" si="20"/>
        <v>Jun-2023</v>
      </c>
      <c r="P272">
        <f t="shared" si="21"/>
        <v>2023</v>
      </c>
      <c r="Q272" t="str">
        <f t="shared" si="22"/>
        <v>OK</v>
      </c>
      <c r="R272">
        <v>1</v>
      </c>
      <c r="S272">
        <f t="shared" si="23"/>
        <v>0</v>
      </c>
      <c r="T272">
        <f t="shared" si="24"/>
        <v>0</v>
      </c>
    </row>
    <row r="273" spans="1:20">
      <c r="A273" t="s">
        <v>1089</v>
      </c>
      <c r="B273" s="3">
        <v>45013</v>
      </c>
      <c r="C273" t="s">
        <v>1090</v>
      </c>
      <c r="D273" t="s">
        <v>22</v>
      </c>
      <c r="E273">
        <v>1</v>
      </c>
      <c r="F273" s="4">
        <v>542.07000000000005</v>
      </c>
      <c r="G273" t="s">
        <v>1091</v>
      </c>
      <c r="H273" t="s">
        <v>71</v>
      </c>
      <c r="I273" t="s">
        <v>25</v>
      </c>
      <c r="J273" t="s">
        <v>1092</v>
      </c>
      <c r="K273">
        <v>6</v>
      </c>
      <c r="L273" t="s">
        <v>87</v>
      </c>
      <c r="M273" t="s">
        <v>35</v>
      </c>
      <c r="N273" s="4">
        <v>542.07000000000005</v>
      </c>
      <c r="O273" s="19" t="str">
        <f t="shared" si="20"/>
        <v>Mar-2023</v>
      </c>
      <c r="P273">
        <f t="shared" si="21"/>
        <v>2023</v>
      </c>
      <c r="Q273" t="str">
        <f t="shared" si="22"/>
        <v>OK</v>
      </c>
      <c r="R273">
        <v>1</v>
      </c>
      <c r="S273">
        <f t="shared" si="23"/>
        <v>0</v>
      </c>
      <c r="T273">
        <f t="shared" si="24"/>
        <v>0</v>
      </c>
    </row>
    <row r="274" spans="1:20">
      <c r="A274" t="s">
        <v>1093</v>
      </c>
      <c r="B274" s="3">
        <v>45188</v>
      </c>
      <c r="C274" t="s">
        <v>1094</v>
      </c>
      <c r="D274" t="s">
        <v>47</v>
      </c>
      <c r="E274">
        <v>2</v>
      </c>
      <c r="F274" s="4">
        <v>399.32</v>
      </c>
      <c r="G274" t="s">
        <v>1095</v>
      </c>
      <c r="H274" t="s">
        <v>33</v>
      </c>
      <c r="I274" t="s">
        <v>95</v>
      </c>
      <c r="J274" t="s">
        <v>1096</v>
      </c>
      <c r="K274">
        <v>6</v>
      </c>
      <c r="L274" t="s">
        <v>87</v>
      </c>
      <c r="M274" t="s">
        <v>28</v>
      </c>
      <c r="N274" s="4">
        <v>798.64</v>
      </c>
      <c r="O274" s="19" t="str">
        <f t="shared" si="20"/>
        <v>Sep-2023</v>
      </c>
      <c r="P274">
        <f t="shared" si="21"/>
        <v>2023</v>
      </c>
      <c r="Q274" t="str">
        <f t="shared" si="22"/>
        <v>OK</v>
      </c>
      <c r="R274">
        <v>1</v>
      </c>
      <c r="S274">
        <f t="shared" si="23"/>
        <v>0</v>
      </c>
      <c r="T274">
        <f t="shared" si="24"/>
        <v>0</v>
      </c>
    </row>
    <row r="275" spans="1:20">
      <c r="A275" t="s">
        <v>1097</v>
      </c>
      <c r="B275" s="3">
        <v>45592</v>
      </c>
      <c r="C275" t="s">
        <v>1098</v>
      </c>
      <c r="D275" t="s">
        <v>38</v>
      </c>
      <c r="E275">
        <v>2</v>
      </c>
      <c r="F275" s="4">
        <v>238.25</v>
      </c>
      <c r="G275" t="s">
        <v>1099</v>
      </c>
      <c r="H275" t="s">
        <v>33</v>
      </c>
      <c r="I275" t="s">
        <v>41</v>
      </c>
      <c r="J275" t="s">
        <v>1100</v>
      </c>
      <c r="K275">
        <v>7</v>
      </c>
      <c r="L275" t="s">
        <v>43</v>
      </c>
      <c r="M275" t="s">
        <v>44</v>
      </c>
      <c r="N275" s="4">
        <v>476.5</v>
      </c>
      <c r="O275" s="19" t="str">
        <f t="shared" si="20"/>
        <v>Oct-2024</v>
      </c>
      <c r="P275">
        <f t="shared" si="21"/>
        <v>2024</v>
      </c>
      <c r="Q275" t="str">
        <f t="shared" si="22"/>
        <v>OK</v>
      </c>
      <c r="R275">
        <v>1</v>
      </c>
      <c r="S275">
        <f t="shared" si="23"/>
        <v>1</v>
      </c>
      <c r="T275">
        <f t="shared" si="24"/>
        <v>0</v>
      </c>
    </row>
    <row r="276" spans="1:20">
      <c r="A276" t="s">
        <v>1101</v>
      </c>
      <c r="B276" s="3">
        <v>44961</v>
      </c>
      <c r="C276" t="s">
        <v>1102</v>
      </c>
      <c r="D276" t="s">
        <v>31</v>
      </c>
      <c r="E276">
        <v>2</v>
      </c>
      <c r="F276" s="4">
        <v>182.4</v>
      </c>
      <c r="G276" t="s">
        <v>1103</v>
      </c>
      <c r="H276" t="s">
        <v>66</v>
      </c>
      <c r="I276" t="s">
        <v>41</v>
      </c>
      <c r="J276" t="s">
        <v>1104</v>
      </c>
      <c r="K276">
        <v>5</v>
      </c>
      <c r="L276" t="s">
        <v>27</v>
      </c>
      <c r="M276" t="s">
        <v>35</v>
      </c>
      <c r="N276" s="4">
        <v>364.8</v>
      </c>
      <c r="O276" s="19" t="str">
        <f t="shared" si="20"/>
        <v>Feb-2023</v>
      </c>
      <c r="P276">
        <f t="shared" si="21"/>
        <v>2023</v>
      </c>
      <c r="Q276" t="str">
        <f t="shared" si="22"/>
        <v>OK</v>
      </c>
      <c r="R276">
        <v>1</v>
      </c>
      <c r="S276">
        <f t="shared" si="23"/>
        <v>1</v>
      </c>
      <c r="T276">
        <f t="shared" si="24"/>
        <v>0</v>
      </c>
    </row>
    <row r="277" spans="1:20">
      <c r="A277" t="s">
        <v>1105</v>
      </c>
      <c r="B277" s="3">
        <v>45234</v>
      </c>
      <c r="C277" t="s">
        <v>1106</v>
      </c>
      <c r="D277" t="s">
        <v>47</v>
      </c>
      <c r="E277">
        <v>2</v>
      </c>
      <c r="F277" s="4">
        <v>65.069999999999993</v>
      </c>
      <c r="G277" t="s">
        <v>1107</v>
      </c>
      <c r="H277" t="s">
        <v>40</v>
      </c>
      <c r="I277" t="s">
        <v>41</v>
      </c>
      <c r="J277" t="s">
        <v>1108</v>
      </c>
      <c r="K277">
        <v>4</v>
      </c>
      <c r="L277" t="s">
        <v>27</v>
      </c>
      <c r="M277" t="s">
        <v>82</v>
      </c>
      <c r="N277" s="4">
        <v>130.13999999999999</v>
      </c>
      <c r="O277" s="19" t="str">
        <f t="shared" si="20"/>
        <v>Nov-2023</v>
      </c>
      <c r="P277">
        <f t="shared" si="21"/>
        <v>2023</v>
      </c>
      <c r="Q277" t="str">
        <f t="shared" si="22"/>
        <v>OK</v>
      </c>
      <c r="R277">
        <v>1</v>
      </c>
      <c r="S277">
        <f t="shared" si="23"/>
        <v>1</v>
      </c>
      <c r="T277">
        <f t="shared" si="24"/>
        <v>0</v>
      </c>
    </row>
    <row r="278" spans="1:20">
      <c r="A278" t="s">
        <v>1109</v>
      </c>
      <c r="B278" s="3">
        <v>45745</v>
      </c>
      <c r="C278" t="s">
        <v>1110</v>
      </c>
      <c r="D278" t="s">
        <v>54</v>
      </c>
      <c r="E278">
        <v>2</v>
      </c>
      <c r="F278" s="4">
        <v>600.57000000000005</v>
      </c>
      <c r="G278" t="s">
        <v>1111</v>
      </c>
      <c r="H278" t="s">
        <v>24</v>
      </c>
      <c r="I278" t="s">
        <v>49</v>
      </c>
      <c r="J278" t="s">
        <v>1112</v>
      </c>
      <c r="K278">
        <v>3</v>
      </c>
      <c r="L278" t="s">
        <v>87</v>
      </c>
      <c r="M278" t="s">
        <v>28</v>
      </c>
      <c r="N278" s="4">
        <v>1201.1400000000001</v>
      </c>
      <c r="O278" s="19" t="str">
        <f t="shared" si="20"/>
        <v>Mar-2025</v>
      </c>
      <c r="P278">
        <f t="shared" si="21"/>
        <v>2025</v>
      </c>
      <c r="Q278" t="str">
        <f t="shared" si="22"/>
        <v>OK</v>
      </c>
      <c r="R278">
        <v>1</v>
      </c>
      <c r="S278">
        <f t="shared" si="23"/>
        <v>0</v>
      </c>
      <c r="T278">
        <f t="shared" si="24"/>
        <v>1</v>
      </c>
    </row>
    <row r="279" spans="1:20">
      <c r="A279" t="s">
        <v>1113</v>
      </c>
      <c r="B279" s="3">
        <v>45544</v>
      </c>
      <c r="C279" t="s">
        <v>1114</v>
      </c>
      <c r="D279" t="s">
        <v>47</v>
      </c>
      <c r="E279">
        <v>5</v>
      </c>
      <c r="F279" s="4">
        <v>90.92</v>
      </c>
      <c r="G279" t="s">
        <v>1115</v>
      </c>
      <c r="H279" t="s">
        <v>40</v>
      </c>
      <c r="I279" t="s">
        <v>56</v>
      </c>
      <c r="J279" t="s">
        <v>1116</v>
      </c>
      <c r="K279">
        <v>9</v>
      </c>
      <c r="L279" t="s">
        <v>27</v>
      </c>
      <c r="M279" t="s">
        <v>51</v>
      </c>
      <c r="N279" s="4">
        <v>454.6</v>
      </c>
      <c r="O279" s="19" t="str">
        <f t="shared" si="20"/>
        <v>Sep-2024</v>
      </c>
      <c r="P279">
        <f t="shared" si="21"/>
        <v>2024</v>
      </c>
      <c r="Q279" t="str">
        <f t="shared" si="22"/>
        <v>OK</v>
      </c>
      <c r="R279">
        <v>1</v>
      </c>
      <c r="S279">
        <f t="shared" si="23"/>
        <v>0</v>
      </c>
      <c r="T279">
        <f t="shared" si="24"/>
        <v>0</v>
      </c>
    </row>
    <row r="280" spans="1:20">
      <c r="A280" t="s">
        <v>1117</v>
      </c>
      <c r="B280" s="3">
        <v>45614</v>
      </c>
      <c r="C280" t="s">
        <v>1118</v>
      </c>
      <c r="D280" t="s">
        <v>64</v>
      </c>
      <c r="E280">
        <v>5</v>
      </c>
      <c r="F280" s="4">
        <v>362.46</v>
      </c>
      <c r="G280" t="s">
        <v>1119</v>
      </c>
      <c r="H280" t="s">
        <v>71</v>
      </c>
      <c r="I280" t="s">
        <v>56</v>
      </c>
      <c r="J280" t="s">
        <v>1120</v>
      </c>
      <c r="K280">
        <v>6</v>
      </c>
      <c r="L280" t="s">
        <v>43</v>
      </c>
      <c r="M280" t="s">
        <v>28</v>
      </c>
      <c r="N280" s="4">
        <v>1812.3</v>
      </c>
      <c r="O280" s="19" t="str">
        <f t="shared" si="20"/>
        <v>Nov-2024</v>
      </c>
      <c r="P280">
        <f t="shared" si="21"/>
        <v>2024</v>
      </c>
      <c r="Q280" t="str">
        <f t="shared" si="22"/>
        <v>OK</v>
      </c>
      <c r="R280">
        <v>1</v>
      </c>
      <c r="S280">
        <f t="shared" si="23"/>
        <v>0</v>
      </c>
      <c r="T280">
        <f t="shared" si="24"/>
        <v>0</v>
      </c>
    </row>
    <row r="281" spans="1:20">
      <c r="A281" t="s">
        <v>1121</v>
      </c>
      <c r="B281" s="3">
        <v>45219</v>
      </c>
      <c r="C281" t="s">
        <v>1122</v>
      </c>
      <c r="D281" t="s">
        <v>47</v>
      </c>
      <c r="E281">
        <v>3</v>
      </c>
      <c r="F281" s="4">
        <v>55.01</v>
      </c>
      <c r="G281" t="s">
        <v>1123</v>
      </c>
      <c r="H281" t="s">
        <v>33</v>
      </c>
      <c r="I281" t="s">
        <v>95</v>
      </c>
      <c r="J281" t="s">
        <v>1124</v>
      </c>
      <c r="K281">
        <v>7</v>
      </c>
      <c r="L281" t="s">
        <v>87</v>
      </c>
      <c r="M281" t="s">
        <v>44</v>
      </c>
      <c r="N281" s="4">
        <v>165.03</v>
      </c>
      <c r="O281" s="19" t="str">
        <f t="shared" si="20"/>
        <v>Oct-2023</v>
      </c>
      <c r="P281">
        <f t="shared" si="21"/>
        <v>2023</v>
      </c>
      <c r="Q281" t="str">
        <f t="shared" si="22"/>
        <v>OK</v>
      </c>
      <c r="R281">
        <v>1</v>
      </c>
      <c r="S281">
        <f t="shared" si="23"/>
        <v>0</v>
      </c>
      <c r="T281">
        <f t="shared" si="24"/>
        <v>0</v>
      </c>
    </row>
    <row r="282" spans="1:20">
      <c r="A282" t="s">
        <v>1125</v>
      </c>
      <c r="B282" s="3">
        <v>45012</v>
      </c>
      <c r="C282" t="s">
        <v>1126</v>
      </c>
      <c r="D282" t="s">
        <v>38</v>
      </c>
      <c r="E282">
        <v>3</v>
      </c>
      <c r="F282" s="4">
        <v>404.62</v>
      </c>
      <c r="G282" t="s">
        <v>1127</v>
      </c>
      <c r="H282" t="s">
        <v>66</v>
      </c>
      <c r="I282" t="s">
        <v>56</v>
      </c>
      <c r="J282" t="s">
        <v>1128</v>
      </c>
      <c r="K282">
        <v>6</v>
      </c>
      <c r="L282" t="s">
        <v>43</v>
      </c>
      <c r="M282" t="s">
        <v>28</v>
      </c>
      <c r="N282" s="4">
        <v>1213.8599999999999</v>
      </c>
      <c r="O282" s="19" t="str">
        <f t="shared" si="20"/>
        <v>Mar-2023</v>
      </c>
      <c r="P282">
        <f t="shared" si="21"/>
        <v>2023</v>
      </c>
      <c r="Q282" t="str">
        <f t="shared" si="22"/>
        <v>OK</v>
      </c>
      <c r="R282">
        <v>1</v>
      </c>
      <c r="S282">
        <f t="shared" si="23"/>
        <v>0</v>
      </c>
      <c r="T282">
        <f t="shared" si="24"/>
        <v>0</v>
      </c>
    </row>
    <row r="283" spans="1:20">
      <c r="A283" t="s">
        <v>1129</v>
      </c>
      <c r="B283" s="3">
        <v>45134</v>
      </c>
      <c r="C283" t="s">
        <v>1130</v>
      </c>
      <c r="D283" t="s">
        <v>79</v>
      </c>
      <c r="E283">
        <v>4</v>
      </c>
      <c r="F283" s="4">
        <v>654.79</v>
      </c>
      <c r="G283" t="s">
        <v>1131</v>
      </c>
      <c r="H283" t="s">
        <v>71</v>
      </c>
      <c r="I283" t="s">
        <v>95</v>
      </c>
      <c r="J283" t="s">
        <v>1132</v>
      </c>
      <c r="K283">
        <v>9</v>
      </c>
      <c r="M283" t="s">
        <v>35</v>
      </c>
      <c r="N283" s="4">
        <v>2619.16</v>
      </c>
      <c r="O283" s="19" t="str">
        <f t="shared" si="20"/>
        <v>Jul-2023</v>
      </c>
      <c r="P283">
        <f t="shared" si="21"/>
        <v>2023</v>
      </c>
      <c r="Q283" t="str">
        <f t="shared" si="22"/>
        <v>OK</v>
      </c>
      <c r="R283">
        <v>1</v>
      </c>
      <c r="S283">
        <f t="shared" si="23"/>
        <v>0</v>
      </c>
      <c r="T283">
        <f t="shared" si="24"/>
        <v>0</v>
      </c>
    </row>
    <row r="284" spans="1:20">
      <c r="A284" t="s">
        <v>1133</v>
      </c>
      <c r="B284" s="3">
        <v>45769</v>
      </c>
      <c r="C284" t="s">
        <v>1134</v>
      </c>
      <c r="D284" t="s">
        <v>54</v>
      </c>
      <c r="E284">
        <v>4</v>
      </c>
      <c r="F284" s="4">
        <v>637.79</v>
      </c>
      <c r="G284" t="s">
        <v>1135</v>
      </c>
      <c r="H284" t="s">
        <v>66</v>
      </c>
      <c r="I284" t="s">
        <v>41</v>
      </c>
      <c r="J284" t="s">
        <v>1136</v>
      </c>
      <c r="K284">
        <v>9</v>
      </c>
      <c r="L284" t="s">
        <v>43</v>
      </c>
      <c r="M284" t="s">
        <v>82</v>
      </c>
      <c r="N284" s="4">
        <v>2551.16</v>
      </c>
      <c r="O284" s="19" t="str">
        <f t="shared" si="20"/>
        <v>Apr-2025</v>
      </c>
      <c r="P284">
        <f t="shared" si="21"/>
        <v>2025</v>
      </c>
      <c r="Q284" t="str">
        <f t="shared" si="22"/>
        <v>OK</v>
      </c>
      <c r="R284">
        <v>1</v>
      </c>
      <c r="S284">
        <f t="shared" si="23"/>
        <v>1</v>
      </c>
      <c r="T284">
        <f t="shared" si="24"/>
        <v>0</v>
      </c>
    </row>
    <row r="285" spans="1:20">
      <c r="A285" t="s">
        <v>1137</v>
      </c>
      <c r="B285" s="3">
        <v>45716</v>
      </c>
      <c r="C285" t="s">
        <v>1138</v>
      </c>
      <c r="D285" t="s">
        <v>64</v>
      </c>
      <c r="E285">
        <v>4</v>
      </c>
      <c r="F285" s="4">
        <v>540.33000000000004</v>
      </c>
      <c r="G285" t="s">
        <v>1139</v>
      </c>
      <c r="H285" t="s">
        <v>71</v>
      </c>
      <c r="I285" t="s">
        <v>25</v>
      </c>
      <c r="J285" t="s">
        <v>1140</v>
      </c>
      <c r="K285">
        <v>6</v>
      </c>
      <c r="M285" t="s">
        <v>82</v>
      </c>
      <c r="N285" s="4">
        <v>2161.3200000000002</v>
      </c>
      <c r="O285" s="19" t="str">
        <f t="shared" si="20"/>
        <v>Feb-2025</v>
      </c>
      <c r="P285">
        <f t="shared" si="21"/>
        <v>2025</v>
      </c>
      <c r="Q285" t="str">
        <f t="shared" si="22"/>
        <v>OK</v>
      </c>
      <c r="R285">
        <v>1</v>
      </c>
      <c r="S285">
        <f t="shared" si="23"/>
        <v>0</v>
      </c>
      <c r="T285">
        <f t="shared" si="24"/>
        <v>0</v>
      </c>
    </row>
    <row r="286" spans="1:20">
      <c r="A286" t="s">
        <v>1141</v>
      </c>
      <c r="B286" s="3">
        <v>44973</v>
      </c>
      <c r="C286" t="s">
        <v>1142</v>
      </c>
      <c r="D286" t="s">
        <v>64</v>
      </c>
      <c r="E286">
        <v>5</v>
      </c>
      <c r="F286" s="4">
        <v>208.17</v>
      </c>
      <c r="G286" t="s">
        <v>1143</v>
      </c>
      <c r="H286" t="s">
        <v>40</v>
      </c>
      <c r="I286" t="s">
        <v>49</v>
      </c>
      <c r="J286" t="s">
        <v>1144</v>
      </c>
      <c r="K286">
        <v>6</v>
      </c>
      <c r="L286" t="s">
        <v>27</v>
      </c>
      <c r="M286" t="s">
        <v>51</v>
      </c>
      <c r="N286" s="4">
        <v>1040.8499999999999</v>
      </c>
      <c r="O286" s="19" t="str">
        <f t="shared" si="20"/>
        <v>Feb-2023</v>
      </c>
      <c r="P286">
        <f t="shared" si="21"/>
        <v>2023</v>
      </c>
      <c r="Q286" t="str">
        <f t="shared" si="22"/>
        <v>OK</v>
      </c>
      <c r="R286">
        <v>1</v>
      </c>
      <c r="S286">
        <f t="shared" si="23"/>
        <v>0</v>
      </c>
      <c r="T286">
        <f t="shared" si="24"/>
        <v>1</v>
      </c>
    </row>
    <row r="287" spans="1:20">
      <c r="A287" t="s">
        <v>1145</v>
      </c>
      <c r="B287" s="3">
        <v>45818</v>
      </c>
      <c r="C287" t="s">
        <v>1146</v>
      </c>
      <c r="D287" t="s">
        <v>31</v>
      </c>
      <c r="E287">
        <v>1</v>
      </c>
      <c r="F287" s="4">
        <v>338.31</v>
      </c>
      <c r="G287" t="s">
        <v>1099</v>
      </c>
      <c r="H287" t="s">
        <v>33</v>
      </c>
      <c r="I287" t="s">
        <v>56</v>
      </c>
      <c r="J287" t="s">
        <v>1147</v>
      </c>
      <c r="K287">
        <v>3</v>
      </c>
      <c r="M287" t="s">
        <v>82</v>
      </c>
      <c r="N287" s="4">
        <v>338.31</v>
      </c>
      <c r="O287" s="19" t="str">
        <f t="shared" si="20"/>
        <v>Jun-2025</v>
      </c>
      <c r="P287">
        <f t="shared" si="21"/>
        <v>2025</v>
      </c>
      <c r="Q287" t="str">
        <f t="shared" si="22"/>
        <v>OK</v>
      </c>
      <c r="R287">
        <v>1</v>
      </c>
      <c r="S287">
        <f t="shared" si="23"/>
        <v>0</v>
      </c>
      <c r="T287">
        <f t="shared" si="24"/>
        <v>0</v>
      </c>
    </row>
    <row r="288" spans="1:20">
      <c r="A288" t="s">
        <v>1148</v>
      </c>
      <c r="B288" s="3">
        <v>45754</v>
      </c>
      <c r="C288" t="s">
        <v>1149</v>
      </c>
      <c r="D288" t="s">
        <v>22</v>
      </c>
      <c r="E288">
        <v>3</v>
      </c>
      <c r="F288" s="4">
        <v>139.44999999999999</v>
      </c>
      <c r="G288" t="s">
        <v>516</v>
      </c>
      <c r="H288" t="s">
        <v>66</v>
      </c>
      <c r="I288" t="s">
        <v>49</v>
      </c>
      <c r="J288" t="s">
        <v>1150</v>
      </c>
      <c r="K288">
        <v>8</v>
      </c>
      <c r="L288" t="s">
        <v>87</v>
      </c>
      <c r="M288" t="s">
        <v>82</v>
      </c>
      <c r="N288" s="4">
        <v>418.35</v>
      </c>
      <c r="O288" s="19" t="str">
        <f t="shared" si="20"/>
        <v>Apr-2025</v>
      </c>
      <c r="P288">
        <f t="shared" si="21"/>
        <v>2025</v>
      </c>
      <c r="Q288" t="str">
        <f t="shared" si="22"/>
        <v>OK</v>
      </c>
      <c r="R288">
        <v>1</v>
      </c>
      <c r="S288">
        <f t="shared" si="23"/>
        <v>0</v>
      </c>
      <c r="T288">
        <f t="shared" si="24"/>
        <v>1</v>
      </c>
    </row>
    <row r="289" spans="1:20">
      <c r="A289" t="s">
        <v>1151</v>
      </c>
      <c r="B289" s="3">
        <v>45254</v>
      </c>
      <c r="C289" t="s">
        <v>1152</v>
      </c>
      <c r="D289" t="s">
        <v>47</v>
      </c>
      <c r="E289">
        <v>4</v>
      </c>
      <c r="F289" s="4">
        <v>655.17999999999995</v>
      </c>
      <c r="G289" t="s">
        <v>1153</v>
      </c>
      <c r="H289" t="s">
        <v>33</v>
      </c>
      <c r="I289" t="s">
        <v>25</v>
      </c>
      <c r="J289" t="s">
        <v>1154</v>
      </c>
      <c r="K289">
        <v>5</v>
      </c>
      <c r="M289" t="s">
        <v>51</v>
      </c>
      <c r="N289" s="4">
        <v>2620.7199999999998</v>
      </c>
      <c r="O289" s="19" t="str">
        <f t="shared" si="20"/>
        <v>Nov-2023</v>
      </c>
      <c r="P289">
        <f t="shared" si="21"/>
        <v>2023</v>
      </c>
      <c r="Q289" t="str">
        <f t="shared" si="22"/>
        <v>OK</v>
      </c>
      <c r="R289">
        <v>1</v>
      </c>
      <c r="S289">
        <f t="shared" si="23"/>
        <v>0</v>
      </c>
      <c r="T289">
        <f t="shared" si="24"/>
        <v>0</v>
      </c>
    </row>
    <row r="290" spans="1:20">
      <c r="A290" t="s">
        <v>1155</v>
      </c>
      <c r="B290" s="3">
        <v>44997</v>
      </c>
      <c r="C290" t="s">
        <v>1156</v>
      </c>
      <c r="D290" t="s">
        <v>64</v>
      </c>
      <c r="E290">
        <v>4</v>
      </c>
      <c r="F290" s="4">
        <v>512.75</v>
      </c>
      <c r="G290" t="s">
        <v>1157</v>
      </c>
      <c r="H290" t="s">
        <v>24</v>
      </c>
      <c r="I290" t="s">
        <v>49</v>
      </c>
      <c r="J290" t="s">
        <v>1158</v>
      </c>
      <c r="K290">
        <v>8</v>
      </c>
      <c r="L290" t="s">
        <v>87</v>
      </c>
      <c r="M290" t="s">
        <v>82</v>
      </c>
      <c r="N290" s="4">
        <v>2051</v>
      </c>
      <c r="O290" s="19" t="str">
        <f t="shared" si="20"/>
        <v>Mar-2023</v>
      </c>
      <c r="P290">
        <f t="shared" si="21"/>
        <v>2023</v>
      </c>
      <c r="Q290" t="str">
        <f t="shared" si="22"/>
        <v>OK</v>
      </c>
      <c r="R290">
        <v>1</v>
      </c>
      <c r="S290">
        <f t="shared" si="23"/>
        <v>0</v>
      </c>
      <c r="T290">
        <f t="shared" si="24"/>
        <v>1</v>
      </c>
    </row>
    <row r="291" spans="1:20">
      <c r="A291" t="s">
        <v>1159</v>
      </c>
      <c r="B291" s="3">
        <v>45133</v>
      </c>
      <c r="C291" t="s">
        <v>1160</v>
      </c>
      <c r="D291" t="s">
        <v>47</v>
      </c>
      <c r="E291">
        <v>4</v>
      </c>
      <c r="F291" s="4">
        <v>160.49</v>
      </c>
      <c r="G291" t="s">
        <v>85</v>
      </c>
      <c r="H291" t="s">
        <v>40</v>
      </c>
      <c r="I291" t="s">
        <v>25</v>
      </c>
      <c r="J291" t="s">
        <v>1161</v>
      </c>
      <c r="K291">
        <v>8</v>
      </c>
      <c r="L291" t="s">
        <v>87</v>
      </c>
      <c r="M291" t="s">
        <v>35</v>
      </c>
      <c r="N291" s="4">
        <v>641.96</v>
      </c>
      <c r="O291" s="19" t="str">
        <f t="shared" si="20"/>
        <v>Jul-2023</v>
      </c>
      <c r="P291">
        <f t="shared" si="21"/>
        <v>2023</v>
      </c>
      <c r="Q291" t="str">
        <f t="shared" si="22"/>
        <v>OK</v>
      </c>
      <c r="R291">
        <v>1</v>
      </c>
      <c r="S291">
        <f t="shared" si="23"/>
        <v>0</v>
      </c>
      <c r="T291">
        <f t="shared" si="24"/>
        <v>0</v>
      </c>
    </row>
    <row r="292" spans="1:20">
      <c r="A292" t="s">
        <v>1162</v>
      </c>
      <c r="B292" s="3">
        <v>45051</v>
      </c>
      <c r="C292" t="s">
        <v>1163</v>
      </c>
      <c r="D292" t="s">
        <v>47</v>
      </c>
      <c r="E292">
        <v>3</v>
      </c>
      <c r="F292" s="4">
        <v>99.9</v>
      </c>
      <c r="G292" t="s">
        <v>761</v>
      </c>
      <c r="H292" t="s">
        <v>71</v>
      </c>
      <c r="I292" t="s">
        <v>56</v>
      </c>
      <c r="J292" t="s">
        <v>1164</v>
      </c>
      <c r="K292">
        <v>8</v>
      </c>
      <c r="L292" t="s">
        <v>43</v>
      </c>
      <c r="M292" t="s">
        <v>51</v>
      </c>
      <c r="N292" s="4">
        <v>299.7</v>
      </c>
      <c r="O292" s="19" t="str">
        <f t="shared" si="20"/>
        <v>May-2023</v>
      </c>
      <c r="P292">
        <f t="shared" si="21"/>
        <v>2023</v>
      </c>
      <c r="Q292" t="str">
        <f t="shared" si="22"/>
        <v>OK</v>
      </c>
      <c r="R292">
        <v>1</v>
      </c>
      <c r="S292">
        <f t="shared" si="23"/>
        <v>0</v>
      </c>
      <c r="T292">
        <f t="shared" si="24"/>
        <v>0</v>
      </c>
    </row>
    <row r="293" spans="1:20">
      <c r="A293" t="s">
        <v>1165</v>
      </c>
      <c r="B293" s="3">
        <v>45424</v>
      </c>
      <c r="C293" t="s">
        <v>1166</v>
      </c>
      <c r="D293" t="s">
        <v>31</v>
      </c>
      <c r="E293">
        <v>2</v>
      </c>
      <c r="F293" s="4">
        <v>345.01</v>
      </c>
      <c r="G293" t="s">
        <v>1167</v>
      </c>
      <c r="H293" t="s">
        <v>40</v>
      </c>
      <c r="I293" t="s">
        <v>56</v>
      </c>
      <c r="J293" t="s">
        <v>1168</v>
      </c>
      <c r="K293">
        <v>6</v>
      </c>
      <c r="L293" t="s">
        <v>43</v>
      </c>
      <c r="M293" t="s">
        <v>82</v>
      </c>
      <c r="N293" s="4">
        <v>690.02</v>
      </c>
      <c r="O293" s="19" t="str">
        <f t="shared" si="20"/>
        <v>May-2024</v>
      </c>
      <c r="P293">
        <f t="shared" si="21"/>
        <v>2024</v>
      </c>
      <c r="Q293" t="str">
        <f t="shared" si="22"/>
        <v>OK</v>
      </c>
      <c r="R293">
        <v>1</v>
      </c>
      <c r="S293">
        <f t="shared" si="23"/>
        <v>0</v>
      </c>
      <c r="T293">
        <f t="shared" si="24"/>
        <v>0</v>
      </c>
    </row>
    <row r="294" spans="1:20">
      <c r="A294" t="s">
        <v>1169</v>
      </c>
      <c r="B294" s="3">
        <v>45672</v>
      </c>
      <c r="C294" t="s">
        <v>1170</v>
      </c>
      <c r="D294" t="s">
        <v>22</v>
      </c>
      <c r="E294">
        <v>1</v>
      </c>
      <c r="F294" s="4">
        <v>65.95</v>
      </c>
      <c r="G294" t="s">
        <v>864</v>
      </c>
      <c r="H294" t="s">
        <v>40</v>
      </c>
      <c r="I294" t="s">
        <v>56</v>
      </c>
      <c r="J294" t="s">
        <v>1171</v>
      </c>
      <c r="K294">
        <v>5</v>
      </c>
      <c r="M294" t="s">
        <v>51</v>
      </c>
      <c r="N294" s="4">
        <v>65.95</v>
      </c>
      <c r="O294" s="19" t="str">
        <f t="shared" si="20"/>
        <v>Jan-2025</v>
      </c>
      <c r="P294">
        <f t="shared" si="21"/>
        <v>2025</v>
      </c>
      <c r="Q294" t="str">
        <f t="shared" si="22"/>
        <v>OK</v>
      </c>
      <c r="R294">
        <v>1</v>
      </c>
      <c r="S294">
        <f t="shared" si="23"/>
        <v>0</v>
      </c>
      <c r="T294">
        <f t="shared" si="24"/>
        <v>0</v>
      </c>
    </row>
    <row r="295" spans="1:20">
      <c r="A295" t="s">
        <v>1172</v>
      </c>
      <c r="B295" s="3">
        <v>44973</v>
      </c>
      <c r="C295" t="s">
        <v>1173</v>
      </c>
      <c r="D295" t="s">
        <v>38</v>
      </c>
      <c r="E295">
        <v>4</v>
      </c>
      <c r="F295" s="4">
        <v>463.04</v>
      </c>
      <c r="G295" t="s">
        <v>1174</v>
      </c>
      <c r="H295" t="s">
        <v>66</v>
      </c>
      <c r="I295" t="s">
        <v>49</v>
      </c>
      <c r="J295" t="s">
        <v>1175</v>
      </c>
      <c r="K295">
        <v>9</v>
      </c>
      <c r="M295" t="s">
        <v>28</v>
      </c>
      <c r="N295" s="4">
        <v>1852.16</v>
      </c>
      <c r="O295" s="19" t="str">
        <f t="shared" si="20"/>
        <v>Feb-2023</v>
      </c>
      <c r="P295">
        <f t="shared" si="21"/>
        <v>2023</v>
      </c>
      <c r="Q295" t="str">
        <f t="shared" si="22"/>
        <v>OK</v>
      </c>
      <c r="R295">
        <v>1</v>
      </c>
      <c r="S295">
        <f t="shared" si="23"/>
        <v>0</v>
      </c>
      <c r="T295">
        <f t="shared" si="24"/>
        <v>1</v>
      </c>
    </row>
    <row r="296" spans="1:20">
      <c r="A296" t="s">
        <v>1176</v>
      </c>
      <c r="B296" s="3">
        <v>45748</v>
      </c>
      <c r="C296" t="s">
        <v>1177</v>
      </c>
      <c r="D296" t="s">
        <v>31</v>
      </c>
      <c r="E296">
        <v>2</v>
      </c>
      <c r="F296" s="4">
        <v>297.70999999999998</v>
      </c>
      <c r="G296" t="s">
        <v>1178</v>
      </c>
      <c r="H296" t="s">
        <v>33</v>
      </c>
      <c r="I296" t="s">
        <v>25</v>
      </c>
      <c r="J296" t="s">
        <v>1179</v>
      </c>
      <c r="K296">
        <v>7</v>
      </c>
      <c r="L296" t="s">
        <v>27</v>
      </c>
      <c r="M296" t="s">
        <v>35</v>
      </c>
      <c r="N296" s="4">
        <v>595.41999999999996</v>
      </c>
      <c r="O296" s="19" t="str">
        <f t="shared" si="20"/>
        <v>Apr-2025</v>
      </c>
      <c r="P296">
        <f t="shared" si="21"/>
        <v>2025</v>
      </c>
      <c r="Q296" t="str">
        <f t="shared" si="22"/>
        <v>OK</v>
      </c>
      <c r="R296">
        <v>1</v>
      </c>
      <c r="S296">
        <f t="shared" si="23"/>
        <v>0</v>
      </c>
      <c r="T296">
        <f t="shared" si="24"/>
        <v>0</v>
      </c>
    </row>
    <row r="297" spans="1:20">
      <c r="A297" t="s">
        <v>1180</v>
      </c>
      <c r="B297" s="3">
        <v>44951</v>
      </c>
      <c r="C297" t="s">
        <v>1181</v>
      </c>
      <c r="D297" t="s">
        <v>54</v>
      </c>
      <c r="E297">
        <v>5</v>
      </c>
      <c r="F297" s="4">
        <v>107.48</v>
      </c>
      <c r="G297" t="s">
        <v>1182</v>
      </c>
      <c r="H297" t="s">
        <v>24</v>
      </c>
      <c r="I297" t="s">
        <v>41</v>
      </c>
      <c r="J297" t="s">
        <v>1183</v>
      </c>
      <c r="K297">
        <v>9</v>
      </c>
      <c r="L297" t="s">
        <v>43</v>
      </c>
      <c r="M297" t="s">
        <v>44</v>
      </c>
      <c r="N297" s="4">
        <v>537.4</v>
      </c>
      <c r="O297" s="19" t="str">
        <f t="shared" si="20"/>
        <v>Jan-2023</v>
      </c>
      <c r="P297">
        <f t="shared" si="21"/>
        <v>2023</v>
      </c>
      <c r="Q297" t="str">
        <f t="shared" si="22"/>
        <v>OK</v>
      </c>
      <c r="R297">
        <v>1</v>
      </c>
      <c r="S297">
        <f t="shared" si="23"/>
        <v>1</v>
      </c>
      <c r="T297">
        <f t="shared" si="24"/>
        <v>0</v>
      </c>
    </row>
    <row r="298" spans="1:20">
      <c r="A298" t="s">
        <v>1184</v>
      </c>
      <c r="B298" s="3">
        <v>45462</v>
      </c>
      <c r="C298" t="s">
        <v>1185</v>
      </c>
      <c r="D298" t="s">
        <v>79</v>
      </c>
      <c r="E298">
        <v>5</v>
      </c>
      <c r="F298" s="4">
        <v>638.79999999999995</v>
      </c>
      <c r="G298" t="s">
        <v>248</v>
      </c>
      <c r="H298" t="s">
        <v>24</v>
      </c>
      <c r="I298" t="s">
        <v>41</v>
      </c>
      <c r="J298" t="s">
        <v>1186</v>
      </c>
      <c r="K298">
        <v>10</v>
      </c>
      <c r="L298" t="s">
        <v>87</v>
      </c>
      <c r="M298" t="s">
        <v>35</v>
      </c>
      <c r="N298" s="4">
        <v>3194</v>
      </c>
      <c r="O298" s="19" t="str">
        <f t="shared" si="20"/>
        <v>Jun-2024</v>
      </c>
      <c r="P298">
        <f t="shared" si="21"/>
        <v>2024</v>
      </c>
      <c r="Q298" t="str">
        <f t="shared" si="22"/>
        <v>OK</v>
      </c>
      <c r="R298">
        <v>1</v>
      </c>
      <c r="S298">
        <f t="shared" si="23"/>
        <v>1</v>
      </c>
      <c r="T298">
        <f t="shared" si="24"/>
        <v>0</v>
      </c>
    </row>
    <row r="299" spans="1:20">
      <c r="A299" t="s">
        <v>1187</v>
      </c>
      <c r="B299" s="3">
        <v>44979</v>
      </c>
      <c r="C299" t="s">
        <v>1188</v>
      </c>
      <c r="D299" t="s">
        <v>79</v>
      </c>
      <c r="E299">
        <v>2</v>
      </c>
      <c r="F299" s="4">
        <v>493.88</v>
      </c>
      <c r="G299" t="s">
        <v>1189</v>
      </c>
      <c r="H299" t="s">
        <v>40</v>
      </c>
      <c r="I299" t="s">
        <v>49</v>
      </c>
      <c r="J299" t="s">
        <v>1190</v>
      </c>
      <c r="K299">
        <v>7</v>
      </c>
      <c r="L299" t="s">
        <v>27</v>
      </c>
      <c r="M299" t="s">
        <v>28</v>
      </c>
      <c r="N299" s="4">
        <v>987.76</v>
      </c>
      <c r="O299" s="19" t="str">
        <f t="shared" si="20"/>
        <v>Feb-2023</v>
      </c>
      <c r="P299">
        <f t="shared" si="21"/>
        <v>2023</v>
      </c>
      <c r="Q299" t="str">
        <f t="shared" si="22"/>
        <v>OK</v>
      </c>
      <c r="R299">
        <v>1</v>
      </c>
      <c r="S299">
        <f t="shared" si="23"/>
        <v>0</v>
      </c>
      <c r="T299">
        <f t="shared" si="24"/>
        <v>1</v>
      </c>
    </row>
    <row r="300" spans="1:20">
      <c r="A300" t="s">
        <v>1191</v>
      </c>
      <c r="B300" s="3">
        <v>45279</v>
      </c>
      <c r="C300" t="s">
        <v>1192</v>
      </c>
      <c r="D300" t="s">
        <v>54</v>
      </c>
      <c r="E300">
        <v>4</v>
      </c>
      <c r="F300" s="4">
        <v>301.17</v>
      </c>
      <c r="G300" t="s">
        <v>207</v>
      </c>
      <c r="H300" t="s">
        <v>33</v>
      </c>
      <c r="I300" t="s">
        <v>41</v>
      </c>
      <c r="J300" t="s">
        <v>1193</v>
      </c>
      <c r="K300">
        <v>6</v>
      </c>
      <c r="M300" t="s">
        <v>44</v>
      </c>
      <c r="N300" s="4">
        <v>1204.68</v>
      </c>
      <c r="O300" s="19" t="str">
        <f t="shared" si="20"/>
        <v>Dec-2023</v>
      </c>
      <c r="P300">
        <f t="shared" si="21"/>
        <v>2023</v>
      </c>
      <c r="Q300" t="str">
        <f t="shared" si="22"/>
        <v>OK</v>
      </c>
      <c r="R300">
        <v>1</v>
      </c>
      <c r="S300">
        <f t="shared" si="23"/>
        <v>1</v>
      </c>
      <c r="T300">
        <f t="shared" si="24"/>
        <v>0</v>
      </c>
    </row>
    <row r="301" spans="1:20">
      <c r="A301" t="s">
        <v>1194</v>
      </c>
      <c r="B301" s="3">
        <v>45311</v>
      </c>
      <c r="C301" t="s">
        <v>1195</v>
      </c>
      <c r="D301" t="s">
        <v>22</v>
      </c>
      <c r="E301">
        <v>1</v>
      </c>
      <c r="F301" s="4">
        <v>278.66000000000003</v>
      </c>
      <c r="G301" t="s">
        <v>1196</v>
      </c>
      <c r="H301" t="s">
        <v>66</v>
      </c>
      <c r="I301" t="s">
        <v>41</v>
      </c>
      <c r="J301" t="s">
        <v>1197</v>
      </c>
      <c r="K301">
        <v>2</v>
      </c>
      <c r="L301" t="s">
        <v>43</v>
      </c>
      <c r="M301" t="s">
        <v>28</v>
      </c>
      <c r="N301" s="4">
        <v>278.66000000000003</v>
      </c>
      <c r="O301" s="19" t="str">
        <f t="shared" si="20"/>
        <v>Jan-2024</v>
      </c>
      <c r="P301">
        <f t="shared" si="21"/>
        <v>2024</v>
      </c>
      <c r="Q301" t="str">
        <f t="shared" si="22"/>
        <v>OK</v>
      </c>
      <c r="R301">
        <v>1</v>
      </c>
      <c r="S301">
        <f t="shared" si="23"/>
        <v>1</v>
      </c>
      <c r="T301">
        <f t="shared" si="24"/>
        <v>0</v>
      </c>
    </row>
    <row r="302" spans="1:20">
      <c r="A302" t="s">
        <v>1198</v>
      </c>
      <c r="B302" s="3">
        <v>45537</v>
      </c>
      <c r="C302" t="s">
        <v>1199</v>
      </c>
      <c r="D302" t="s">
        <v>31</v>
      </c>
      <c r="E302">
        <v>1</v>
      </c>
      <c r="F302" s="4">
        <v>287.45999999999998</v>
      </c>
      <c r="G302" t="s">
        <v>1200</v>
      </c>
      <c r="H302" t="s">
        <v>24</v>
      </c>
      <c r="I302" t="s">
        <v>49</v>
      </c>
      <c r="J302" t="s">
        <v>1201</v>
      </c>
      <c r="K302">
        <v>3</v>
      </c>
      <c r="L302" t="s">
        <v>43</v>
      </c>
      <c r="M302" t="s">
        <v>51</v>
      </c>
      <c r="N302" s="4">
        <v>287.45999999999998</v>
      </c>
      <c r="O302" s="19" t="str">
        <f t="shared" si="20"/>
        <v>Sep-2024</v>
      </c>
      <c r="P302">
        <f t="shared" si="21"/>
        <v>2024</v>
      </c>
      <c r="Q302" t="str">
        <f t="shared" si="22"/>
        <v>OK</v>
      </c>
      <c r="R302">
        <v>1</v>
      </c>
      <c r="S302">
        <f t="shared" si="23"/>
        <v>0</v>
      </c>
      <c r="T302">
        <f t="shared" si="24"/>
        <v>1</v>
      </c>
    </row>
    <row r="303" spans="1:20">
      <c r="A303" t="s">
        <v>1202</v>
      </c>
      <c r="B303" s="3">
        <v>45057</v>
      </c>
      <c r="C303" t="s">
        <v>1203</v>
      </c>
      <c r="D303" t="s">
        <v>47</v>
      </c>
      <c r="E303">
        <v>1</v>
      </c>
      <c r="F303" s="4">
        <v>583.99</v>
      </c>
      <c r="G303" t="s">
        <v>1204</v>
      </c>
      <c r="H303" t="s">
        <v>71</v>
      </c>
      <c r="I303" t="s">
        <v>41</v>
      </c>
      <c r="J303" t="s">
        <v>1205</v>
      </c>
      <c r="K303">
        <v>2</v>
      </c>
      <c r="L303" t="s">
        <v>27</v>
      </c>
      <c r="M303" t="s">
        <v>44</v>
      </c>
      <c r="N303" s="4">
        <v>583.99</v>
      </c>
      <c r="O303" s="19" t="str">
        <f t="shared" si="20"/>
        <v>May-2023</v>
      </c>
      <c r="P303">
        <f t="shared" si="21"/>
        <v>2023</v>
      </c>
      <c r="Q303" t="str">
        <f t="shared" si="22"/>
        <v>OK</v>
      </c>
      <c r="R303">
        <v>1</v>
      </c>
      <c r="S303">
        <f t="shared" si="23"/>
        <v>1</v>
      </c>
      <c r="T303">
        <f t="shared" si="24"/>
        <v>0</v>
      </c>
    </row>
    <row r="304" spans="1:20">
      <c r="A304" t="s">
        <v>1206</v>
      </c>
      <c r="B304" s="3">
        <v>45062</v>
      </c>
      <c r="C304" t="s">
        <v>1207</v>
      </c>
      <c r="D304" t="s">
        <v>47</v>
      </c>
      <c r="E304">
        <v>3</v>
      </c>
      <c r="F304" s="4">
        <v>468.74</v>
      </c>
      <c r="G304" t="s">
        <v>1208</v>
      </c>
      <c r="H304" t="s">
        <v>71</v>
      </c>
      <c r="I304" t="s">
        <v>95</v>
      </c>
      <c r="J304" t="s">
        <v>1209</v>
      </c>
      <c r="K304">
        <v>4</v>
      </c>
      <c r="L304" t="s">
        <v>43</v>
      </c>
      <c r="M304" t="s">
        <v>28</v>
      </c>
      <c r="N304" s="4">
        <v>1406.22</v>
      </c>
      <c r="O304" s="19" t="str">
        <f t="shared" si="20"/>
        <v>May-2023</v>
      </c>
      <c r="P304">
        <f t="shared" si="21"/>
        <v>2023</v>
      </c>
      <c r="Q304" t="str">
        <f t="shared" si="22"/>
        <v>OK</v>
      </c>
      <c r="R304">
        <v>1</v>
      </c>
      <c r="S304">
        <f t="shared" si="23"/>
        <v>0</v>
      </c>
      <c r="T304">
        <f t="shared" si="24"/>
        <v>0</v>
      </c>
    </row>
    <row r="305" spans="1:20">
      <c r="A305" t="s">
        <v>1210</v>
      </c>
      <c r="B305" s="3">
        <v>45633</v>
      </c>
      <c r="C305" t="s">
        <v>1211</v>
      </c>
      <c r="D305" t="s">
        <v>38</v>
      </c>
      <c r="E305">
        <v>1</v>
      </c>
      <c r="F305" s="4">
        <v>30.54</v>
      </c>
      <c r="G305" t="s">
        <v>1212</v>
      </c>
      <c r="H305" t="s">
        <v>24</v>
      </c>
      <c r="I305" t="s">
        <v>49</v>
      </c>
      <c r="J305" t="s">
        <v>1213</v>
      </c>
      <c r="K305">
        <v>1</v>
      </c>
      <c r="M305" t="s">
        <v>82</v>
      </c>
      <c r="N305" s="4">
        <v>30.54</v>
      </c>
      <c r="O305" s="19" t="str">
        <f t="shared" si="20"/>
        <v>Dec-2024</v>
      </c>
      <c r="P305">
        <f t="shared" si="21"/>
        <v>2024</v>
      </c>
      <c r="Q305" t="str">
        <f t="shared" si="22"/>
        <v>OK</v>
      </c>
      <c r="R305">
        <v>1</v>
      </c>
      <c r="S305">
        <f t="shared" si="23"/>
        <v>0</v>
      </c>
      <c r="T305">
        <f t="shared" si="24"/>
        <v>1</v>
      </c>
    </row>
    <row r="306" spans="1:20">
      <c r="A306" t="s">
        <v>1214</v>
      </c>
      <c r="B306" s="3">
        <v>45583</v>
      </c>
      <c r="C306" t="s">
        <v>1215</v>
      </c>
      <c r="D306" t="s">
        <v>22</v>
      </c>
      <c r="E306">
        <v>5</v>
      </c>
      <c r="F306" s="4">
        <v>408.73</v>
      </c>
      <c r="G306" t="s">
        <v>1216</v>
      </c>
      <c r="H306" t="s">
        <v>66</v>
      </c>
      <c r="I306" t="s">
        <v>56</v>
      </c>
      <c r="J306" t="s">
        <v>1217</v>
      </c>
      <c r="K306">
        <v>10</v>
      </c>
      <c r="L306" t="s">
        <v>43</v>
      </c>
      <c r="M306" t="s">
        <v>28</v>
      </c>
      <c r="N306" s="4">
        <v>2043.65</v>
      </c>
      <c r="O306" s="19" t="str">
        <f t="shared" si="20"/>
        <v>Oct-2024</v>
      </c>
      <c r="P306">
        <f t="shared" si="21"/>
        <v>2024</v>
      </c>
      <c r="Q306" t="str">
        <f t="shared" si="22"/>
        <v>OK</v>
      </c>
      <c r="R306">
        <v>1</v>
      </c>
      <c r="S306">
        <f t="shared" si="23"/>
        <v>0</v>
      </c>
      <c r="T306">
        <f t="shared" si="24"/>
        <v>0</v>
      </c>
    </row>
    <row r="307" spans="1:20">
      <c r="A307" t="s">
        <v>1218</v>
      </c>
      <c r="B307" s="3">
        <v>45255</v>
      </c>
      <c r="C307" t="s">
        <v>1219</v>
      </c>
      <c r="D307" t="s">
        <v>64</v>
      </c>
      <c r="E307">
        <v>4</v>
      </c>
      <c r="F307" s="4">
        <v>126.89</v>
      </c>
      <c r="G307" t="s">
        <v>1220</v>
      </c>
      <c r="H307" t="s">
        <v>71</v>
      </c>
      <c r="I307" t="s">
        <v>95</v>
      </c>
      <c r="J307" t="s">
        <v>1221</v>
      </c>
      <c r="K307">
        <v>9</v>
      </c>
      <c r="L307" t="s">
        <v>43</v>
      </c>
      <c r="M307" t="s">
        <v>28</v>
      </c>
      <c r="N307" s="4">
        <v>507.56</v>
      </c>
      <c r="O307" s="19" t="str">
        <f t="shared" si="20"/>
        <v>Nov-2023</v>
      </c>
      <c r="P307">
        <f t="shared" si="21"/>
        <v>2023</v>
      </c>
      <c r="Q307" t="str">
        <f t="shared" si="22"/>
        <v>OK</v>
      </c>
      <c r="R307">
        <v>1</v>
      </c>
      <c r="S307">
        <f t="shared" si="23"/>
        <v>0</v>
      </c>
      <c r="T307">
        <f t="shared" si="24"/>
        <v>0</v>
      </c>
    </row>
    <row r="308" spans="1:20">
      <c r="A308" t="s">
        <v>1222</v>
      </c>
      <c r="B308" s="3">
        <v>45450</v>
      </c>
      <c r="C308" t="s">
        <v>1223</v>
      </c>
      <c r="D308" t="s">
        <v>54</v>
      </c>
      <c r="E308">
        <v>2</v>
      </c>
      <c r="F308" s="4">
        <v>57.07</v>
      </c>
      <c r="G308" t="s">
        <v>1224</v>
      </c>
      <c r="H308" t="s">
        <v>24</v>
      </c>
      <c r="I308" t="s">
        <v>49</v>
      </c>
      <c r="J308" t="s">
        <v>1225</v>
      </c>
      <c r="K308">
        <v>3</v>
      </c>
      <c r="L308" t="s">
        <v>27</v>
      </c>
      <c r="M308" t="s">
        <v>28</v>
      </c>
      <c r="N308" s="4">
        <v>114.14</v>
      </c>
      <c r="O308" s="19" t="str">
        <f t="shared" si="20"/>
        <v>Jun-2024</v>
      </c>
      <c r="P308">
        <f t="shared" si="21"/>
        <v>2024</v>
      </c>
      <c r="Q308" t="str">
        <f t="shared" si="22"/>
        <v>OK</v>
      </c>
      <c r="R308">
        <v>1</v>
      </c>
      <c r="S308">
        <f t="shared" si="23"/>
        <v>0</v>
      </c>
      <c r="T308">
        <f t="shared" si="24"/>
        <v>1</v>
      </c>
    </row>
    <row r="309" spans="1:20">
      <c r="A309" t="s">
        <v>1226</v>
      </c>
      <c r="B309" s="3">
        <v>45108</v>
      </c>
      <c r="C309" t="s">
        <v>1227</v>
      </c>
      <c r="D309" t="s">
        <v>64</v>
      </c>
      <c r="E309">
        <v>3</v>
      </c>
      <c r="F309" s="4">
        <v>557.41</v>
      </c>
      <c r="G309" t="s">
        <v>1228</v>
      </c>
      <c r="H309" t="s">
        <v>33</v>
      </c>
      <c r="I309" t="s">
        <v>56</v>
      </c>
      <c r="J309" t="s">
        <v>1229</v>
      </c>
      <c r="K309">
        <v>4</v>
      </c>
      <c r="M309" t="s">
        <v>44</v>
      </c>
      <c r="N309" s="4">
        <v>1672.23</v>
      </c>
      <c r="O309" s="19" t="str">
        <f t="shared" si="20"/>
        <v>Jul-2023</v>
      </c>
      <c r="P309">
        <f t="shared" si="21"/>
        <v>2023</v>
      </c>
      <c r="Q309" t="str">
        <f t="shared" si="22"/>
        <v>OK</v>
      </c>
      <c r="R309">
        <v>1</v>
      </c>
      <c r="S309">
        <f t="shared" si="23"/>
        <v>0</v>
      </c>
      <c r="T309">
        <f t="shared" si="24"/>
        <v>0</v>
      </c>
    </row>
    <row r="310" spans="1:20">
      <c r="A310" t="s">
        <v>1230</v>
      </c>
      <c r="B310" s="3">
        <v>45271</v>
      </c>
      <c r="C310" t="s">
        <v>1231</v>
      </c>
      <c r="D310" t="s">
        <v>54</v>
      </c>
      <c r="E310">
        <v>3</v>
      </c>
      <c r="F310" s="4">
        <v>448.9</v>
      </c>
      <c r="G310" t="s">
        <v>725</v>
      </c>
      <c r="H310" t="s">
        <v>24</v>
      </c>
      <c r="I310" t="s">
        <v>49</v>
      </c>
      <c r="J310" t="s">
        <v>1232</v>
      </c>
      <c r="K310">
        <v>7</v>
      </c>
      <c r="L310" t="s">
        <v>27</v>
      </c>
      <c r="M310" t="s">
        <v>28</v>
      </c>
      <c r="N310" s="4">
        <v>1346.7</v>
      </c>
      <c r="O310" s="19" t="str">
        <f t="shared" si="20"/>
        <v>Dec-2023</v>
      </c>
      <c r="P310">
        <f t="shared" si="21"/>
        <v>2023</v>
      </c>
      <c r="Q310" t="str">
        <f t="shared" si="22"/>
        <v>OK</v>
      </c>
      <c r="R310">
        <v>1</v>
      </c>
      <c r="S310">
        <f t="shared" si="23"/>
        <v>0</v>
      </c>
      <c r="T310">
        <f t="shared" si="24"/>
        <v>1</v>
      </c>
    </row>
    <row r="311" spans="1:20">
      <c r="A311" t="s">
        <v>1233</v>
      </c>
      <c r="B311" s="3">
        <v>45202</v>
      </c>
      <c r="C311" t="s">
        <v>1234</v>
      </c>
      <c r="D311" t="s">
        <v>47</v>
      </c>
      <c r="E311">
        <v>4</v>
      </c>
      <c r="F311" s="4">
        <v>549.76</v>
      </c>
      <c r="G311" t="s">
        <v>1235</v>
      </c>
      <c r="H311" t="s">
        <v>24</v>
      </c>
      <c r="I311" t="s">
        <v>56</v>
      </c>
      <c r="J311" t="s">
        <v>1236</v>
      </c>
      <c r="K311">
        <v>4</v>
      </c>
      <c r="L311" t="s">
        <v>43</v>
      </c>
      <c r="M311" t="s">
        <v>51</v>
      </c>
      <c r="N311" s="4">
        <v>2199.04</v>
      </c>
      <c r="O311" s="19" t="str">
        <f t="shared" si="20"/>
        <v>Oct-2023</v>
      </c>
      <c r="P311">
        <f t="shared" si="21"/>
        <v>2023</v>
      </c>
      <c r="Q311" t="str">
        <f t="shared" si="22"/>
        <v>OK</v>
      </c>
      <c r="R311">
        <v>1</v>
      </c>
      <c r="S311">
        <f t="shared" si="23"/>
        <v>0</v>
      </c>
      <c r="T311">
        <f t="shared" si="24"/>
        <v>0</v>
      </c>
    </row>
    <row r="312" spans="1:20">
      <c r="A312" t="s">
        <v>1237</v>
      </c>
      <c r="B312" s="3">
        <v>45346</v>
      </c>
      <c r="C312" t="s">
        <v>1238</v>
      </c>
      <c r="D312" t="s">
        <v>54</v>
      </c>
      <c r="E312">
        <v>3</v>
      </c>
      <c r="F312" s="4">
        <v>132.47999999999999</v>
      </c>
      <c r="G312" t="s">
        <v>1239</v>
      </c>
      <c r="H312" t="s">
        <v>33</v>
      </c>
      <c r="I312" t="s">
        <v>25</v>
      </c>
      <c r="J312" t="s">
        <v>1240</v>
      </c>
      <c r="K312">
        <v>4</v>
      </c>
      <c r="M312" t="s">
        <v>35</v>
      </c>
      <c r="N312" s="4">
        <v>397.43999999999988</v>
      </c>
      <c r="O312" s="19" t="str">
        <f t="shared" si="20"/>
        <v>Feb-2024</v>
      </c>
      <c r="P312">
        <f t="shared" si="21"/>
        <v>2024</v>
      </c>
      <c r="Q312" t="str">
        <f t="shared" si="22"/>
        <v>OK</v>
      </c>
      <c r="R312">
        <v>1</v>
      </c>
      <c r="S312">
        <f t="shared" si="23"/>
        <v>0</v>
      </c>
      <c r="T312">
        <f t="shared" si="24"/>
        <v>0</v>
      </c>
    </row>
    <row r="313" spans="1:20">
      <c r="A313" t="s">
        <v>1241</v>
      </c>
      <c r="B313" s="3">
        <v>45794</v>
      </c>
      <c r="C313" t="s">
        <v>1242</v>
      </c>
      <c r="D313" t="s">
        <v>79</v>
      </c>
      <c r="E313">
        <v>5</v>
      </c>
      <c r="F313" s="4">
        <v>489.37</v>
      </c>
      <c r="G313" t="s">
        <v>1243</v>
      </c>
      <c r="H313" t="s">
        <v>33</v>
      </c>
      <c r="I313" t="s">
        <v>49</v>
      </c>
      <c r="J313" t="s">
        <v>1244</v>
      </c>
      <c r="K313">
        <v>8</v>
      </c>
      <c r="M313" t="s">
        <v>28</v>
      </c>
      <c r="N313" s="4">
        <v>2446.85</v>
      </c>
      <c r="O313" s="19" t="str">
        <f t="shared" si="20"/>
        <v>May-2025</v>
      </c>
      <c r="P313">
        <f t="shared" si="21"/>
        <v>2025</v>
      </c>
      <c r="Q313" t="str">
        <f t="shared" si="22"/>
        <v>OK</v>
      </c>
      <c r="R313">
        <v>1</v>
      </c>
      <c r="S313">
        <f t="shared" si="23"/>
        <v>0</v>
      </c>
      <c r="T313">
        <f t="shared" si="24"/>
        <v>1</v>
      </c>
    </row>
    <row r="314" spans="1:20">
      <c r="A314" t="s">
        <v>1245</v>
      </c>
      <c r="B314" s="3">
        <v>45801</v>
      </c>
      <c r="C314" t="s">
        <v>1246</v>
      </c>
      <c r="D314" t="s">
        <v>54</v>
      </c>
      <c r="E314">
        <v>5</v>
      </c>
      <c r="F314" s="4">
        <v>66.31</v>
      </c>
      <c r="G314" t="s">
        <v>927</v>
      </c>
      <c r="H314" t="s">
        <v>66</v>
      </c>
      <c r="I314" t="s">
        <v>95</v>
      </c>
      <c r="J314" t="s">
        <v>1247</v>
      </c>
      <c r="K314">
        <v>7</v>
      </c>
      <c r="L314" t="s">
        <v>43</v>
      </c>
      <c r="M314" t="s">
        <v>35</v>
      </c>
      <c r="N314" s="4">
        <v>331.55</v>
      </c>
      <c r="O314" s="19" t="str">
        <f t="shared" si="20"/>
        <v>May-2025</v>
      </c>
      <c r="P314">
        <f t="shared" si="21"/>
        <v>2025</v>
      </c>
      <c r="Q314" t="str">
        <f t="shared" si="22"/>
        <v>OK</v>
      </c>
      <c r="R314">
        <v>1</v>
      </c>
      <c r="S314">
        <f t="shared" si="23"/>
        <v>0</v>
      </c>
      <c r="T314">
        <f t="shared" si="24"/>
        <v>0</v>
      </c>
    </row>
    <row r="315" spans="1:20">
      <c r="A315" t="s">
        <v>1248</v>
      </c>
      <c r="B315" s="3">
        <v>45116</v>
      </c>
      <c r="C315" t="s">
        <v>1249</v>
      </c>
      <c r="D315" t="s">
        <v>47</v>
      </c>
      <c r="E315">
        <v>2</v>
      </c>
      <c r="F315" s="4">
        <v>434.3</v>
      </c>
      <c r="G315" t="s">
        <v>1250</v>
      </c>
      <c r="H315" t="s">
        <v>71</v>
      </c>
      <c r="I315" t="s">
        <v>56</v>
      </c>
      <c r="J315" t="s">
        <v>1251</v>
      </c>
      <c r="K315">
        <v>7</v>
      </c>
      <c r="L315" t="s">
        <v>27</v>
      </c>
      <c r="M315" t="s">
        <v>28</v>
      </c>
      <c r="N315" s="4">
        <v>868.6</v>
      </c>
      <c r="O315" s="19" t="str">
        <f t="shared" si="20"/>
        <v>Jul-2023</v>
      </c>
      <c r="P315">
        <f t="shared" si="21"/>
        <v>2023</v>
      </c>
      <c r="Q315" t="str">
        <f t="shared" si="22"/>
        <v>OK</v>
      </c>
      <c r="R315">
        <v>1</v>
      </c>
      <c r="S315">
        <f t="shared" si="23"/>
        <v>0</v>
      </c>
      <c r="T315">
        <f t="shared" si="24"/>
        <v>0</v>
      </c>
    </row>
    <row r="316" spans="1:20">
      <c r="A316" t="s">
        <v>1252</v>
      </c>
      <c r="B316" s="3">
        <v>45203</v>
      </c>
      <c r="C316" t="s">
        <v>1253</v>
      </c>
      <c r="D316" t="s">
        <v>79</v>
      </c>
      <c r="E316">
        <v>4</v>
      </c>
      <c r="F316" s="4">
        <v>153.09</v>
      </c>
      <c r="G316" t="s">
        <v>1254</v>
      </c>
      <c r="H316" t="s">
        <v>33</v>
      </c>
      <c r="I316" t="s">
        <v>56</v>
      </c>
      <c r="J316" t="s">
        <v>1255</v>
      </c>
      <c r="K316">
        <v>4</v>
      </c>
      <c r="L316" t="s">
        <v>43</v>
      </c>
      <c r="M316" t="s">
        <v>35</v>
      </c>
      <c r="N316" s="4">
        <v>612.36</v>
      </c>
      <c r="O316" s="19" t="str">
        <f t="shared" si="20"/>
        <v>Oct-2023</v>
      </c>
      <c r="P316">
        <f t="shared" si="21"/>
        <v>2023</v>
      </c>
      <c r="Q316" t="str">
        <f t="shared" si="22"/>
        <v>OK</v>
      </c>
      <c r="R316">
        <v>1</v>
      </c>
      <c r="S316">
        <f t="shared" si="23"/>
        <v>0</v>
      </c>
      <c r="T316">
        <f t="shared" si="24"/>
        <v>0</v>
      </c>
    </row>
    <row r="317" spans="1:20">
      <c r="A317" t="s">
        <v>1256</v>
      </c>
      <c r="B317" s="3">
        <v>45789</v>
      </c>
      <c r="C317" t="s">
        <v>1257</v>
      </c>
      <c r="D317" t="s">
        <v>38</v>
      </c>
      <c r="E317">
        <v>5</v>
      </c>
      <c r="F317" s="4">
        <v>91.67</v>
      </c>
      <c r="G317" t="s">
        <v>1258</v>
      </c>
      <c r="H317" t="s">
        <v>33</v>
      </c>
      <c r="I317" t="s">
        <v>41</v>
      </c>
      <c r="J317" t="s">
        <v>1259</v>
      </c>
      <c r="K317">
        <v>9</v>
      </c>
      <c r="L317" t="s">
        <v>43</v>
      </c>
      <c r="M317" t="s">
        <v>44</v>
      </c>
      <c r="N317" s="4">
        <v>458.35</v>
      </c>
      <c r="O317" s="19" t="str">
        <f t="shared" si="20"/>
        <v>May-2025</v>
      </c>
      <c r="P317">
        <f t="shared" si="21"/>
        <v>2025</v>
      </c>
      <c r="Q317" t="str">
        <f t="shared" si="22"/>
        <v>OK</v>
      </c>
      <c r="R317">
        <v>1</v>
      </c>
      <c r="S317">
        <f t="shared" si="23"/>
        <v>1</v>
      </c>
      <c r="T317">
        <f t="shared" si="24"/>
        <v>0</v>
      </c>
    </row>
    <row r="318" spans="1:20">
      <c r="A318" t="s">
        <v>1260</v>
      </c>
      <c r="B318" s="3">
        <v>45201</v>
      </c>
      <c r="C318" t="s">
        <v>1261</v>
      </c>
      <c r="D318" t="s">
        <v>79</v>
      </c>
      <c r="E318">
        <v>4</v>
      </c>
      <c r="F318" s="4">
        <v>275.27999999999997</v>
      </c>
      <c r="G318" t="s">
        <v>1262</v>
      </c>
      <c r="H318" t="s">
        <v>66</v>
      </c>
      <c r="I318" t="s">
        <v>25</v>
      </c>
      <c r="J318" t="s">
        <v>1263</v>
      </c>
      <c r="K318">
        <v>9</v>
      </c>
      <c r="L318" t="s">
        <v>87</v>
      </c>
      <c r="M318" t="s">
        <v>51</v>
      </c>
      <c r="N318" s="4">
        <v>1101.1199999999999</v>
      </c>
      <c r="O318" s="19" t="str">
        <f t="shared" si="20"/>
        <v>Oct-2023</v>
      </c>
      <c r="P318">
        <f t="shared" si="21"/>
        <v>2023</v>
      </c>
      <c r="Q318" t="str">
        <f t="shared" si="22"/>
        <v>OK</v>
      </c>
      <c r="R318">
        <v>1</v>
      </c>
      <c r="S318">
        <f t="shared" si="23"/>
        <v>0</v>
      </c>
      <c r="T318">
        <f t="shared" si="24"/>
        <v>0</v>
      </c>
    </row>
    <row r="319" spans="1:20">
      <c r="A319" t="s">
        <v>1264</v>
      </c>
      <c r="B319" s="3">
        <v>45026</v>
      </c>
      <c r="C319" t="s">
        <v>1265</v>
      </c>
      <c r="D319" t="s">
        <v>22</v>
      </c>
      <c r="E319">
        <v>2</v>
      </c>
      <c r="F319" s="4">
        <v>139.94999999999999</v>
      </c>
      <c r="G319" t="s">
        <v>1266</v>
      </c>
      <c r="H319" t="s">
        <v>33</v>
      </c>
      <c r="I319" t="s">
        <v>49</v>
      </c>
      <c r="J319" t="s">
        <v>1267</v>
      </c>
      <c r="K319">
        <v>5</v>
      </c>
      <c r="M319" t="s">
        <v>28</v>
      </c>
      <c r="N319" s="4">
        <v>279.89999999999998</v>
      </c>
      <c r="O319" s="19" t="str">
        <f t="shared" si="20"/>
        <v>Apr-2023</v>
      </c>
      <c r="P319">
        <f t="shared" si="21"/>
        <v>2023</v>
      </c>
      <c r="Q319" t="str">
        <f t="shared" si="22"/>
        <v>OK</v>
      </c>
      <c r="R319">
        <v>1</v>
      </c>
      <c r="S319">
        <f t="shared" si="23"/>
        <v>0</v>
      </c>
      <c r="T319">
        <f t="shared" si="24"/>
        <v>1</v>
      </c>
    </row>
    <row r="320" spans="1:20">
      <c r="A320" t="s">
        <v>1268</v>
      </c>
      <c r="B320" s="3">
        <v>45500</v>
      </c>
      <c r="C320" t="s">
        <v>1269</v>
      </c>
      <c r="D320" t="s">
        <v>47</v>
      </c>
      <c r="E320">
        <v>3</v>
      </c>
      <c r="F320" s="4">
        <v>148.72</v>
      </c>
      <c r="G320" t="s">
        <v>872</v>
      </c>
      <c r="H320" t="s">
        <v>24</v>
      </c>
      <c r="I320" t="s">
        <v>41</v>
      </c>
      <c r="J320" t="s">
        <v>1270</v>
      </c>
      <c r="K320">
        <v>7</v>
      </c>
      <c r="L320" t="s">
        <v>27</v>
      </c>
      <c r="M320" t="s">
        <v>82</v>
      </c>
      <c r="N320" s="4">
        <v>446.16</v>
      </c>
      <c r="O320" s="19" t="str">
        <f t="shared" si="20"/>
        <v>Jul-2024</v>
      </c>
      <c r="P320">
        <f t="shared" si="21"/>
        <v>2024</v>
      </c>
      <c r="Q320" t="str">
        <f t="shared" si="22"/>
        <v>OK</v>
      </c>
      <c r="R320">
        <v>1</v>
      </c>
      <c r="S320">
        <f t="shared" si="23"/>
        <v>1</v>
      </c>
      <c r="T320">
        <f t="shared" si="24"/>
        <v>0</v>
      </c>
    </row>
    <row r="321" spans="1:20">
      <c r="A321" t="s">
        <v>1271</v>
      </c>
      <c r="B321" s="3">
        <v>45262</v>
      </c>
      <c r="C321" t="s">
        <v>1272</v>
      </c>
      <c r="D321" t="s">
        <v>64</v>
      </c>
      <c r="E321">
        <v>2</v>
      </c>
      <c r="F321" s="4">
        <v>563.05999999999995</v>
      </c>
      <c r="G321" t="s">
        <v>1273</v>
      </c>
      <c r="H321" t="s">
        <v>71</v>
      </c>
      <c r="I321" t="s">
        <v>49</v>
      </c>
      <c r="J321" t="s">
        <v>1274</v>
      </c>
      <c r="K321">
        <v>6</v>
      </c>
      <c r="M321" t="s">
        <v>28</v>
      </c>
      <c r="N321" s="4">
        <v>1126.1199999999999</v>
      </c>
      <c r="O321" s="19" t="str">
        <f t="shared" si="20"/>
        <v>Dec-2023</v>
      </c>
      <c r="P321">
        <f t="shared" si="21"/>
        <v>2023</v>
      </c>
      <c r="Q321" t="str">
        <f t="shared" si="22"/>
        <v>OK</v>
      </c>
      <c r="R321">
        <v>1</v>
      </c>
      <c r="S321">
        <f t="shared" si="23"/>
        <v>0</v>
      </c>
      <c r="T321">
        <f t="shared" si="24"/>
        <v>1</v>
      </c>
    </row>
    <row r="322" spans="1:20">
      <c r="A322" t="s">
        <v>1275</v>
      </c>
      <c r="B322" s="3">
        <v>45645</v>
      </c>
      <c r="C322" t="s">
        <v>1276</v>
      </c>
      <c r="D322" t="s">
        <v>54</v>
      </c>
      <c r="E322">
        <v>1</v>
      </c>
      <c r="F322" s="4">
        <v>625.51</v>
      </c>
      <c r="G322" t="s">
        <v>1277</v>
      </c>
      <c r="H322" t="s">
        <v>40</v>
      </c>
      <c r="I322" t="s">
        <v>25</v>
      </c>
      <c r="J322" t="s">
        <v>1278</v>
      </c>
      <c r="K322">
        <v>1</v>
      </c>
      <c r="L322" t="s">
        <v>43</v>
      </c>
      <c r="M322" t="s">
        <v>51</v>
      </c>
      <c r="N322" s="4">
        <v>625.51</v>
      </c>
      <c r="O322" s="19" t="str">
        <f t="shared" ref="O322:O385" si="25">TEXT(B322,"mmm-yyyy")</f>
        <v>Dec-2024</v>
      </c>
      <c r="P322">
        <f t="shared" ref="P322:P385" si="26">YEAR(B322)</f>
        <v>2024</v>
      </c>
      <c r="Q322" t="str">
        <f t="shared" ref="Q322:Q385" si="27">IF(ABS(N322-(E322*F322))&lt;0.01,"OK","CHECK")</f>
        <v>OK</v>
      </c>
      <c r="R322">
        <v>1</v>
      </c>
      <c r="S322">
        <f t="shared" ref="S322:S385" si="28">IF(I322="Cancelled",1,0)</f>
        <v>0</v>
      </c>
      <c r="T322">
        <f t="shared" ref="T322:T385" si="29">IF(I322="Returned",1,0)</f>
        <v>0</v>
      </c>
    </row>
    <row r="323" spans="1:20">
      <c r="A323" t="s">
        <v>1279</v>
      </c>
      <c r="B323" s="3">
        <v>45147</v>
      </c>
      <c r="C323" t="s">
        <v>1280</v>
      </c>
      <c r="D323" t="s">
        <v>31</v>
      </c>
      <c r="E323">
        <v>4</v>
      </c>
      <c r="F323" s="4">
        <v>152.29</v>
      </c>
      <c r="G323" t="s">
        <v>1228</v>
      </c>
      <c r="H323" t="s">
        <v>24</v>
      </c>
      <c r="I323" t="s">
        <v>41</v>
      </c>
      <c r="J323" t="s">
        <v>1281</v>
      </c>
      <c r="K323">
        <v>6</v>
      </c>
      <c r="L323" t="s">
        <v>87</v>
      </c>
      <c r="M323" t="s">
        <v>82</v>
      </c>
      <c r="N323" s="4">
        <v>609.16</v>
      </c>
      <c r="O323" s="19" t="str">
        <f t="shared" si="25"/>
        <v>Aug-2023</v>
      </c>
      <c r="P323">
        <f t="shared" si="26"/>
        <v>2023</v>
      </c>
      <c r="Q323" t="str">
        <f t="shared" si="27"/>
        <v>OK</v>
      </c>
      <c r="R323">
        <v>1</v>
      </c>
      <c r="S323">
        <f t="shared" si="28"/>
        <v>1</v>
      </c>
      <c r="T323">
        <f t="shared" si="29"/>
        <v>0</v>
      </c>
    </row>
    <row r="324" spans="1:20">
      <c r="A324" t="s">
        <v>1282</v>
      </c>
      <c r="B324" s="3">
        <v>45457</v>
      </c>
      <c r="C324" t="s">
        <v>1283</v>
      </c>
      <c r="D324" t="s">
        <v>31</v>
      </c>
      <c r="E324">
        <v>5</v>
      </c>
      <c r="F324" s="4">
        <v>231.82</v>
      </c>
      <c r="G324" t="s">
        <v>1266</v>
      </c>
      <c r="H324" t="s">
        <v>24</v>
      </c>
      <c r="I324" t="s">
        <v>56</v>
      </c>
      <c r="J324" t="s">
        <v>1284</v>
      </c>
      <c r="K324">
        <v>6</v>
      </c>
      <c r="L324" t="s">
        <v>27</v>
      </c>
      <c r="M324" t="s">
        <v>51</v>
      </c>
      <c r="N324" s="4">
        <v>1159.0999999999999</v>
      </c>
      <c r="O324" s="19" t="str">
        <f t="shared" si="25"/>
        <v>Jun-2024</v>
      </c>
      <c r="P324">
        <f t="shared" si="26"/>
        <v>2024</v>
      </c>
      <c r="Q324" t="str">
        <f t="shared" si="27"/>
        <v>OK</v>
      </c>
      <c r="R324">
        <v>1</v>
      </c>
      <c r="S324">
        <f t="shared" si="28"/>
        <v>0</v>
      </c>
      <c r="T324">
        <f t="shared" si="29"/>
        <v>0</v>
      </c>
    </row>
    <row r="325" spans="1:20">
      <c r="A325" t="s">
        <v>1285</v>
      </c>
      <c r="B325" s="3">
        <v>45683</v>
      </c>
      <c r="C325" t="s">
        <v>1286</v>
      </c>
      <c r="D325" t="s">
        <v>64</v>
      </c>
      <c r="E325">
        <v>1</v>
      </c>
      <c r="F325" s="4">
        <v>150.16999999999999</v>
      </c>
      <c r="G325" t="s">
        <v>1287</v>
      </c>
      <c r="H325" t="s">
        <v>24</v>
      </c>
      <c r="I325" t="s">
        <v>49</v>
      </c>
      <c r="J325" t="s">
        <v>1288</v>
      </c>
      <c r="K325">
        <v>1</v>
      </c>
      <c r="L325" t="s">
        <v>27</v>
      </c>
      <c r="M325" t="s">
        <v>35</v>
      </c>
      <c r="N325" s="4">
        <v>150.16999999999999</v>
      </c>
      <c r="O325" s="19" t="str">
        <f t="shared" si="25"/>
        <v>Jan-2025</v>
      </c>
      <c r="P325">
        <f t="shared" si="26"/>
        <v>2025</v>
      </c>
      <c r="Q325" t="str">
        <f t="shared" si="27"/>
        <v>OK</v>
      </c>
      <c r="R325">
        <v>1</v>
      </c>
      <c r="S325">
        <f t="shared" si="28"/>
        <v>0</v>
      </c>
      <c r="T325">
        <f t="shared" si="29"/>
        <v>1</v>
      </c>
    </row>
    <row r="326" spans="1:20">
      <c r="A326" t="s">
        <v>1289</v>
      </c>
      <c r="B326" s="3">
        <v>45456</v>
      </c>
      <c r="C326" t="s">
        <v>1290</v>
      </c>
      <c r="D326" t="s">
        <v>38</v>
      </c>
      <c r="E326">
        <v>3</v>
      </c>
      <c r="F326" s="4">
        <v>70.930000000000007</v>
      </c>
      <c r="G326" t="s">
        <v>1291</v>
      </c>
      <c r="H326" t="s">
        <v>24</v>
      </c>
      <c r="I326" t="s">
        <v>49</v>
      </c>
      <c r="J326" t="s">
        <v>1292</v>
      </c>
      <c r="K326">
        <v>5</v>
      </c>
      <c r="M326" t="s">
        <v>35</v>
      </c>
      <c r="N326" s="4">
        <v>212.79</v>
      </c>
      <c r="O326" s="19" t="str">
        <f t="shared" si="25"/>
        <v>Jun-2024</v>
      </c>
      <c r="P326">
        <f t="shared" si="26"/>
        <v>2024</v>
      </c>
      <c r="Q326" t="str">
        <f t="shared" si="27"/>
        <v>OK</v>
      </c>
      <c r="R326">
        <v>1</v>
      </c>
      <c r="S326">
        <f t="shared" si="28"/>
        <v>0</v>
      </c>
      <c r="T326">
        <f t="shared" si="29"/>
        <v>1</v>
      </c>
    </row>
    <row r="327" spans="1:20">
      <c r="A327" t="s">
        <v>1293</v>
      </c>
      <c r="B327" s="3">
        <v>45106</v>
      </c>
      <c r="C327" t="s">
        <v>1294</v>
      </c>
      <c r="D327" t="s">
        <v>79</v>
      </c>
      <c r="E327">
        <v>3</v>
      </c>
      <c r="F327" s="4">
        <v>361.39</v>
      </c>
      <c r="G327" t="s">
        <v>1295</v>
      </c>
      <c r="H327" t="s">
        <v>40</v>
      </c>
      <c r="I327" t="s">
        <v>25</v>
      </c>
      <c r="J327" t="s">
        <v>1296</v>
      </c>
      <c r="K327">
        <v>8</v>
      </c>
      <c r="M327" t="s">
        <v>35</v>
      </c>
      <c r="N327" s="4">
        <v>1084.17</v>
      </c>
      <c r="O327" s="19" t="str">
        <f t="shared" si="25"/>
        <v>Jun-2023</v>
      </c>
      <c r="P327">
        <f t="shared" si="26"/>
        <v>2023</v>
      </c>
      <c r="Q327" t="str">
        <f t="shared" si="27"/>
        <v>OK</v>
      </c>
      <c r="R327">
        <v>1</v>
      </c>
      <c r="S327">
        <f t="shared" si="28"/>
        <v>0</v>
      </c>
      <c r="T327">
        <f t="shared" si="29"/>
        <v>0</v>
      </c>
    </row>
    <row r="328" spans="1:20">
      <c r="A328" t="s">
        <v>1297</v>
      </c>
      <c r="B328" s="3">
        <v>45474</v>
      </c>
      <c r="C328" t="s">
        <v>1298</v>
      </c>
      <c r="D328" t="s">
        <v>64</v>
      </c>
      <c r="E328">
        <v>5</v>
      </c>
      <c r="F328" s="4">
        <v>670.48</v>
      </c>
      <c r="G328" t="s">
        <v>123</v>
      </c>
      <c r="H328" t="s">
        <v>66</v>
      </c>
      <c r="I328" t="s">
        <v>49</v>
      </c>
      <c r="J328" t="s">
        <v>1299</v>
      </c>
      <c r="K328">
        <v>5</v>
      </c>
      <c r="L328" t="s">
        <v>27</v>
      </c>
      <c r="M328" t="s">
        <v>51</v>
      </c>
      <c r="N328" s="4">
        <v>3352.4</v>
      </c>
      <c r="O328" s="19" t="str">
        <f t="shared" si="25"/>
        <v>Jul-2024</v>
      </c>
      <c r="P328">
        <f t="shared" si="26"/>
        <v>2024</v>
      </c>
      <c r="Q328" t="str">
        <f t="shared" si="27"/>
        <v>OK</v>
      </c>
      <c r="R328">
        <v>1</v>
      </c>
      <c r="S328">
        <f t="shared" si="28"/>
        <v>0</v>
      </c>
      <c r="T328">
        <f t="shared" si="29"/>
        <v>1</v>
      </c>
    </row>
    <row r="329" spans="1:20">
      <c r="A329" t="s">
        <v>1300</v>
      </c>
      <c r="B329" s="3">
        <v>45132</v>
      </c>
      <c r="C329" t="s">
        <v>1301</v>
      </c>
      <c r="D329" t="s">
        <v>31</v>
      </c>
      <c r="E329">
        <v>1</v>
      </c>
      <c r="F329" s="4">
        <v>359.99</v>
      </c>
      <c r="G329" t="s">
        <v>303</v>
      </c>
      <c r="H329" t="s">
        <v>66</v>
      </c>
      <c r="I329" t="s">
        <v>41</v>
      </c>
      <c r="J329" t="s">
        <v>1302</v>
      </c>
      <c r="K329">
        <v>5</v>
      </c>
      <c r="L329" t="s">
        <v>27</v>
      </c>
      <c r="M329" t="s">
        <v>44</v>
      </c>
      <c r="N329" s="4">
        <v>359.99</v>
      </c>
      <c r="O329" s="19" t="str">
        <f t="shared" si="25"/>
        <v>Jul-2023</v>
      </c>
      <c r="P329">
        <f t="shared" si="26"/>
        <v>2023</v>
      </c>
      <c r="Q329" t="str">
        <f t="shared" si="27"/>
        <v>OK</v>
      </c>
      <c r="R329">
        <v>1</v>
      </c>
      <c r="S329">
        <f t="shared" si="28"/>
        <v>1</v>
      </c>
      <c r="T329">
        <f t="shared" si="29"/>
        <v>0</v>
      </c>
    </row>
    <row r="330" spans="1:20">
      <c r="A330" t="s">
        <v>1303</v>
      </c>
      <c r="B330" s="3">
        <v>44985</v>
      </c>
      <c r="C330" t="s">
        <v>1304</v>
      </c>
      <c r="D330" t="s">
        <v>38</v>
      </c>
      <c r="E330">
        <v>5</v>
      </c>
      <c r="F330" s="4">
        <v>674.04</v>
      </c>
      <c r="G330" t="s">
        <v>1305</v>
      </c>
      <c r="H330" t="s">
        <v>33</v>
      </c>
      <c r="I330" t="s">
        <v>41</v>
      </c>
      <c r="J330" t="s">
        <v>1306</v>
      </c>
      <c r="K330">
        <v>7</v>
      </c>
      <c r="L330" t="s">
        <v>27</v>
      </c>
      <c r="M330" t="s">
        <v>82</v>
      </c>
      <c r="N330" s="4">
        <v>3370.2</v>
      </c>
      <c r="O330" s="19" t="str">
        <f t="shared" si="25"/>
        <v>Feb-2023</v>
      </c>
      <c r="P330">
        <f t="shared" si="26"/>
        <v>2023</v>
      </c>
      <c r="Q330" t="str">
        <f t="shared" si="27"/>
        <v>OK</v>
      </c>
      <c r="R330">
        <v>1</v>
      </c>
      <c r="S330">
        <f t="shared" si="28"/>
        <v>1</v>
      </c>
      <c r="T330">
        <f t="shared" si="29"/>
        <v>0</v>
      </c>
    </row>
    <row r="331" spans="1:20">
      <c r="A331" t="s">
        <v>1307</v>
      </c>
      <c r="B331" s="3">
        <v>45651</v>
      </c>
      <c r="C331" t="s">
        <v>1308</v>
      </c>
      <c r="D331" t="s">
        <v>47</v>
      </c>
      <c r="E331">
        <v>4</v>
      </c>
      <c r="F331" s="4">
        <v>283.16000000000003</v>
      </c>
      <c r="G331" t="s">
        <v>994</v>
      </c>
      <c r="H331" t="s">
        <v>40</v>
      </c>
      <c r="I331" t="s">
        <v>25</v>
      </c>
      <c r="J331" t="s">
        <v>1309</v>
      </c>
      <c r="K331">
        <v>6</v>
      </c>
      <c r="M331" t="s">
        <v>82</v>
      </c>
      <c r="N331" s="4">
        <v>1132.6400000000001</v>
      </c>
      <c r="O331" s="19" t="str">
        <f t="shared" si="25"/>
        <v>Dec-2024</v>
      </c>
      <c r="P331">
        <f t="shared" si="26"/>
        <v>2024</v>
      </c>
      <c r="Q331" t="str">
        <f t="shared" si="27"/>
        <v>OK</v>
      </c>
      <c r="R331">
        <v>1</v>
      </c>
      <c r="S331">
        <f t="shared" si="28"/>
        <v>0</v>
      </c>
      <c r="T331">
        <f t="shared" si="29"/>
        <v>0</v>
      </c>
    </row>
    <row r="332" spans="1:20">
      <c r="A332" t="s">
        <v>1310</v>
      </c>
      <c r="B332" s="3">
        <v>45445</v>
      </c>
      <c r="C332" t="s">
        <v>1311</v>
      </c>
      <c r="D332" t="s">
        <v>79</v>
      </c>
      <c r="E332">
        <v>5</v>
      </c>
      <c r="F332" s="4">
        <v>260.52999999999997</v>
      </c>
      <c r="G332" t="s">
        <v>1312</v>
      </c>
      <c r="H332" t="s">
        <v>66</v>
      </c>
      <c r="I332" t="s">
        <v>95</v>
      </c>
      <c r="J332" t="s">
        <v>1313</v>
      </c>
      <c r="K332">
        <v>5</v>
      </c>
      <c r="L332" t="s">
        <v>27</v>
      </c>
      <c r="M332" t="s">
        <v>28</v>
      </c>
      <c r="N332" s="4">
        <v>1302.6500000000001</v>
      </c>
      <c r="O332" s="19" t="str">
        <f t="shared" si="25"/>
        <v>Jun-2024</v>
      </c>
      <c r="P332">
        <f t="shared" si="26"/>
        <v>2024</v>
      </c>
      <c r="Q332" t="str">
        <f t="shared" si="27"/>
        <v>OK</v>
      </c>
      <c r="R332">
        <v>1</v>
      </c>
      <c r="S332">
        <f t="shared" si="28"/>
        <v>0</v>
      </c>
      <c r="T332">
        <f t="shared" si="29"/>
        <v>0</v>
      </c>
    </row>
    <row r="333" spans="1:20">
      <c r="A333" t="s">
        <v>1314</v>
      </c>
      <c r="B333" s="3">
        <v>45031</v>
      </c>
      <c r="C333" t="s">
        <v>1315</v>
      </c>
      <c r="D333" t="s">
        <v>54</v>
      </c>
      <c r="E333">
        <v>3</v>
      </c>
      <c r="F333" s="4">
        <v>422.13</v>
      </c>
      <c r="G333" t="s">
        <v>516</v>
      </c>
      <c r="H333" t="s">
        <v>33</v>
      </c>
      <c r="I333" t="s">
        <v>56</v>
      </c>
      <c r="J333" t="s">
        <v>1316</v>
      </c>
      <c r="K333">
        <v>7</v>
      </c>
      <c r="L333" t="s">
        <v>27</v>
      </c>
      <c r="M333" t="s">
        <v>51</v>
      </c>
      <c r="N333" s="4">
        <v>1266.3900000000001</v>
      </c>
      <c r="O333" s="19" t="str">
        <f t="shared" si="25"/>
        <v>Apr-2023</v>
      </c>
      <c r="P333">
        <f t="shared" si="26"/>
        <v>2023</v>
      </c>
      <c r="Q333" t="str">
        <f t="shared" si="27"/>
        <v>OK</v>
      </c>
      <c r="R333">
        <v>1</v>
      </c>
      <c r="S333">
        <f t="shared" si="28"/>
        <v>0</v>
      </c>
      <c r="T333">
        <f t="shared" si="29"/>
        <v>0</v>
      </c>
    </row>
    <row r="334" spans="1:20">
      <c r="A334" t="s">
        <v>1317</v>
      </c>
      <c r="B334" s="3">
        <v>45476</v>
      </c>
      <c r="C334" t="s">
        <v>1318</v>
      </c>
      <c r="D334" t="s">
        <v>79</v>
      </c>
      <c r="E334">
        <v>5</v>
      </c>
      <c r="F334" s="4">
        <v>125.02</v>
      </c>
      <c r="G334" t="s">
        <v>1319</v>
      </c>
      <c r="H334" t="s">
        <v>24</v>
      </c>
      <c r="I334" t="s">
        <v>95</v>
      </c>
      <c r="J334" t="s">
        <v>1320</v>
      </c>
      <c r="K334">
        <v>9</v>
      </c>
      <c r="L334" t="s">
        <v>27</v>
      </c>
      <c r="M334" t="s">
        <v>82</v>
      </c>
      <c r="N334" s="4">
        <v>625.1</v>
      </c>
      <c r="O334" s="19" t="str">
        <f t="shared" si="25"/>
        <v>Jul-2024</v>
      </c>
      <c r="P334">
        <f t="shared" si="26"/>
        <v>2024</v>
      </c>
      <c r="Q334" t="str">
        <f t="shared" si="27"/>
        <v>OK</v>
      </c>
      <c r="R334">
        <v>1</v>
      </c>
      <c r="S334">
        <f t="shared" si="28"/>
        <v>0</v>
      </c>
      <c r="T334">
        <f t="shared" si="29"/>
        <v>0</v>
      </c>
    </row>
    <row r="335" spans="1:20">
      <c r="A335" t="s">
        <v>1321</v>
      </c>
      <c r="B335" s="3">
        <v>45398</v>
      </c>
      <c r="C335" t="s">
        <v>1322</v>
      </c>
      <c r="D335" t="s">
        <v>31</v>
      </c>
      <c r="E335">
        <v>1</v>
      </c>
      <c r="F335" s="4">
        <v>198.51</v>
      </c>
      <c r="G335" t="s">
        <v>1323</v>
      </c>
      <c r="H335" t="s">
        <v>40</v>
      </c>
      <c r="I335" t="s">
        <v>49</v>
      </c>
      <c r="J335" t="s">
        <v>1324</v>
      </c>
      <c r="K335">
        <v>5</v>
      </c>
      <c r="L335" t="s">
        <v>87</v>
      </c>
      <c r="M335" t="s">
        <v>28</v>
      </c>
      <c r="N335" s="4">
        <v>198.51</v>
      </c>
      <c r="O335" s="19" t="str">
        <f t="shared" si="25"/>
        <v>Apr-2024</v>
      </c>
      <c r="P335">
        <f t="shared" si="26"/>
        <v>2024</v>
      </c>
      <c r="Q335" t="str">
        <f t="shared" si="27"/>
        <v>OK</v>
      </c>
      <c r="R335">
        <v>1</v>
      </c>
      <c r="S335">
        <f t="shared" si="28"/>
        <v>0</v>
      </c>
      <c r="T335">
        <f t="shared" si="29"/>
        <v>1</v>
      </c>
    </row>
    <row r="336" spans="1:20">
      <c r="A336" t="s">
        <v>1325</v>
      </c>
      <c r="B336" s="3">
        <v>45377</v>
      </c>
      <c r="C336" t="s">
        <v>1326</v>
      </c>
      <c r="D336" t="s">
        <v>47</v>
      </c>
      <c r="E336">
        <v>4</v>
      </c>
      <c r="F336" s="4">
        <v>224.75</v>
      </c>
      <c r="G336" t="s">
        <v>1327</v>
      </c>
      <c r="H336" t="s">
        <v>33</v>
      </c>
      <c r="I336" t="s">
        <v>56</v>
      </c>
      <c r="J336" t="s">
        <v>1328</v>
      </c>
      <c r="K336">
        <v>7</v>
      </c>
      <c r="L336" t="s">
        <v>87</v>
      </c>
      <c r="M336" t="s">
        <v>51</v>
      </c>
      <c r="N336" s="4">
        <v>899</v>
      </c>
      <c r="O336" s="19" t="str">
        <f t="shared" si="25"/>
        <v>Mar-2024</v>
      </c>
      <c r="P336">
        <f t="shared" si="26"/>
        <v>2024</v>
      </c>
      <c r="Q336" t="str">
        <f t="shared" si="27"/>
        <v>OK</v>
      </c>
      <c r="R336">
        <v>1</v>
      </c>
      <c r="S336">
        <f t="shared" si="28"/>
        <v>0</v>
      </c>
      <c r="T336">
        <f t="shared" si="29"/>
        <v>0</v>
      </c>
    </row>
    <row r="337" spans="1:20">
      <c r="A337" t="s">
        <v>1329</v>
      </c>
      <c r="B337" s="3">
        <v>45719</v>
      </c>
      <c r="C337" t="s">
        <v>1330</v>
      </c>
      <c r="D337" t="s">
        <v>38</v>
      </c>
      <c r="E337">
        <v>3</v>
      </c>
      <c r="F337" s="4">
        <v>205.86</v>
      </c>
      <c r="G337" t="s">
        <v>1250</v>
      </c>
      <c r="H337" t="s">
        <v>66</v>
      </c>
      <c r="I337" t="s">
        <v>25</v>
      </c>
      <c r="J337" t="s">
        <v>1331</v>
      </c>
      <c r="K337">
        <v>4</v>
      </c>
      <c r="M337" t="s">
        <v>44</v>
      </c>
      <c r="N337" s="4">
        <v>617.58000000000004</v>
      </c>
      <c r="O337" s="19" t="str">
        <f t="shared" si="25"/>
        <v>Mar-2025</v>
      </c>
      <c r="P337">
        <f t="shared" si="26"/>
        <v>2025</v>
      </c>
      <c r="Q337" t="str">
        <f t="shared" si="27"/>
        <v>OK</v>
      </c>
      <c r="R337">
        <v>1</v>
      </c>
      <c r="S337">
        <f t="shared" si="28"/>
        <v>0</v>
      </c>
      <c r="T337">
        <f t="shared" si="29"/>
        <v>0</v>
      </c>
    </row>
    <row r="338" spans="1:20">
      <c r="A338" t="s">
        <v>1332</v>
      </c>
      <c r="B338" s="3">
        <v>45289</v>
      </c>
      <c r="C338" t="s">
        <v>1333</v>
      </c>
      <c r="D338" t="s">
        <v>64</v>
      </c>
      <c r="E338">
        <v>1</v>
      </c>
      <c r="F338" s="4">
        <v>18.2</v>
      </c>
      <c r="G338" t="s">
        <v>1334</v>
      </c>
      <c r="H338" t="s">
        <v>24</v>
      </c>
      <c r="I338" t="s">
        <v>95</v>
      </c>
      <c r="J338" t="s">
        <v>1335</v>
      </c>
      <c r="K338">
        <v>4</v>
      </c>
      <c r="L338" t="s">
        <v>27</v>
      </c>
      <c r="M338" t="s">
        <v>28</v>
      </c>
      <c r="N338" s="4">
        <v>18.2</v>
      </c>
      <c r="O338" s="19" t="str">
        <f t="shared" si="25"/>
        <v>Dec-2023</v>
      </c>
      <c r="P338">
        <f t="shared" si="26"/>
        <v>2023</v>
      </c>
      <c r="Q338" t="str">
        <f t="shared" si="27"/>
        <v>OK</v>
      </c>
      <c r="R338">
        <v>1</v>
      </c>
      <c r="S338">
        <f t="shared" si="28"/>
        <v>0</v>
      </c>
      <c r="T338">
        <f t="shared" si="29"/>
        <v>0</v>
      </c>
    </row>
    <row r="339" spans="1:20">
      <c r="A339" t="s">
        <v>1336</v>
      </c>
      <c r="B339" s="3">
        <v>45075</v>
      </c>
      <c r="C339" t="s">
        <v>1337</v>
      </c>
      <c r="D339" t="s">
        <v>38</v>
      </c>
      <c r="E339">
        <v>3</v>
      </c>
      <c r="F339" s="4">
        <v>502.77</v>
      </c>
      <c r="G339" t="s">
        <v>1338</v>
      </c>
      <c r="H339" t="s">
        <v>24</v>
      </c>
      <c r="I339" t="s">
        <v>49</v>
      </c>
      <c r="J339" t="s">
        <v>1339</v>
      </c>
      <c r="K339">
        <v>8</v>
      </c>
      <c r="L339" t="s">
        <v>87</v>
      </c>
      <c r="M339" t="s">
        <v>44</v>
      </c>
      <c r="N339" s="4">
        <v>1508.31</v>
      </c>
      <c r="O339" s="19" t="str">
        <f t="shared" si="25"/>
        <v>May-2023</v>
      </c>
      <c r="P339">
        <f t="shared" si="26"/>
        <v>2023</v>
      </c>
      <c r="Q339" t="str">
        <f t="shared" si="27"/>
        <v>OK</v>
      </c>
      <c r="R339">
        <v>1</v>
      </c>
      <c r="S339">
        <f t="shared" si="28"/>
        <v>0</v>
      </c>
      <c r="T339">
        <f t="shared" si="29"/>
        <v>1</v>
      </c>
    </row>
    <row r="340" spans="1:20">
      <c r="A340" t="s">
        <v>1340</v>
      </c>
      <c r="B340" s="3">
        <v>45238</v>
      </c>
      <c r="C340" t="s">
        <v>1341</v>
      </c>
      <c r="D340" t="s">
        <v>31</v>
      </c>
      <c r="E340">
        <v>5</v>
      </c>
      <c r="F340" s="4">
        <v>305.49</v>
      </c>
      <c r="G340" t="s">
        <v>1342</v>
      </c>
      <c r="H340" t="s">
        <v>24</v>
      </c>
      <c r="I340" t="s">
        <v>25</v>
      </c>
      <c r="J340" t="s">
        <v>1343</v>
      </c>
      <c r="K340">
        <v>10</v>
      </c>
      <c r="M340" t="s">
        <v>35</v>
      </c>
      <c r="N340" s="4">
        <v>1527.45</v>
      </c>
      <c r="O340" s="19" t="str">
        <f t="shared" si="25"/>
        <v>Nov-2023</v>
      </c>
      <c r="P340">
        <f t="shared" si="26"/>
        <v>2023</v>
      </c>
      <c r="Q340" t="str">
        <f t="shared" si="27"/>
        <v>OK</v>
      </c>
      <c r="R340">
        <v>1</v>
      </c>
      <c r="S340">
        <f t="shared" si="28"/>
        <v>0</v>
      </c>
      <c r="T340">
        <f t="shared" si="29"/>
        <v>0</v>
      </c>
    </row>
    <row r="341" spans="1:20">
      <c r="A341" t="s">
        <v>1344</v>
      </c>
      <c r="B341" s="3">
        <v>45392</v>
      </c>
      <c r="C341" t="s">
        <v>1345</v>
      </c>
      <c r="D341" t="s">
        <v>54</v>
      </c>
      <c r="E341">
        <v>2</v>
      </c>
      <c r="F341" s="4">
        <v>236.33</v>
      </c>
      <c r="G341" t="s">
        <v>1346</v>
      </c>
      <c r="H341" t="s">
        <v>33</v>
      </c>
      <c r="I341" t="s">
        <v>95</v>
      </c>
      <c r="J341" t="s">
        <v>1347</v>
      </c>
      <c r="K341">
        <v>3</v>
      </c>
      <c r="L341" t="s">
        <v>27</v>
      </c>
      <c r="M341" t="s">
        <v>28</v>
      </c>
      <c r="N341" s="4">
        <v>472.66</v>
      </c>
      <c r="O341" s="19" t="str">
        <f t="shared" si="25"/>
        <v>Apr-2024</v>
      </c>
      <c r="P341">
        <f t="shared" si="26"/>
        <v>2024</v>
      </c>
      <c r="Q341" t="str">
        <f t="shared" si="27"/>
        <v>OK</v>
      </c>
      <c r="R341">
        <v>1</v>
      </c>
      <c r="S341">
        <f t="shared" si="28"/>
        <v>0</v>
      </c>
      <c r="T341">
        <f t="shared" si="29"/>
        <v>0</v>
      </c>
    </row>
    <row r="342" spans="1:20">
      <c r="A342" t="s">
        <v>1348</v>
      </c>
      <c r="B342" s="3">
        <v>45039</v>
      </c>
      <c r="C342" t="s">
        <v>1349</v>
      </c>
      <c r="D342" t="s">
        <v>64</v>
      </c>
      <c r="E342">
        <v>5</v>
      </c>
      <c r="F342" s="4">
        <v>521.25</v>
      </c>
      <c r="G342" t="s">
        <v>1350</v>
      </c>
      <c r="H342" t="s">
        <v>71</v>
      </c>
      <c r="I342" t="s">
        <v>41</v>
      </c>
      <c r="J342" t="s">
        <v>1351</v>
      </c>
      <c r="K342">
        <v>8</v>
      </c>
      <c r="M342" t="s">
        <v>44</v>
      </c>
      <c r="N342" s="4">
        <v>2606.25</v>
      </c>
      <c r="O342" s="19" t="str">
        <f t="shared" si="25"/>
        <v>Apr-2023</v>
      </c>
      <c r="P342">
        <f t="shared" si="26"/>
        <v>2023</v>
      </c>
      <c r="Q342" t="str">
        <f t="shared" si="27"/>
        <v>OK</v>
      </c>
      <c r="R342">
        <v>1</v>
      </c>
      <c r="S342">
        <f t="shared" si="28"/>
        <v>1</v>
      </c>
      <c r="T342">
        <f t="shared" si="29"/>
        <v>0</v>
      </c>
    </row>
    <row r="343" spans="1:20">
      <c r="A343" t="s">
        <v>1352</v>
      </c>
      <c r="B343" s="3">
        <v>45558</v>
      </c>
      <c r="C343" t="s">
        <v>1353</v>
      </c>
      <c r="D343" t="s">
        <v>38</v>
      </c>
      <c r="E343">
        <v>1</v>
      </c>
      <c r="F343" s="4">
        <v>167.15</v>
      </c>
      <c r="G343" t="s">
        <v>1354</v>
      </c>
      <c r="H343" t="s">
        <v>66</v>
      </c>
      <c r="I343" t="s">
        <v>25</v>
      </c>
      <c r="J343" t="s">
        <v>1355</v>
      </c>
      <c r="K343">
        <v>5</v>
      </c>
      <c r="L343" t="s">
        <v>87</v>
      </c>
      <c r="M343" t="s">
        <v>44</v>
      </c>
      <c r="N343" s="4">
        <v>167.15</v>
      </c>
      <c r="O343" s="19" t="str">
        <f t="shared" si="25"/>
        <v>Sep-2024</v>
      </c>
      <c r="P343">
        <f t="shared" si="26"/>
        <v>2024</v>
      </c>
      <c r="Q343" t="str">
        <f t="shared" si="27"/>
        <v>OK</v>
      </c>
      <c r="R343">
        <v>1</v>
      </c>
      <c r="S343">
        <f t="shared" si="28"/>
        <v>0</v>
      </c>
      <c r="T343">
        <f t="shared" si="29"/>
        <v>0</v>
      </c>
    </row>
    <row r="344" spans="1:20">
      <c r="A344" t="s">
        <v>1356</v>
      </c>
      <c r="B344" s="3">
        <v>45832</v>
      </c>
      <c r="C344" t="s">
        <v>1357</v>
      </c>
      <c r="D344" t="s">
        <v>22</v>
      </c>
      <c r="E344">
        <v>5</v>
      </c>
      <c r="F344" s="4">
        <v>466.42</v>
      </c>
      <c r="G344" t="s">
        <v>1358</v>
      </c>
      <c r="H344" t="s">
        <v>66</v>
      </c>
      <c r="I344" t="s">
        <v>49</v>
      </c>
      <c r="J344" t="s">
        <v>1359</v>
      </c>
      <c r="K344">
        <v>5</v>
      </c>
      <c r="M344" t="s">
        <v>35</v>
      </c>
      <c r="N344" s="4">
        <v>2332.1</v>
      </c>
      <c r="O344" s="19" t="str">
        <f t="shared" si="25"/>
        <v>Jun-2025</v>
      </c>
      <c r="P344">
        <f t="shared" si="26"/>
        <v>2025</v>
      </c>
      <c r="Q344" t="str">
        <f t="shared" si="27"/>
        <v>OK</v>
      </c>
      <c r="R344">
        <v>1</v>
      </c>
      <c r="S344">
        <f t="shared" si="28"/>
        <v>0</v>
      </c>
      <c r="T344">
        <f t="shared" si="29"/>
        <v>1</v>
      </c>
    </row>
    <row r="345" spans="1:20">
      <c r="A345" t="s">
        <v>1360</v>
      </c>
      <c r="B345" s="3">
        <v>44983</v>
      </c>
      <c r="C345" t="s">
        <v>1361</v>
      </c>
      <c r="D345" t="s">
        <v>54</v>
      </c>
      <c r="E345">
        <v>1</v>
      </c>
      <c r="F345" s="4">
        <v>527.57000000000005</v>
      </c>
      <c r="G345" t="s">
        <v>1362</v>
      </c>
      <c r="H345" t="s">
        <v>24</v>
      </c>
      <c r="I345" t="s">
        <v>95</v>
      </c>
      <c r="J345" t="s">
        <v>1363</v>
      </c>
      <c r="K345">
        <v>3</v>
      </c>
      <c r="L345" t="s">
        <v>43</v>
      </c>
      <c r="M345" t="s">
        <v>51</v>
      </c>
      <c r="N345" s="4">
        <v>527.57000000000005</v>
      </c>
      <c r="O345" s="19" t="str">
        <f t="shared" si="25"/>
        <v>Feb-2023</v>
      </c>
      <c r="P345">
        <f t="shared" si="26"/>
        <v>2023</v>
      </c>
      <c r="Q345" t="str">
        <f t="shared" si="27"/>
        <v>OK</v>
      </c>
      <c r="R345">
        <v>1</v>
      </c>
      <c r="S345">
        <f t="shared" si="28"/>
        <v>0</v>
      </c>
      <c r="T345">
        <f t="shared" si="29"/>
        <v>0</v>
      </c>
    </row>
    <row r="346" spans="1:20">
      <c r="A346" t="s">
        <v>1364</v>
      </c>
      <c r="B346" s="3">
        <v>45722</v>
      </c>
      <c r="C346" t="s">
        <v>1365</v>
      </c>
      <c r="D346" t="s">
        <v>38</v>
      </c>
      <c r="E346">
        <v>3</v>
      </c>
      <c r="F346" s="4">
        <v>623.34</v>
      </c>
      <c r="G346" t="s">
        <v>1366</v>
      </c>
      <c r="H346" t="s">
        <v>33</v>
      </c>
      <c r="I346" t="s">
        <v>41</v>
      </c>
      <c r="J346" t="s">
        <v>1367</v>
      </c>
      <c r="K346">
        <v>3</v>
      </c>
      <c r="L346" t="s">
        <v>27</v>
      </c>
      <c r="M346" t="s">
        <v>28</v>
      </c>
      <c r="N346" s="4">
        <v>1870.02</v>
      </c>
      <c r="O346" s="19" t="str">
        <f t="shared" si="25"/>
        <v>Mar-2025</v>
      </c>
      <c r="P346">
        <f t="shared" si="26"/>
        <v>2025</v>
      </c>
      <c r="Q346" t="str">
        <f t="shared" si="27"/>
        <v>OK</v>
      </c>
      <c r="R346">
        <v>1</v>
      </c>
      <c r="S346">
        <f t="shared" si="28"/>
        <v>1</v>
      </c>
      <c r="T346">
        <f t="shared" si="29"/>
        <v>0</v>
      </c>
    </row>
    <row r="347" spans="1:20">
      <c r="A347" t="s">
        <v>1368</v>
      </c>
      <c r="B347" s="3">
        <v>45267</v>
      </c>
      <c r="C347" t="s">
        <v>1369</v>
      </c>
      <c r="D347" t="s">
        <v>38</v>
      </c>
      <c r="E347">
        <v>5</v>
      </c>
      <c r="F347" s="4">
        <v>501.26</v>
      </c>
      <c r="G347" t="s">
        <v>1370</v>
      </c>
      <c r="H347" t="s">
        <v>66</v>
      </c>
      <c r="I347" t="s">
        <v>25</v>
      </c>
      <c r="J347" t="s">
        <v>1371</v>
      </c>
      <c r="K347">
        <v>10</v>
      </c>
      <c r="L347" t="s">
        <v>43</v>
      </c>
      <c r="M347" t="s">
        <v>35</v>
      </c>
      <c r="N347" s="4">
        <v>2506.3000000000002</v>
      </c>
      <c r="O347" s="19" t="str">
        <f t="shared" si="25"/>
        <v>Dec-2023</v>
      </c>
      <c r="P347">
        <f t="shared" si="26"/>
        <v>2023</v>
      </c>
      <c r="Q347" t="str">
        <f t="shared" si="27"/>
        <v>OK</v>
      </c>
      <c r="R347">
        <v>1</v>
      </c>
      <c r="S347">
        <f t="shared" si="28"/>
        <v>0</v>
      </c>
      <c r="T347">
        <f t="shared" si="29"/>
        <v>0</v>
      </c>
    </row>
    <row r="348" spans="1:20">
      <c r="A348" t="s">
        <v>1372</v>
      </c>
      <c r="B348" s="3">
        <v>45632</v>
      </c>
      <c r="C348" t="s">
        <v>1373</v>
      </c>
      <c r="D348" t="s">
        <v>38</v>
      </c>
      <c r="E348">
        <v>1</v>
      </c>
      <c r="F348" s="4">
        <v>655.09</v>
      </c>
      <c r="G348" t="s">
        <v>1374</v>
      </c>
      <c r="H348" t="s">
        <v>71</v>
      </c>
      <c r="I348" t="s">
        <v>95</v>
      </c>
      <c r="J348" t="s">
        <v>1375</v>
      </c>
      <c r="K348">
        <v>6</v>
      </c>
      <c r="M348" t="s">
        <v>35</v>
      </c>
      <c r="N348" s="4">
        <v>655.09</v>
      </c>
      <c r="O348" s="19" t="str">
        <f t="shared" si="25"/>
        <v>Dec-2024</v>
      </c>
      <c r="P348">
        <f t="shared" si="26"/>
        <v>2024</v>
      </c>
      <c r="Q348" t="str">
        <f t="shared" si="27"/>
        <v>OK</v>
      </c>
      <c r="R348">
        <v>1</v>
      </c>
      <c r="S348">
        <f t="shared" si="28"/>
        <v>0</v>
      </c>
      <c r="T348">
        <f t="shared" si="29"/>
        <v>0</v>
      </c>
    </row>
    <row r="349" spans="1:20">
      <c r="A349" t="s">
        <v>1376</v>
      </c>
      <c r="B349" s="3">
        <v>45325</v>
      </c>
      <c r="C349" t="s">
        <v>1377</v>
      </c>
      <c r="D349" t="s">
        <v>54</v>
      </c>
      <c r="E349">
        <v>4</v>
      </c>
      <c r="F349" s="4">
        <v>264.79000000000002</v>
      </c>
      <c r="G349" t="s">
        <v>1378</v>
      </c>
      <c r="H349" t="s">
        <v>40</v>
      </c>
      <c r="I349" t="s">
        <v>95</v>
      </c>
      <c r="J349" t="s">
        <v>1379</v>
      </c>
      <c r="K349">
        <v>5</v>
      </c>
      <c r="L349" t="s">
        <v>27</v>
      </c>
      <c r="M349" t="s">
        <v>82</v>
      </c>
      <c r="N349" s="4">
        <v>1059.1600000000001</v>
      </c>
      <c r="O349" s="19" t="str">
        <f t="shared" si="25"/>
        <v>Feb-2024</v>
      </c>
      <c r="P349">
        <f t="shared" si="26"/>
        <v>2024</v>
      </c>
      <c r="Q349" t="str">
        <f t="shared" si="27"/>
        <v>OK</v>
      </c>
      <c r="R349">
        <v>1</v>
      </c>
      <c r="S349">
        <f t="shared" si="28"/>
        <v>0</v>
      </c>
      <c r="T349">
        <f t="shared" si="29"/>
        <v>0</v>
      </c>
    </row>
    <row r="350" spans="1:20">
      <c r="A350" t="s">
        <v>1380</v>
      </c>
      <c r="B350" s="3">
        <v>45364</v>
      </c>
      <c r="C350" t="s">
        <v>1381</v>
      </c>
      <c r="D350" t="s">
        <v>64</v>
      </c>
      <c r="E350">
        <v>3</v>
      </c>
      <c r="F350" s="4">
        <v>359.73</v>
      </c>
      <c r="G350" t="s">
        <v>1382</v>
      </c>
      <c r="H350" t="s">
        <v>24</v>
      </c>
      <c r="I350" t="s">
        <v>49</v>
      </c>
      <c r="J350" t="s">
        <v>1383</v>
      </c>
      <c r="K350">
        <v>7</v>
      </c>
      <c r="L350" t="s">
        <v>43</v>
      </c>
      <c r="M350" t="s">
        <v>44</v>
      </c>
      <c r="N350" s="4">
        <v>1079.19</v>
      </c>
      <c r="O350" s="19" t="str">
        <f t="shared" si="25"/>
        <v>Mar-2024</v>
      </c>
      <c r="P350">
        <f t="shared" si="26"/>
        <v>2024</v>
      </c>
      <c r="Q350" t="str">
        <f t="shared" si="27"/>
        <v>OK</v>
      </c>
      <c r="R350">
        <v>1</v>
      </c>
      <c r="S350">
        <f t="shared" si="28"/>
        <v>0</v>
      </c>
      <c r="T350">
        <f t="shared" si="29"/>
        <v>1</v>
      </c>
    </row>
    <row r="351" spans="1:20">
      <c r="A351" t="s">
        <v>1384</v>
      </c>
      <c r="B351" s="3">
        <v>45260</v>
      </c>
      <c r="C351" t="s">
        <v>1385</v>
      </c>
      <c r="D351" t="s">
        <v>47</v>
      </c>
      <c r="E351">
        <v>1</v>
      </c>
      <c r="F351" s="4">
        <v>465.33</v>
      </c>
      <c r="G351" t="s">
        <v>1386</v>
      </c>
      <c r="H351" t="s">
        <v>66</v>
      </c>
      <c r="I351" t="s">
        <v>56</v>
      </c>
      <c r="J351" t="s">
        <v>1387</v>
      </c>
      <c r="K351">
        <v>2</v>
      </c>
      <c r="L351" t="s">
        <v>43</v>
      </c>
      <c r="M351" t="s">
        <v>82</v>
      </c>
      <c r="N351" s="4">
        <v>465.33</v>
      </c>
      <c r="O351" s="19" t="str">
        <f t="shared" si="25"/>
        <v>Nov-2023</v>
      </c>
      <c r="P351">
        <f t="shared" si="26"/>
        <v>2023</v>
      </c>
      <c r="Q351" t="str">
        <f t="shared" si="27"/>
        <v>OK</v>
      </c>
      <c r="R351">
        <v>1</v>
      </c>
      <c r="S351">
        <f t="shared" si="28"/>
        <v>0</v>
      </c>
      <c r="T351">
        <f t="shared" si="29"/>
        <v>0</v>
      </c>
    </row>
    <row r="352" spans="1:20">
      <c r="A352" t="s">
        <v>1388</v>
      </c>
      <c r="B352" s="3">
        <v>45080</v>
      </c>
      <c r="C352" t="s">
        <v>1389</v>
      </c>
      <c r="D352" t="s">
        <v>47</v>
      </c>
      <c r="E352">
        <v>2</v>
      </c>
      <c r="F352" s="4">
        <v>54.41</v>
      </c>
      <c r="G352" t="s">
        <v>1390</v>
      </c>
      <c r="H352" t="s">
        <v>33</v>
      </c>
      <c r="I352" t="s">
        <v>25</v>
      </c>
      <c r="J352" t="s">
        <v>1391</v>
      </c>
      <c r="K352">
        <v>6</v>
      </c>
      <c r="M352" t="s">
        <v>28</v>
      </c>
      <c r="N352" s="4">
        <v>108.82</v>
      </c>
      <c r="O352" s="19" t="str">
        <f t="shared" si="25"/>
        <v>Jun-2023</v>
      </c>
      <c r="P352">
        <f t="shared" si="26"/>
        <v>2023</v>
      </c>
      <c r="Q352" t="str">
        <f t="shared" si="27"/>
        <v>OK</v>
      </c>
      <c r="R352">
        <v>1</v>
      </c>
      <c r="S352">
        <f t="shared" si="28"/>
        <v>0</v>
      </c>
      <c r="T352">
        <f t="shared" si="29"/>
        <v>0</v>
      </c>
    </row>
    <row r="353" spans="1:20">
      <c r="A353" t="s">
        <v>1392</v>
      </c>
      <c r="B353" s="3">
        <v>45703</v>
      </c>
      <c r="C353" t="s">
        <v>1393</v>
      </c>
      <c r="D353" t="s">
        <v>64</v>
      </c>
      <c r="E353">
        <v>1</v>
      </c>
      <c r="F353" s="4">
        <v>64.66</v>
      </c>
      <c r="G353" t="s">
        <v>1394</v>
      </c>
      <c r="H353" t="s">
        <v>24</v>
      </c>
      <c r="I353" t="s">
        <v>56</v>
      </c>
      <c r="J353" t="s">
        <v>1395</v>
      </c>
      <c r="K353">
        <v>4</v>
      </c>
      <c r="M353" t="s">
        <v>28</v>
      </c>
      <c r="N353" s="4">
        <v>64.66</v>
      </c>
      <c r="O353" s="19" t="str">
        <f t="shared" si="25"/>
        <v>Feb-2025</v>
      </c>
      <c r="P353">
        <f t="shared" si="26"/>
        <v>2025</v>
      </c>
      <c r="Q353" t="str">
        <f t="shared" si="27"/>
        <v>OK</v>
      </c>
      <c r="R353">
        <v>1</v>
      </c>
      <c r="S353">
        <f t="shared" si="28"/>
        <v>0</v>
      </c>
      <c r="T353">
        <f t="shared" si="29"/>
        <v>0</v>
      </c>
    </row>
    <row r="354" spans="1:20">
      <c r="A354" t="s">
        <v>1396</v>
      </c>
      <c r="B354" s="3">
        <v>45169</v>
      </c>
      <c r="C354" t="s">
        <v>1397</v>
      </c>
      <c r="D354" t="s">
        <v>47</v>
      </c>
      <c r="E354">
        <v>5</v>
      </c>
      <c r="F354" s="4">
        <v>173.96</v>
      </c>
      <c r="G354" t="s">
        <v>1398</v>
      </c>
      <c r="H354" t="s">
        <v>24</v>
      </c>
      <c r="I354" t="s">
        <v>95</v>
      </c>
      <c r="J354" t="s">
        <v>1399</v>
      </c>
      <c r="K354">
        <v>8</v>
      </c>
      <c r="L354" t="s">
        <v>87</v>
      </c>
      <c r="M354" t="s">
        <v>28</v>
      </c>
      <c r="N354" s="4">
        <v>869.80000000000007</v>
      </c>
      <c r="O354" s="19" t="str">
        <f t="shared" si="25"/>
        <v>Aug-2023</v>
      </c>
      <c r="P354">
        <f t="shared" si="26"/>
        <v>2023</v>
      </c>
      <c r="Q354" t="str">
        <f t="shared" si="27"/>
        <v>OK</v>
      </c>
      <c r="R354">
        <v>1</v>
      </c>
      <c r="S354">
        <f t="shared" si="28"/>
        <v>0</v>
      </c>
      <c r="T354">
        <f t="shared" si="29"/>
        <v>0</v>
      </c>
    </row>
    <row r="355" spans="1:20">
      <c r="A355" t="s">
        <v>1400</v>
      </c>
      <c r="B355" s="3">
        <v>45744</v>
      </c>
      <c r="C355" t="s">
        <v>1401</v>
      </c>
      <c r="D355" t="s">
        <v>38</v>
      </c>
      <c r="E355">
        <v>1</v>
      </c>
      <c r="F355" s="4">
        <v>630.82000000000005</v>
      </c>
      <c r="G355" t="s">
        <v>1402</v>
      </c>
      <c r="H355" t="s">
        <v>33</v>
      </c>
      <c r="I355" t="s">
        <v>56</v>
      </c>
      <c r="J355" t="s">
        <v>1403</v>
      </c>
      <c r="K355">
        <v>5</v>
      </c>
      <c r="L355" t="s">
        <v>43</v>
      </c>
      <c r="M355" t="s">
        <v>82</v>
      </c>
      <c r="N355" s="4">
        <v>630.82000000000005</v>
      </c>
      <c r="O355" s="19" t="str">
        <f t="shared" si="25"/>
        <v>Mar-2025</v>
      </c>
      <c r="P355">
        <f t="shared" si="26"/>
        <v>2025</v>
      </c>
      <c r="Q355" t="str">
        <f t="shared" si="27"/>
        <v>OK</v>
      </c>
      <c r="R355">
        <v>1</v>
      </c>
      <c r="S355">
        <f t="shared" si="28"/>
        <v>0</v>
      </c>
      <c r="T355">
        <f t="shared" si="29"/>
        <v>0</v>
      </c>
    </row>
    <row r="356" spans="1:20">
      <c r="A356" t="s">
        <v>1404</v>
      </c>
      <c r="B356" s="3">
        <v>45118</v>
      </c>
      <c r="C356" t="s">
        <v>1405</v>
      </c>
      <c r="D356" t="s">
        <v>31</v>
      </c>
      <c r="E356">
        <v>1</v>
      </c>
      <c r="F356" s="4">
        <v>693.41</v>
      </c>
      <c r="G356" t="s">
        <v>1406</v>
      </c>
      <c r="H356" t="s">
        <v>24</v>
      </c>
      <c r="I356" t="s">
        <v>25</v>
      </c>
      <c r="J356" t="s">
        <v>1407</v>
      </c>
      <c r="K356">
        <v>4</v>
      </c>
      <c r="M356" t="s">
        <v>28</v>
      </c>
      <c r="N356" s="4">
        <v>693.41</v>
      </c>
      <c r="O356" s="19" t="str">
        <f t="shared" si="25"/>
        <v>Jul-2023</v>
      </c>
      <c r="P356">
        <f t="shared" si="26"/>
        <v>2023</v>
      </c>
      <c r="Q356" t="str">
        <f t="shared" si="27"/>
        <v>OK</v>
      </c>
      <c r="R356">
        <v>1</v>
      </c>
      <c r="S356">
        <f t="shared" si="28"/>
        <v>0</v>
      </c>
      <c r="T356">
        <f t="shared" si="29"/>
        <v>0</v>
      </c>
    </row>
    <row r="357" spans="1:20">
      <c r="A357" t="s">
        <v>1408</v>
      </c>
      <c r="B357" s="3">
        <v>45811</v>
      </c>
      <c r="C357" t="s">
        <v>1409</v>
      </c>
      <c r="D357" t="s">
        <v>38</v>
      </c>
      <c r="E357">
        <v>3</v>
      </c>
      <c r="F357" s="4">
        <v>433.33</v>
      </c>
      <c r="G357" t="s">
        <v>1410</v>
      </c>
      <c r="H357" t="s">
        <v>40</v>
      </c>
      <c r="I357" t="s">
        <v>41</v>
      </c>
      <c r="J357" t="s">
        <v>1411</v>
      </c>
      <c r="K357">
        <v>4</v>
      </c>
      <c r="L357" t="s">
        <v>43</v>
      </c>
      <c r="M357" t="s">
        <v>35</v>
      </c>
      <c r="N357" s="4">
        <v>1299.99</v>
      </c>
      <c r="O357" s="19" t="str">
        <f t="shared" si="25"/>
        <v>Jun-2025</v>
      </c>
      <c r="P357">
        <f t="shared" si="26"/>
        <v>2025</v>
      </c>
      <c r="Q357" t="str">
        <f t="shared" si="27"/>
        <v>OK</v>
      </c>
      <c r="R357">
        <v>1</v>
      </c>
      <c r="S357">
        <f t="shared" si="28"/>
        <v>1</v>
      </c>
      <c r="T357">
        <f t="shared" si="29"/>
        <v>0</v>
      </c>
    </row>
    <row r="358" spans="1:20">
      <c r="A358" t="s">
        <v>1412</v>
      </c>
      <c r="B358" s="3">
        <v>45052</v>
      </c>
      <c r="C358" t="s">
        <v>1413</v>
      </c>
      <c r="D358" t="s">
        <v>54</v>
      </c>
      <c r="E358">
        <v>5</v>
      </c>
      <c r="F358" s="4">
        <v>374.58</v>
      </c>
      <c r="G358" t="s">
        <v>1414</v>
      </c>
      <c r="H358" t="s">
        <v>66</v>
      </c>
      <c r="I358" t="s">
        <v>41</v>
      </c>
      <c r="J358" t="s">
        <v>1415</v>
      </c>
      <c r="K358">
        <v>10</v>
      </c>
      <c r="L358" t="s">
        <v>43</v>
      </c>
      <c r="M358" t="s">
        <v>28</v>
      </c>
      <c r="N358" s="4">
        <v>1872.9</v>
      </c>
      <c r="O358" s="19" t="str">
        <f t="shared" si="25"/>
        <v>May-2023</v>
      </c>
      <c r="P358">
        <f t="shared" si="26"/>
        <v>2023</v>
      </c>
      <c r="Q358" t="str">
        <f t="shared" si="27"/>
        <v>OK</v>
      </c>
      <c r="R358">
        <v>1</v>
      </c>
      <c r="S358">
        <f t="shared" si="28"/>
        <v>1</v>
      </c>
      <c r="T358">
        <f t="shared" si="29"/>
        <v>0</v>
      </c>
    </row>
    <row r="359" spans="1:20">
      <c r="A359" t="s">
        <v>1416</v>
      </c>
      <c r="B359" s="3">
        <v>45115</v>
      </c>
      <c r="C359" t="s">
        <v>1417</v>
      </c>
      <c r="D359" t="s">
        <v>64</v>
      </c>
      <c r="E359">
        <v>5</v>
      </c>
      <c r="F359" s="4">
        <v>408.56</v>
      </c>
      <c r="G359" t="s">
        <v>1346</v>
      </c>
      <c r="H359" t="s">
        <v>24</v>
      </c>
      <c r="I359" t="s">
        <v>56</v>
      </c>
      <c r="J359" t="s">
        <v>1418</v>
      </c>
      <c r="K359">
        <v>8</v>
      </c>
      <c r="L359" t="s">
        <v>43</v>
      </c>
      <c r="M359" t="s">
        <v>28</v>
      </c>
      <c r="N359" s="4">
        <v>2042.8</v>
      </c>
      <c r="O359" s="19" t="str">
        <f t="shared" si="25"/>
        <v>Jul-2023</v>
      </c>
      <c r="P359">
        <f t="shared" si="26"/>
        <v>2023</v>
      </c>
      <c r="Q359" t="str">
        <f t="shared" si="27"/>
        <v>OK</v>
      </c>
      <c r="R359">
        <v>1</v>
      </c>
      <c r="S359">
        <f t="shared" si="28"/>
        <v>0</v>
      </c>
      <c r="T359">
        <f t="shared" si="29"/>
        <v>0</v>
      </c>
    </row>
    <row r="360" spans="1:20">
      <c r="A360" t="s">
        <v>1419</v>
      </c>
      <c r="B360" s="3">
        <v>45389</v>
      </c>
      <c r="C360" t="s">
        <v>1420</v>
      </c>
      <c r="D360" t="s">
        <v>38</v>
      </c>
      <c r="E360">
        <v>2</v>
      </c>
      <c r="F360" s="4">
        <v>183.67</v>
      </c>
      <c r="G360" t="s">
        <v>1421</v>
      </c>
      <c r="H360" t="s">
        <v>33</v>
      </c>
      <c r="I360" t="s">
        <v>41</v>
      </c>
      <c r="J360" t="s">
        <v>1422</v>
      </c>
      <c r="K360">
        <v>3</v>
      </c>
      <c r="L360" t="s">
        <v>27</v>
      </c>
      <c r="M360" t="s">
        <v>82</v>
      </c>
      <c r="N360" s="4">
        <v>367.34</v>
      </c>
      <c r="O360" s="19" t="str">
        <f t="shared" si="25"/>
        <v>Apr-2024</v>
      </c>
      <c r="P360">
        <f t="shared" si="26"/>
        <v>2024</v>
      </c>
      <c r="Q360" t="str">
        <f t="shared" si="27"/>
        <v>OK</v>
      </c>
      <c r="R360">
        <v>1</v>
      </c>
      <c r="S360">
        <f t="shared" si="28"/>
        <v>1</v>
      </c>
      <c r="T360">
        <f t="shared" si="29"/>
        <v>0</v>
      </c>
    </row>
    <row r="361" spans="1:20">
      <c r="A361" t="s">
        <v>1423</v>
      </c>
      <c r="B361" s="3">
        <v>45086</v>
      </c>
      <c r="C361" t="s">
        <v>1424</v>
      </c>
      <c r="D361" t="s">
        <v>79</v>
      </c>
      <c r="E361">
        <v>4</v>
      </c>
      <c r="F361" s="4">
        <v>606.57000000000005</v>
      </c>
      <c r="G361" t="s">
        <v>1425</v>
      </c>
      <c r="H361" t="s">
        <v>24</v>
      </c>
      <c r="I361" t="s">
        <v>56</v>
      </c>
      <c r="J361" t="s">
        <v>1426</v>
      </c>
      <c r="K361">
        <v>5</v>
      </c>
      <c r="L361" t="s">
        <v>87</v>
      </c>
      <c r="M361" t="s">
        <v>35</v>
      </c>
      <c r="N361" s="4">
        <v>2426.2800000000002</v>
      </c>
      <c r="O361" s="19" t="str">
        <f t="shared" si="25"/>
        <v>Jun-2023</v>
      </c>
      <c r="P361">
        <f t="shared" si="26"/>
        <v>2023</v>
      </c>
      <c r="Q361" t="str">
        <f t="shared" si="27"/>
        <v>OK</v>
      </c>
      <c r="R361">
        <v>1</v>
      </c>
      <c r="S361">
        <f t="shared" si="28"/>
        <v>0</v>
      </c>
      <c r="T361">
        <f t="shared" si="29"/>
        <v>0</v>
      </c>
    </row>
    <row r="362" spans="1:20">
      <c r="A362" t="s">
        <v>1427</v>
      </c>
      <c r="B362" s="3">
        <v>45449</v>
      </c>
      <c r="C362" t="s">
        <v>1428</v>
      </c>
      <c r="D362" t="s">
        <v>31</v>
      </c>
      <c r="E362">
        <v>4</v>
      </c>
      <c r="F362" s="4">
        <v>589.57000000000005</v>
      </c>
      <c r="G362" t="s">
        <v>1429</v>
      </c>
      <c r="H362" t="s">
        <v>71</v>
      </c>
      <c r="I362" t="s">
        <v>95</v>
      </c>
      <c r="J362" t="s">
        <v>1430</v>
      </c>
      <c r="K362">
        <v>8</v>
      </c>
      <c r="M362" t="s">
        <v>28</v>
      </c>
      <c r="N362" s="4">
        <v>2358.2800000000002</v>
      </c>
      <c r="O362" s="19" t="str">
        <f t="shared" si="25"/>
        <v>Jun-2024</v>
      </c>
      <c r="P362">
        <f t="shared" si="26"/>
        <v>2024</v>
      </c>
      <c r="Q362" t="str">
        <f t="shared" si="27"/>
        <v>OK</v>
      </c>
      <c r="R362">
        <v>1</v>
      </c>
      <c r="S362">
        <f t="shared" si="28"/>
        <v>0</v>
      </c>
      <c r="T362">
        <f t="shared" si="29"/>
        <v>0</v>
      </c>
    </row>
    <row r="363" spans="1:20">
      <c r="A363" t="s">
        <v>1431</v>
      </c>
      <c r="B363" s="3">
        <v>45472</v>
      </c>
      <c r="C363" t="s">
        <v>1432</v>
      </c>
      <c r="D363" t="s">
        <v>54</v>
      </c>
      <c r="E363">
        <v>5</v>
      </c>
      <c r="F363" s="4">
        <v>659.85</v>
      </c>
      <c r="G363" t="s">
        <v>1433</v>
      </c>
      <c r="H363" t="s">
        <v>40</v>
      </c>
      <c r="I363" t="s">
        <v>56</v>
      </c>
      <c r="J363" t="s">
        <v>1434</v>
      </c>
      <c r="K363">
        <v>9</v>
      </c>
      <c r="L363" t="s">
        <v>27</v>
      </c>
      <c r="M363" t="s">
        <v>51</v>
      </c>
      <c r="N363" s="4">
        <v>3299.25</v>
      </c>
      <c r="O363" s="19" t="str">
        <f t="shared" si="25"/>
        <v>Jun-2024</v>
      </c>
      <c r="P363">
        <f t="shared" si="26"/>
        <v>2024</v>
      </c>
      <c r="Q363" t="str">
        <f t="shared" si="27"/>
        <v>OK</v>
      </c>
      <c r="R363">
        <v>1</v>
      </c>
      <c r="S363">
        <f t="shared" si="28"/>
        <v>0</v>
      </c>
      <c r="T363">
        <f t="shared" si="29"/>
        <v>0</v>
      </c>
    </row>
    <row r="364" spans="1:20">
      <c r="A364" t="s">
        <v>1435</v>
      </c>
      <c r="B364" s="3">
        <v>45104</v>
      </c>
      <c r="C364" t="s">
        <v>1436</v>
      </c>
      <c r="D364" t="s">
        <v>22</v>
      </c>
      <c r="E364">
        <v>4</v>
      </c>
      <c r="F364" s="4">
        <v>206.84</v>
      </c>
      <c r="G364" t="s">
        <v>1437</v>
      </c>
      <c r="H364" t="s">
        <v>71</v>
      </c>
      <c r="I364" t="s">
        <v>41</v>
      </c>
      <c r="J364" t="s">
        <v>1438</v>
      </c>
      <c r="K364">
        <v>5</v>
      </c>
      <c r="L364" t="s">
        <v>87</v>
      </c>
      <c r="M364" t="s">
        <v>28</v>
      </c>
      <c r="N364" s="4">
        <v>827.36</v>
      </c>
      <c r="O364" s="19" t="str">
        <f t="shared" si="25"/>
        <v>Jun-2023</v>
      </c>
      <c r="P364">
        <f t="shared" si="26"/>
        <v>2023</v>
      </c>
      <c r="Q364" t="str">
        <f t="shared" si="27"/>
        <v>OK</v>
      </c>
      <c r="R364">
        <v>1</v>
      </c>
      <c r="S364">
        <f t="shared" si="28"/>
        <v>1</v>
      </c>
      <c r="T364">
        <f t="shared" si="29"/>
        <v>0</v>
      </c>
    </row>
    <row r="365" spans="1:20">
      <c r="A365" t="s">
        <v>1439</v>
      </c>
      <c r="B365" s="3">
        <v>45436</v>
      </c>
      <c r="C365" t="s">
        <v>1440</v>
      </c>
      <c r="D365" t="s">
        <v>64</v>
      </c>
      <c r="E365">
        <v>5</v>
      </c>
      <c r="F365" s="4">
        <v>113.87</v>
      </c>
      <c r="G365" t="s">
        <v>218</v>
      </c>
      <c r="H365" t="s">
        <v>40</v>
      </c>
      <c r="I365" t="s">
        <v>95</v>
      </c>
      <c r="J365" t="s">
        <v>1441</v>
      </c>
      <c r="K365">
        <v>6</v>
      </c>
      <c r="L365" t="s">
        <v>27</v>
      </c>
      <c r="M365" t="s">
        <v>44</v>
      </c>
      <c r="N365" s="4">
        <v>569.35</v>
      </c>
      <c r="O365" s="19" t="str">
        <f t="shared" si="25"/>
        <v>May-2024</v>
      </c>
      <c r="P365">
        <f t="shared" si="26"/>
        <v>2024</v>
      </c>
      <c r="Q365" t="str">
        <f t="shared" si="27"/>
        <v>OK</v>
      </c>
      <c r="R365">
        <v>1</v>
      </c>
      <c r="S365">
        <f t="shared" si="28"/>
        <v>0</v>
      </c>
      <c r="T365">
        <f t="shared" si="29"/>
        <v>0</v>
      </c>
    </row>
    <row r="366" spans="1:20">
      <c r="A366" t="s">
        <v>1442</v>
      </c>
      <c r="B366" s="3">
        <v>45254</v>
      </c>
      <c r="C366" t="s">
        <v>1443</v>
      </c>
      <c r="D366" t="s">
        <v>31</v>
      </c>
      <c r="E366">
        <v>5</v>
      </c>
      <c r="F366" s="4">
        <v>628.74</v>
      </c>
      <c r="G366" t="s">
        <v>1127</v>
      </c>
      <c r="H366" t="s">
        <v>71</v>
      </c>
      <c r="I366" t="s">
        <v>41</v>
      </c>
      <c r="J366" t="s">
        <v>1444</v>
      </c>
      <c r="K366">
        <v>9</v>
      </c>
      <c r="L366" t="s">
        <v>43</v>
      </c>
      <c r="M366" t="s">
        <v>51</v>
      </c>
      <c r="N366" s="4">
        <v>3143.7</v>
      </c>
      <c r="O366" s="19" t="str">
        <f t="shared" si="25"/>
        <v>Nov-2023</v>
      </c>
      <c r="P366">
        <f t="shared" si="26"/>
        <v>2023</v>
      </c>
      <c r="Q366" t="str">
        <f t="shared" si="27"/>
        <v>OK</v>
      </c>
      <c r="R366">
        <v>1</v>
      </c>
      <c r="S366">
        <f t="shared" si="28"/>
        <v>1</v>
      </c>
      <c r="T366">
        <f t="shared" si="29"/>
        <v>0</v>
      </c>
    </row>
    <row r="367" spans="1:20">
      <c r="A367" t="s">
        <v>1445</v>
      </c>
      <c r="B367" s="3">
        <v>45702</v>
      </c>
      <c r="C367" t="s">
        <v>1446</v>
      </c>
      <c r="D367" t="s">
        <v>31</v>
      </c>
      <c r="E367">
        <v>1</v>
      </c>
      <c r="F367" s="4">
        <v>678.38</v>
      </c>
      <c r="G367" t="s">
        <v>1319</v>
      </c>
      <c r="H367" t="s">
        <v>40</v>
      </c>
      <c r="I367" t="s">
        <v>41</v>
      </c>
      <c r="J367" t="s">
        <v>1447</v>
      </c>
      <c r="K367">
        <v>4</v>
      </c>
      <c r="L367" t="s">
        <v>27</v>
      </c>
      <c r="M367" t="s">
        <v>35</v>
      </c>
      <c r="N367" s="4">
        <v>678.38</v>
      </c>
      <c r="O367" s="19" t="str">
        <f t="shared" si="25"/>
        <v>Feb-2025</v>
      </c>
      <c r="P367">
        <f t="shared" si="26"/>
        <v>2025</v>
      </c>
      <c r="Q367" t="str">
        <f t="shared" si="27"/>
        <v>OK</v>
      </c>
      <c r="R367">
        <v>1</v>
      </c>
      <c r="S367">
        <f t="shared" si="28"/>
        <v>1</v>
      </c>
      <c r="T367">
        <f t="shared" si="29"/>
        <v>0</v>
      </c>
    </row>
    <row r="368" spans="1:20">
      <c r="A368" t="s">
        <v>1448</v>
      </c>
      <c r="B368" s="3">
        <v>44967</v>
      </c>
      <c r="C368" t="s">
        <v>1449</v>
      </c>
      <c r="D368" t="s">
        <v>54</v>
      </c>
      <c r="E368">
        <v>3</v>
      </c>
      <c r="F368" s="4">
        <v>602.24</v>
      </c>
      <c r="G368" t="s">
        <v>1450</v>
      </c>
      <c r="H368" t="s">
        <v>24</v>
      </c>
      <c r="I368" t="s">
        <v>95</v>
      </c>
      <c r="J368" t="s">
        <v>1451</v>
      </c>
      <c r="K368">
        <v>8</v>
      </c>
      <c r="M368" t="s">
        <v>35</v>
      </c>
      <c r="N368" s="4">
        <v>1806.72</v>
      </c>
      <c r="O368" s="19" t="str">
        <f t="shared" si="25"/>
        <v>Feb-2023</v>
      </c>
      <c r="P368">
        <f t="shared" si="26"/>
        <v>2023</v>
      </c>
      <c r="Q368" t="str">
        <f t="shared" si="27"/>
        <v>OK</v>
      </c>
      <c r="R368">
        <v>1</v>
      </c>
      <c r="S368">
        <f t="shared" si="28"/>
        <v>0</v>
      </c>
      <c r="T368">
        <f t="shared" si="29"/>
        <v>0</v>
      </c>
    </row>
    <row r="369" spans="1:20">
      <c r="A369" t="s">
        <v>1452</v>
      </c>
      <c r="B369" s="3">
        <v>45407</v>
      </c>
      <c r="C369" t="s">
        <v>1453</v>
      </c>
      <c r="D369" t="s">
        <v>64</v>
      </c>
      <c r="E369">
        <v>5</v>
      </c>
      <c r="F369" s="4">
        <v>658.77</v>
      </c>
      <c r="G369" t="s">
        <v>1038</v>
      </c>
      <c r="H369" t="s">
        <v>66</v>
      </c>
      <c r="I369" t="s">
        <v>95</v>
      </c>
      <c r="J369" t="s">
        <v>1454</v>
      </c>
      <c r="K369">
        <v>10</v>
      </c>
      <c r="L369" t="s">
        <v>43</v>
      </c>
      <c r="M369" t="s">
        <v>28</v>
      </c>
      <c r="N369" s="4">
        <v>3293.85</v>
      </c>
      <c r="O369" s="19" t="str">
        <f t="shared" si="25"/>
        <v>Apr-2024</v>
      </c>
      <c r="P369">
        <f t="shared" si="26"/>
        <v>2024</v>
      </c>
      <c r="Q369" t="str">
        <f t="shared" si="27"/>
        <v>OK</v>
      </c>
      <c r="R369">
        <v>1</v>
      </c>
      <c r="S369">
        <f t="shared" si="28"/>
        <v>0</v>
      </c>
      <c r="T369">
        <f t="shared" si="29"/>
        <v>0</v>
      </c>
    </row>
    <row r="370" spans="1:20">
      <c r="A370" t="s">
        <v>1455</v>
      </c>
      <c r="B370" s="3">
        <v>45047</v>
      </c>
      <c r="C370" t="s">
        <v>1456</v>
      </c>
      <c r="D370" t="s">
        <v>22</v>
      </c>
      <c r="E370">
        <v>3</v>
      </c>
      <c r="F370" s="4">
        <v>271.02</v>
      </c>
      <c r="G370" t="s">
        <v>1457</v>
      </c>
      <c r="H370" t="s">
        <v>40</v>
      </c>
      <c r="I370" t="s">
        <v>41</v>
      </c>
      <c r="J370" t="s">
        <v>1458</v>
      </c>
      <c r="K370">
        <v>6</v>
      </c>
      <c r="M370" t="s">
        <v>82</v>
      </c>
      <c r="N370" s="4">
        <v>813.06</v>
      </c>
      <c r="O370" s="19" t="str">
        <f t="shared" si="25"/>
        <v>May-2023</v>
      </c>
      <c r="P370">
        <f t="shared" si="26"/>
        <v>2023</v>
      </c>
      <c r="Q370" t="str">
        <f t="shared" si="27"/>
        <v>OK</v>
      </c>
      <c r="R370">
        <v>1</v>
      </c>
      <c r="S370">
        <f t="shared" si="28"/>
        <v>1</v>
      </c>
      <c r="T370">
        <f t="shared" si="29"/>
        <v>0</v>
      </c>
    </row>
    <row r="371" spans="1:20">
      <c r="A371" t="s">
        <v>1459</v>
      </c>
      <c r="B371" s="3">
        <v>45648</v>
      </c>
      <c r="C371" t="s">
        <v>1460</v>
      </c>
      <c r="D371" t="s">
        <v>22</v>
      </c>
      <c r="E371">
        <v>5</v>
      </c>
      <c r="F371" s="4">
        <v>375.25</v>
      </c>
      <c r="G371" t="s">
        <v>1461</v>
      </c>
      <c r="H371" t="s">
        <v>66</v>
      </c>
      <c r="I371" t="s">
        <v>95</v>
      </c>
      <c r="J371" t="s">
        <v>1462</v>
      </c>
      <c r="K371">
        <v>9</v>
      </c>
      <c r="L371" t="s">
        <v>27</v>
      </c>
      <c r="M371" t="s">
        <v>44</v>
      </c>
      <c r="N371" s="4">
        <v>1876.25</v>
      </c>
      <c r="O371" s="19" t="str">
        <f t="shared" si="25"/>
        <v>Dec-2024</v>
      </c>
      <c r="P371">
        <f t="shared" si="26"/>
        <v>2024</v>
      </c>
      <c r="Q371" t="str">
        <f t="shared" si="27"/>
        <v>OK</v>
      </c>
      <c r="R371">
        <v>1</v>
      </c>
      <c r="S371">
        <f t="shared" si="28"/>
        <v>0</v>
      </c>
      <c r="T371">
        <f t="shared" si="29"/>
        <v>0</v>
      </c>
    </row>
    <row r="372" spans="1:20">
      <c r="A372" t="s">
        <v>1463</v>
      </c>
      <c r="B372" s="3">
        <v>45780</v>
      </c>
      <c r="C372" t="s">
        <v>1464</v>
      </c>
      <c r="D372" t="s">
        <v>31</v>
      </c>
      <c r="E372">
        <v>1</v>
      </c>
      <c r="F372" s="4">
        <v>312.11</v>
      </c>
      <c r="G372" t="s">
        <v>1465</v>
      </c>
      <c r="H372" t="s">
        <v>33</v>
      </c>
      <c r="I372" t="s">
        <v>41</v>
      </c>
      <c r="J372" t="s">
        <v>1466</v>
      </c>
      <c r="K372">
        <v>4</v>
      </c>
      <c r="L372" t="s">
        <v>87</v>
      </c>
      <c r="M372" t="s">
        <v>51</v>
      </c>
      <c r="N372" s="4">
        <v>312.11</v>
      </c>
      <c r="O372" s="19" t="str">
        <f t="shared" si="25"/>
        <v>May-2025</v>
      </c>
      <c r="P372">
        <f t="shared" si="26"/>
        <v>2025</v>
      </c>
      <c r="Q372" t="str">
        <f t="shared" si="27"/>
        <v>OK</v>
      </c>
      <c r="R372">
        <v>1</v>
      </c>
      <c r="S372">
        <f t="shared" si="28"/>
        <v>1</v>
      </c>
      <c r="T372">
        <f t="shared" si="29"/>
        <v>0</v>
      </c>
    </row>
    <row r="373" spans="1:20">
      <c r="A373" t="s">
        <v>1467</v>
      </c>
      <c r="B373" s="3">
        <v>44931</v>
      </c>
      <c r="C373" t="s">
        <v>1468</v>
      </c>
      <c r="D373" t="s">
        <v>31</v>
      </c>
      <c r="E373">
        <v>5</v>
      </c>
      <c r="F373" s="4">
        <v>307.76</v>
      </c>
      <c r="G373" t="s">
        <v>94</v>
      </c>
      <c r="H373" t="s">
        <v>66</v>
      </c>
      <c r="I373" t="s">
        <v>95</v>
      </c>
      <c r="J373" t="s">
        <v>1469</v>
      </c>
      <c r="K373">
        <v>9</v>
      </c>
      <c r="L373" t="s">
        <v>43</v>
      </c>
      <c r="M373" t="s">
        <v>82</v>
      </c>
      <c r="N373" s="4">
        <v>1538.8</v>
      </c>
      <c r="O373" s="19" t="str">
        <f t="shared" si="25"/>
        <v>Jan-2023</v>
      </c>
      <c r="P373">
        <f t="shared" si="26"/>
        <v>2023</v>
      </c>
      <c r="Q373" t="str">
        <f t="shared" si="27"/>
        <v>OK</v>
      </c>
      <c r="R373">
        <v>1</v>
      </c>
      <c r="S373">
        <f t="shared" si="28"/>
        <v>0</v>
      </c>
      <c r="T373">
        <f t="shared" si="29"/>
        <v>0</v>
      </c>
    </row>
    <row r="374" spans="1:20">
      <c r="A374" t="s">
        <v>1470</v>
      </c>
      <c r="B374" s="3">
        <v>45702</v>
      </c>
      <c r="C374" t="s">
        <v>1471</v>
      </c>
      <c r="D374" t="s">
        <v>47</v>
      </c>
      <c r="E374">
        <v>3</v>
      </c>
      <c r="F374" s="4">
        <v>483.53</v>
      </c>
      <c r="G374" t="s">
        <v>1472</v>
      </c>
      <c r="H374" t="s">
        <v>71</v>
      </c>
      <c r="I374" t="s">
        <v>49</v>
      </c>
      <c r="J374" t="s">
        <v>1473</v>
      </c>
      <c r="K374">
        <v>4</v>
      </c>
      <c r="M374" t="s">
        <v>35</v>
      </c>
      <c r="N374" s="4">
        <v>1450.59</v>
      </c>
      <c r="O374" s="19" t="str">
        <f t="shared" si="25"/>
        <v>Feb-2025</v>
      </c>
      <c r="P374">
        <f t="shared" si="26"/>
        <v>2025</v>
      </c>
      <c r="Q374" t="str">
        <f t="shared" si="27"/>
        <v>OK</v>
      </c>
      <c r="R374">
        <v>1</v>
      </c>
      <c r="S374">
        <f t="shared" si="28"/>
        <v>0</v>
      </c>
      <c r="T374">
        <f t="shared" si="29"/>
        <v>1</v>
      </c>
    </row>
    <row r="375" spans="1:20">
      <c r="A375" t="s">
        <v>1474</v>
      </c>
      <c r="B375" s="3">
        <v>44928</v>
      </c>
      <c r="C375" t="s">
        <v>1475</v>
      </c>
      <c r="D375" t="s">
        <v>64</v>
      </c>
      <c r="E375">
        <v>3</v>
      </c>
      <c r="F375" s="4">
        <v>341.15</v>
      </c>
      <c r="G375" t="s">
        <v>1476</v>
      </c>
      <c r="H375" t="s">
        <v>71</v>
      </c>
      <c r="I375" t="s">
        <v>95</v>
      </c>
      <c r="J375" t="s">
        <v>1477</v>
      </c>
      <c r="K375">
        <v>4</v>
      </c>
      <c r="L375" t="s">
        <v>43</v>
      </c>
      <c r="M375" t="s">
        <v>28</v>
      </c>
      <c r="N375" s="4">
        <v>1023.45</v>
      </c>
      <c r="O375" s="19" t="str">
        <f t="shared" si="25"/>
        <v>Jan-2023</v>
      </c>
      <c r="P375">
        <f t="shared" si="26"/>
        <v>2023</v>
      </c>
      <c r="Q375" t="str">
        <f t="shared" si="27"/>
        <v>OK</v>
      </c>
      <c r="R375">
        <v>1</v>
      </c>
      <c r="S375">
        <f t="shared" si="28"/>
        <v>0</v>
      </c>
      <c r="T375">
        <f t="shared" si="29"/>
        <v>0</v>
      </c>
    </row>
    <row r="376" spans="1:20">
      <c r="A376" t="s">
        <v>1478</v>
      </c>
      <c r="B376" s="3">
        <v>45551</v>
      </c>
      <c r="C376" t="s">
        <v>1479</v>
      </c>
      <c r="D376" t="s">
        <v>22</v>
      </c>
      <c r="E376">
        <v>1</v>
      </c>
      <c r="F376" s="4">
        <v>571.9</v>
      </c>
      <c r="G376" t="s">
        <v>333</v>
      </c>
      <c r="H376" t="s">
        <v>66</v>
      </c>
      <c r="I376" t="s">
        <v>95</v>
      </c>
      <c r="J376" t="s">
        <v>1480</v>
      </c>
      <c r="K376">
        <v>1</v>
      </c>
      <c r="L376" t="s">
        <v>87</v>
      </c>
      <c r="M376" t="s">
        <v>28</v>
      </c>
      <c r="N376" s="4">
        <v>571.9</v>
      </c>
      <c r="O376" s="19" t="str">
        <f t="shared" si="25"/>
        <v>Sep-2024</v>
      </c>
      <c r="P376">
        <f t="shared" si="26"/>
        <v>2024</v>
      </c>
      <c r="Q376" t="str">
        <f t="shared" si="27"/>
        <v>OK</v>
      </c>
      <c r="R376">
        <v>1</v>
      </c>
      <c r="S376">
        <f t="shared" si="28"/>
        <v>0</v>
      </c>
      <c r="T376">
        <f t="shared" si="29"/>
        <v>0</v>
      </c>
    </row>
    <row r="377" spans="1:20">
      <c r="A377" t="s">
        <v>1481</v>
      </c>
      <c r="B377" s="3">
        <v>45673</v>
      </c>
      <c r="C377" t="s">
        <v>1482</v>
      </c>
      <c r="D377" t="s">
        <v>22</v>
      </c>
      <c r="E377">
        <v>4</v>
      </c>
      <c r="F377" s="4">
        <v>95.03</v>
      </c>
      <c r="G377" t="s">
        <v>1483</v>
      </c>
      <c r="H377" t="s">
        <v>33</v>
      </c>
      <c r="I377" t="s">
        <v>25</v>
      </c>
      <c r="J377" t="s">
        <v>1484</v>
      </c>
      <c r="K377">
        <v>8</v>
      </c>
      <c r="L377" t="s">
        <v>43</v>
      </c>
      <c r="M377" t="s">
        <v>51</v>
      </c>
      <c r="N377" s="4">
        <v>380.12</v>
      </c>
      <c r="O377" s="19" t="str">
        <f t="shared" si="25"/>
        <v>Jan-2025</v>
      </c>
      <c r="P377">
        <f t="shared" si="26"/>
        <v>2025</v>
      </c>
      <c r="Q377" t="str">
        <f t="shared" si="27"/>
        <v>OK</v>
      </c>
      <c r="R377">
        <v>1</v>
      </c>
      <c r="S377">
        <f t="shared" si="28"/>
        <v>0</v>
      </c>
      <c r="T377">
        <f t="shared" si="29"/>
        <v>0</v>
      </c>
    </row>
    <row r="378" spans="1:20">
      <c r="A378" t="s">
        <v>1485</v>
      </c>
      <c r="B378" s="3">
        <v>45162</v>
      </c>
      <c r="C378" t="s">
        <v>1486</v>
      </c>
      <c r="D378" t="s">
        <v>22</v>
      </c>
      <c r="E378">
        <v>5</v>
      </c>
      <c r="F378" s="4">
        <v>201.22</v>
      </c>
      <c r="G378" t="s">
        <v>1487</v>
      </c>
      <c r="H378" t="s">
        <v>24</v>
      </c>
      <c r="I378" t="s">
        <v>95</v>
      </c>
      <c r="J378" t="s">
        <v>1488</v>
      </c>
      <c r="K378">
        <v>6</v>
      </c>
      <c r="L378" t="s">
        <v>43</v>
      </c>
      <c r="M378" t="s">
        <v>51</v>
      </c>
      <c r="N378" s="4">
        <v>1006.1</v>
      </c>
      <c r="O378" s="19" t="str">
        <f t="shared" si="25"/>
        <v>Aug-2023</v>
      </c>
      <c r="P378">
        <f t="shared" si="26"/>
        <v>2023</v>
      </c>
      <c r="Q378" t="str">
        <f t="shared" si="27"/>
        <v>OK</v>
      </c>
      <c r="R378">
        <v>1</v>
      </c>
      <c r="S378">
        <f t="shared" si="28"/>
        <v>0</v>
      </c>
      <c r="T378">
        <f t="shared" si="29"/>
        <v>0</v>
      </c>
    </row>
    <row r="379" spans="1:20">
      <c r="A379" t="s">
        <v>1489</v>
      </c>
      <c r="B379" s="3">
        <v>45495</v>
      </c>
      <c r="C379" t="s">
        <v>1490</v>
      </c>
      <c r="D379" t="s">
        <v>22</v>
      </c>
      <c r="E379">
        <v>1</v>
      </c>
      <c r="F379" s="4">
        <v>260.26</v>
      </c>
      <c r="G379" t="s">
        <v>1235</v>
      </c>
      <c r="H379" t="s">
        <v>33</v>
      </c>
      <c r="I379" t="s">
        <v>95</v>
      </c>
      <c r="J379" t="s">
        <v>1491</v>
      </c>
      <c r="K379">
        <v>5</v>
      </c>
      <c r="L379" t="s">
        <v>87</v>
      </c>
      <c r="M379" t="s">
        <v>28</v>
      </c>
      <c r="N379" s="4">
        <v>260.26</v>
      </c>
      <c r="O379" s="19" t="str">
        <f t="shared" si="25"/>
        <v>Jul-2024</v>
      </c>
      <c r="P379">
        <f t="shared" si="26"/>
        <v>2024</v>
      </c>
      <c r="Q379" t="str">
        <f t="shared" si="27"/>
        <v>OK</v>
      </c>
      <c r="R379">
        <v>1</v>
      </c>
      <c r="S379">
        <f t="shared" si="28"/>
        <v>0</v>
      </c>
      <c r="T379">
        <f t="shared" si="29"/>
        <v>0</v>
      </c>
    </row>
    <row r="380" spans="1:20">
      <c r="A380" t="s">
        <v>1492</v>
      </c>
      <c r="B380" s="3">
        <v>45323</v>
      </c>
      <c r="C380" t="s">
        <v>1493</v>
      </c>
      <c r="D380" t="s">
        <v>47</v>
      </c>
      <c r="E380">
        <v>5</v>
      </c>
      <c r="F380" s="4">
        <v>64.5</v>
      </c>
      <c r="G380" t="s">
        <v>1494</v>
      </c>
      <c r="H380" t="s">
        <v>40</v>
      </c>
      <c r="I380" t="s">
        <v>95</v>
      </c>
      <c r="J380" t="s">
        <v>1495</v>
      </c>
      <c r="K380">
        <v>8</v>
      </c>
      <c r="L380" t="s">
        <v>87</v>
      </c>
      <c r="M380" t="s">
        <v>28</v>
      </c>
      <c r="N380" s="4">
        <v>322.5</v>
      </c>
      <c r="O380" s="19" t="str">
        <f t="shared" si="25"/>
        <v>Feb-2024</v>
      </c>
      <c r="P380">
        <f t="shared" si="26"/>
        <v>2024</v>
      </c>
      <c r="Q380" t="str">
        <f t="shared" si="27"/>
        <v>OK</v>
      </c>
      <c r="R380">
        <v>1</v>
      </c>
      <c r="S380">
        <f t="shared" si="28"/>
        <v>0</v>
      </c>
      <c r="T380">
        <f t="shared" si="29"/>
        <v>0</v>
      </c>
    </row>
    <row r="381" spans="1:20">
      <c r="A381" t="s">
        <v>1496</v>
      </c>
      <c r="B381" s="3">
        <v>45556</v>
      </c>
      <c r="C381" t="s">
        <v>1497</v>
      </c>
      <c r="D381" t="s">
        <v>31</v>
      </c>
      <c r="E381">
        <v>3</v>
      </c>
      <c r="F381" s="4">
        <v>297.67</v>
      </c>
      <c r="G381" t="s">
        <v>745</v>
      </c>
      <c r="H381" t="s">
        <v>33</v>
      </c>
      <c r="I381" t="s">
        <v>25</v>
      </c>
      <c r="J381" t="s">
        <v>1498</v>
      </c>
      <c r="K381">
        <v>6</v>
      </c>
      <c r="M381" t="s">
        <v>82</v>
      </c>
      <c r="N381" s="4">
        <v>893.01</v>
      </c>
      <c r="O381" s="19" t="str">
        <f t="shared" si="25"/>
        <v>Sep-2024</v>
      </c>
      <c r="P381">
        <f t="shared" si="26"/>
        <v>2024</v>
      </c>
      <c r="Q381" t="str">
        <f t="shared" si="27"/>
        <v>OK</v>
      </c>
      <c r="R381">
        <v>1</v>
      </c>
      <c r="S381">
        <f t="shared" si="28"/>
        <v>0</v>
      </c>
      <c r="T381">
        <f t="shared" si="29"/>
        <v>0</v>
      </c>
    </row>
    <row r="382" spans="1:20">
      <c r="A382" t="s">
        <v>1499</v>
      </c>
      <c r="B382" s="3">
        <v>45402</v>
      </c>
      <c r="C382" t="s">
        <v>1500</v>
      </c>
      <c r="D382" t="s">
        <v>54</v>
      </c>
      <c r="E382">
        <v>4</v>
      </c>
      <c r="F382" s="4">
        <v>331.9</v>
      </c>
      <c r="G382" t="s">
        <v>1087</v>
      </c>
      <c r="H382" t="s">
        <v>71</v>
      </c>
      <c r="I382" t="s">
        <v>95</v>
      </c>
      <c r="J382" t="s">
        <v>1501</v>
      </c>
      <c r="K382">
        <v>5</v>
      </c>
      <c r="L382" t="s">
        <v>27</v>
      </c>
      <c r="M382" t="s">
        <v>28</v>
      </c>
      <c r="N382" s="4">
        <v>1327.6</v>
      </c>
      <c r="O382" s="19" t="str">
        <f t="shared" si="25"/>
        <v>Apr-2024</v>
      </c>
      <c r="P382">
        <f t="shared" si="26"/>
        <v>2024</v>
      </c>
      <c r="Q382" t="str">
        <f t="shared" si="27"/>
        <v>OK</v>
      </c>
      <c r="R382">
        <v>1</v>
      </c>
      <c r="S382">
        <f t="shared" si="28"/>
        <v>0</v>
      </c>
      <c r="T382">
        <f t="shared" si="29"/>
        <v>0</v>
      </c>
    </row>
    <row r="383" spans="1:20">
      <c r="A383" t="s">
        <v>1502</v>
      </c>
      <c r="B383" s="3">
        <v>45084</v>
      </c>
      <c r="C383" t="s">
        <v>1503</v>
      </c>
      <c r="D383" t="s">
        <v>47</v>
      </c>
      <c r="E383">
        <v>1</v>
      </c>
      <c r="F383" s="4">
        <v>191.76</v>
      </c>
      <c r="G383" t="s">
        <v>229</v>
      </c>
      <c r="H383" t="s">
        <v>40</v>
      </c>
      <c r="I383" t="s">
        <v>49</v>
      </c>
      <c r="J383" t="s">
        <v>1504</v>
      </c>
      <c r="K383">
        <v>1</v>
      </c>
      <c r="L383" t="s">
        <v>43</v>
      </c>
      <c r="M383" t="s">
        <v>28</v>
      </c>
      <c r="N383" s="4">
        <v>191.76</v>
      </c>
      <c r="O383" s="19" t="str">
        <f t="shared" si="25"/>
        <v>Jun-2023</v>
      </c>
      <c r="P383">
        <f t="shared" si="26"/>
        <v>2023</v>
      </c>
      <c r="Q383" t="str">
        <f t="shared" si="27"/>
        <v>OK</v>
      </c>
      <c r="R383">
        <v>1</v>
      </c>
      <c r="S383">
        <f t="shared" si="28"/>
        <v>0</v>
      </c>
      <c r="T383">
        <f t="shared" si="29"/>
        <v>1</v>
      </c>
    </row>
    <row r="384" spans="1:20">
      <c r="A384" t="s">
        <v>1505</v>
      </c>
      <c r="B384" s="3">
        <v>45687</v>
      </c>
      <c r="C384" t="s">
        <v>1506</v>
      </c>
      <c r="D384" t="s">
        <v>54</v>
      </c>
      <c r="E384">
        <v>4</v>
      </c>
      <c r="F384" s="4">
        <v>263.08999999999997</v>
      </c>
      <c r="G384" t="s">
        <v>1507</v>
      </c>
      <c r="H384" t="s">
        <v>24</v>
      </c>
      <c r="I384" t="s">
        <v>25</v>
      </c>
      <c r="J384" t="s">
        <v>1508</v>
      </c>
      <c r="K384">
        <v>8</v>
      </c>
      <c r="L384" t="s">
        <v>27</v>
      </c>
      <c r="M384" t="s">
        <v>82</v>
      </c>
      <c r="N384" s="4">
        <v>1052.3599999999999</v>
      </c>
      <c r="O384" s="19" t="str">
        <f t="shared" si="25"/>
        <v>Jan-2025</v>
      </c>
      <c r="P384">
        <f t="shared" si="26"/>
        <v>2025</v>
      </c>
      <c r="Q384" t="str">
        <f t="shared" si="27"/>
        <v>OK</v>
      </c>
      <c r="R384">
        <v>1</v>
      </c>
      <c r="S384">
        <f t="shared" si="28"/>
        <v>0</v>
      </c>
      <c r="T384">
        <f t="shared" si="29"/>
        <v>0</v>
      </c>
    </row>
    <row r="385" spans="1:20">
      <c r="A385" t="s">
        <v>1509</v>
      </c>
      <c r="B385" s="3">
        <v>44946</v>
      </c>
      <c r="C385" t="s">
        <v>1510</v>
      </c>
      <c r="D385" t="s">
        <v>47</v>
      </c>
      <c r="E385">
        <v>4</v>
      </c>
      <c r="F385" s="4">
        <v>393.8</v>
      </c>
      <c r="G385" t="s">
        <v>413</v>
      </c>
      <c r="H385" t="s">
        <v>40</v>
      </c>
      <c r="I385" t="s">
        <v>95</v>
      </c>
      <c r="J385" t="s">
        <v>1511</v>
      </c>
      <c r="K385">
        <v>7</v>
      </c>
      <c r="L385" t="s">
        <v>27</v>
      </c>
      <c r="M385" t="s">
        <v>44</v>
      </c>
      <c r="N385" s="4">
        <v>1575.2</v>
      </c>
      <c r="O385" s="19" t="str">
        <f t="shared" si="25"/>
        <v>Jan-2023</v>
      </c>
      <c r="P385">
        <f t="shared" si="26"/>
        <v>2023</v>
      </c>
      <c r="Q385" t="str">
        <f t="shared" si="27"/>
        <v>OK</v>
      </c>
      <c r="R385">
        <v>1</v>
      </c>
      <c r="S385">
        <f t="shared" si="28"/>
        <v>0</v>
      </c>
      <c r="T385">
        <f t="shared" si="29"/>
        <v>0</v>
      </c>
    </row>
    <row r="386" spans="1:20">
      <c r="A386" t="s">
        <v>1512</v>
      </c>
      <c r="B386" s="3">
        <v>45620</v>
      </c>
      <c r="C386" t="s">
        <v>1513</v>
      </c>
      <c r="D386" t="s">
        <v>47</v>
      </c>
      <c r="E386">
        <v>3</v>
      </c>
      <c r="F386" s="4">
        <v>553.57000000000005</v>
      </c>
      <c r="G386" t="s">
        <v>1514</v>
      </c>
      <c r="H386" t="s">
        <v>40</v>
      </c>
      <c r="I386" t="s">
        <v>49</v>
      </c>
      <c r="J386" t="s">
        <v>1515</v>
      </c>
      <c r="K386">
        <v>4</v>
      </c>
      <c r="L386" t="s">
        <v>43</v>
      </c>
      <c r="M386" t="s">
        <v>51</v>
      </c>
      <c r="N386" s="4">
        <v>1660.71</v>
      </c>
      <c r="O386" s="19" t="str">
        <f t="shared" ref="O386:O449" si="30">TEXT(B386,"mmm-yyyy")</f>
        <v>Nov-2024</v>
      </c>
      <c r="P386">
        <f t="shared" ref="P386:P449" si="31">YEAR(B386)</f>
        <v>2024</v>
      </c>
      <c r="Q386" t="str">
        <f t="shared" ref="Q386:Q449" si="32">IF(ABS(N386-(E386*F386))&lt;0.01,"OK","CHECK")</f>
        <v>OK</v>
      </c>
      <c r="R386">
        <v>1</v>
      </c>
      <c r="S386">
        <f t="shared" ref="S386:S449" si="33">IF(I386="Cancelled",1,0)</f>
        <v>0</v>
      </c>
      <c r="T386">
        <f t="shared" ref="T386:T449" si="34">IF(I386="Returned",1,0)</f>
        <v>1</v>
      </c>
    </row>
    <row r="387" spans="1:20">
      <c r="A387" t="s">
        <v>1516</v>
      </c>
      <c r="B387" s="3">
        <v>45230</v>
      </c>
      <c r="C387" t="s">
        <v>1517</v>
      </c>
      <c r="D387" t="s">
        <v>47</v>
      </c>
      <c r="E387">
        <v>5</v>
      </c>
      <c r="F387" s="4">
        <v>191.63</v>
      </c>
      <c r="G387" t="s">
        <v>299</v>
      </c>
      <c r="H387" t="s">
        <v>66</v>
      </c>
      <c r="I387" t="s">
        <v>56</v>
      </c>
      <c r="J387" t="s">
        <v>1518</v>
      </c>
      <c r="K387">
        <v>6</v>
      </c>
      <c r="L387" t="s">
        <v>43</v>
      </c>
      <c r="M387" t="s">
        <v>51</v>
      </c>
      <c r="N387" s="4">
        <v>958.15</v>
      </c>
      <c r="O387" s="19" t="str">
        <f t="shared" si="30"/>
        <v>Oct-2023</v>
      </c>
      <c r="P387">
        <f t="shared" si="31"/>
        <v>2023</v>
      </c>
      <c r="Q387" t="str">
        <f t="shared" si="32"/>
        <v>OK</v>
      </c>
      <c r="R387">
        <v>1</v>
      </c>
      <c r="S387">
        <f t="shared" si="33"/>
        <v>0</v>
      </c>
      <c r="T387">
        <f t="shared" si="34"/>
        <v>0</v>
      </c>
    </row>
    <row r="388" spans="1:20">
      <c r="A388" t="s">
        <v>1519</v>
      </c>
      <c r="B388" s="3">
        <v>45044</v>
      </c>
      <c r="C388" t="s">
        <v>1520</v>
      </c>
      <c r="D388" t="s">
        <v>38</v>
      </c>
      <c r="E388">
        <v>1</v>
      </c>
      <c r="F388" s="4">
        <v>93.02</v>
      </c>
      <c r="G388" t="s">
        <v>1521</v>
      </c>
      <c r="H388" t="s">
        <v>33</v>
      </c>
      <c r="I388" t="s">
        <v>49</v>
      </c>
      <c r="J388" t="s">
        <v>1522</v>
      </c>
      <c r="K388">
        <v>4</v>
      </c>
      <c r="M388" t="s">
        <v>44</v>
      </c>
      <c r="N388" s="4">
        <v>93.02</v>
      </c>
      <c r="O388" s="19" t="str">
        <f t="shared" si="30"/>
        <v>Apr-2023</v>
      </c>
      <c r="P388">
        <f t="shared" si="31"/>
        <v>2023</v>
      </c>
      <c r="Q388" t="str">
        <f t="shared" si="32"/>
        <v>OK</v>
      </c>
      <c r="R388">
        <v>1</v>
      </c>
      <c r="S388">
        <f t="shared" si="33"/>
        <v>0</v>
      </c>
      <c r="T388">
        <f t="shared" si="34"/>
        <v>1</v>
      </c>
    </row>
    <row r="389" spans="1:20">
      <c r="A389" t="s">
        <v>1523</v>
      </c>
      <c r="B389" s="3">
        <v>45470</v>
      </c>
      <c r="C389" t="s">
        <v>1524</v>
      </c>
      <c r="D389" t="s">
        <v>54</v>
      </c>
      <c r="E389">
        <v>2</v>
      </c>
      <c r="F389" s="4">
        <v>39.53</v>
      </c>
      <c r="G389" t="s">
        <v>75</v>
      </c>
      <c r="H389" t="s">
        <v>40</v>
      </c>
      <c r="I389" t="s">
        <v>25</v>
      </c>
      <c r="J389" t="s">
        <v>1525</v>
      </c>
      <c r="K389">
        <v>3</v>
      </c>
      <c r="L389" t="s">
        <v>87</v>
      </c>
      <c r="M389" t="s">
        <v>82</v>
      </c>
      <c r="N389" s="4">
        <v>79.06</v>
      </c>
      <c r="O389" s="19" t="str">
        <f t="shared" si="30"/>
        <v>Jun-2024</v>
      </c>
      <c r="P389">
        <f t="shared" si="31"/>
        <v>2024</v>
      </c>
      <c r="Q389" t="str">
        <f t="shared" si="32"/>
        <v>OK</v>
      </c>
      <c r="R389">
        <v>1</v>
      </c>
      <c r="S389">
        <f t="shared" si="33"/>
        <v>0</v>
      </c>
      <c r="T389">
        <f t="shared" si="34"/>
        <v>0</v>
      </c>
    </row>
    <row r="390" spans="1:20">
      <c r="A390" t="s">
        <v>1526</v>
      </c>
      <c r="B390" s="3">
        <v>45288</v>
      </c>
      <c r="C390" t="s">
        <v>1527</v>
      </c>
      <c r="D390" t="s">
        <v>54</v>
      </c>
      <c r="E390">
        <v>3</v>
      </c>
      <c r="F390" s="4">
        <v>633.97</v>
      </c>
      <c r="G390" t="s">
        <v>444</v>
      </c>
      <c r="H390" t="s">
        <v>71</v>
      </c>
      <c r="I390" t="s">
        <v>95</v>
      </c>
      <c r="J390" t="s">
        <v>1528</v>
      </c>
      <c r="K390">
        <v>7</v>
      </c>
      <c r="L390" t="s">
        <v>87</v>
      </c>
      <c r="M390" t="s">
        <v>51</v>
      </c>
      <c r="N390" s="4">
        <v>1901.91</v>
      </c>
      <c r="O390" s="19" t="str">
        <f t="shared" si="30"/>
        <v>Dec-2023</v>
      </c>
      <c r="P390">
        <f t="shared" si="31"/>
        <v>2023</v>
      </c>
      <c r="Q390" t="str">
        <f t="shared" si="32"/>
        <v>OK</v>
      </c>
      <c r="R390">
        <v>1</v>
      </c>
      <c r="S390">
        <f t="shared" si="33"/>
        <v>0</v>
      </c>
      <c r="T390">
        <f t="shared" si="34"/>
        <v>0</v>
      </c>
    </row>
    <row r="391" spans="1:20">
      <c r="A391" t="s">
        <v>1529</v>
      </c>
      <c r="B391" s="3">
        <v>45277</v>
      </c>
      <c r="C391" t="s">
        <v>1530</v>
      </c>
      <c r="D391" t="s">
        <v>79</v>
      </c>
      <c r="E391">
        <v>4</v>
      </c>
      <c r="F391" s="4">
        <v>697.5</v>
      </c>
      <c r="G391" t="s">
        <v>1531</v>
      </c>
      <c r="H391" t="s">
        <v>71</v>
      </c>
      <c r="I391" t="s">
        <v>25</v>
      </c>
      <c r="J391" t="s">
        <v>1532</v>
      </c>
      <c r="K391">
        <v>7</v>
      </c>
      <c r="L391" t="s">
        <v>43</v>
      </c>
      <c r="M391" t="s">
        <v>35</v>
      </c>
      <c r="N391" s="4">
        <v>2790</v>
      </c>
      <c r="O391" s="19" t="str">
        <f t="shared" si="30"/>
        <v>Dec-2023</v>
      </c>
      <c r="P391">
        <f t="shared" si="31"/>
        <v>2023</v>
      </c>
      <c r="Q391" t="str">
        <f t="shared" si="32"/>
        <v>OK</v>
      </c>
      <c r="R391">
        <v>1</v>
      </c>
      <c r="S391">
        <f t="shared" si="33"/>
        <v>0</v>
      </c>
      <c r="T391">
        <f t="shared" si="34"/>
        <v>0</v>
      </c>
    </row>
    <row r="392" spans="1:20">
      <c r="A392" t="s">
        <v>1533</v>
      </c>
      <c r="B392" s="3">
        <v>45121</v>
      </c>
      <c r="C392" t="s">
        <v>1534</v>
      </c>
      <c r="D392" t="s">
        <v>54</v>
      </c>
      <c r="E392">
        <v>5</v>
      </c>
      <c r="F392" s="4">
        <v>508.69</v>
      </c>
      <c r="G392" t="s">
        <v>1382</v>
      </c>
      <c r="H392" t="s">
        <v>71</v>
      </c>
      <c r="I392" t="s">
        <v>56</v>
      </c>
      <c r="J392" t="s">
        <v>1535</v>
      </c>
      <c r="K392">
        <v>10</v>
      </c>
      <c r="L392" t="s">
        <v>43</v>
      </c>
      <c r="M392" t="s">
        <v>82</v>
      </c>
      <c r="N392" s="4">
        <v>2543.4499999999998</v>
      </c>
      <c r="O392" s="19" t="str">
        <f t="shared" si="30"/>
        <v>Jul-2023</v>
      </c>
      <c r="P392">
        <f t="shared" si="31"/>
        <v>2023</v>
      </c>
      <c r="Q392" t="str">
        <f t="shared" si="32"/>
        <v>OK</v>
      </c>
      <c r="R392">
        <v>1</v>
      </c>
      <c r="S392">
        <f t="shared" si="33"/>
        <v>0</v>
      </c>
      <c r="T392">
        <f t="shared" si="34"/>
        <v>0</v>
      </c>
    </row>
    <row r="393" spans="1:20">
      <c r="A393" t="s">
        <v>1536</v>
      </c>
      <c r="B393" s="3">
        <v>45673</v>
      </c>
      <c r="C393" t="s">
        <v>1537</v>
      </c>
      <c r="D393" t="s">
        <v>64</v>
      </c>
      <c r="E393">
        <v>2</v>
      </c>
      <c r="F393" s="4">
        <v>527.46</v>
      </c>
      <c r="G393" t="s">
        <v>1143</v>
      </c>
      <c r="H393" t="s">
        <v>24</v>
      </c>
      <c r="I393" t="s">
        <v>41</v>
      </c>
      <c r="J393" t="s">
        <v>1538</v>
      </c>
      <c r="K393">
        <v>3</v>
      </c>
      <c r="L393" t="s">
        <v>43</v>
      </c>
      <c r="M393" t="s">
        <v>35</v>
      </c>
      <c r="N393" s="4">
        <v>1054.92</v>
      </c>
      <c r="O393" s="19" t="str">
        <f t="shared" si="30"/>
        <v>Jan-2025</v>
      </c>
      <c r="P393">
        <f t="shared" si="31"/>
        <v>2025</v>
      </c>
      <c r="Q393" t="str">
        <f t="shared" si="32"/>
        <v>OK</v>
      </c>
      <c r="R393">
        <v>1</v>
      </c>
      <c r="S393">
        <f t="shared" si="33"/>
        <v>1</v>
      </c>
      <c r="T393">
        <f t="shared" si="34"/>
        <v>0</v>
      </c>
    </row>
    <row r="394" spans="1:20">
      <c r="A394" t="s">
        <v>1539</v>
      </c>
      <c r="B394" s="3">
        <v>45350</v>
      </c>
      <c r="C394" t="s">
        <v>1540</v>
      </c>
      <c r="D394" t="s">
        <v>31</v>
      </c>
      <c r="E394">
        <v>1</v>
      </c>
      <c r="F394" s="4">
        <v>627.20000000000005</v>
      </c>
      <c r="G394" t="s">
        <v>1433</v>
      </c>
      <c r="H394" t="s">
        <v>33</v>
      </c>
      <c r="I394" t="s">
        <v>56</v>
      </c>
      <c r="J394" t="s">
        <v>1541</v>
      </c>
      <c r="K394">
        <v>1</v>
      </c>
      <c r="L394" t="s">
        <v>87</v>
      </c>
      <c r="M394" t="s">
        <v>44</v>
      </c>
      <c r="N394" s="4">
        <v>627.20000000000005</v>
      </c>
      <c r="O394" s="19" t="str">
        <f t="shared" si="30"/>
        <v>Feb-2024</v>
      </c>
      <c r="P394">
        <f t="shared" si="31"/>
        <v>2024</v>
      </c>
      <c r="Q394" t="str">
        <f t="shared" si="32"/>
        <v>OK</v>
      </c>
      <c r="R394">
        <v>1</v>
      </c>
      <c r="S394">
        <f t="shared" si="33"/>
        <v>0</v>
      </c>
      <c r="T394">
        <f t="shared" si="34"/>
        <v>0</v>
      </c>
    </row>
    <row r="395" spans="1:20">
      <c r="A395" t="s">
        <v>1542</v>
      </c>
      <c r="B395" s="3">
        <v>45487</v>
      </c>
      <c r="C395" t="s">
        <v>1543</v>
      </c>
      <c r="D395" t="s">
        <v>54</v>
      </c>
      <c r="E395">
        <v>1</v>
      </c>
      <c r="F395" s="4">
        <v>75.010000000000005</v>
      </c>
      <c r="G395" t="s">
        <v>1544</v>
      </c>
      <c r="H395" t="s">
        <v>40</v>
      </c>
      <c r="I395" t="s">
        <v>49</v>
      </c>
      <c r="J395" t="s">
        <v>1545</v>
      </c>
      <c r="K395">
        <v>3</v>
      </c>
      <c r="M395" t="s">
        <v>82</v>
      </c>
      <c r="N395" s="4">
        <v>75.010000000000005</v>
      </c>
      <c r="O395" s="19" t="str">
        <f t="shared" si="30"/>
        <v>Jul-2024</v>
      </c>
      <c r="P395">
        <f t="shared" si="31"/>
        <v>2024</v>
      </c>
      <c r="Q395" t="str">
        <f t="shared" si="32"/>
        <v>OK</v>
      </c>
      <c r="R395">
        <v>1</v>
      </c>
      <c r="S395">
        <f t="shared" si="33"/>
        <v>0</v>
      </c>
      <c r="T395">
        <f t="shared" si="34"/>
        <v>1</v>
      </c>
    </row>
    <row r="396" spans="1:20">
      <c r="A396" t="s">
        <v>1546</v>
      </c>
      <c r="B396" s="3">
        <v>45112</v>
      </c>
      <c r="C396" t="s">
        <v>1547</v>
      </c>
      <c r="D396" t="s">
        <v>79</v>
      </c>
      <c r="E396">
        <v>5</v>
      </c>
      <c r="F396" s="4">
        <v>529.54999999999995</v>
      </c>
      <c r="G396" t="s">
        <v>1548</v>
      </c>
      <c r="H396" t="s">
        <v>66</v>
      </c>
      <c r="I396" t="s">
        <v>25</v>
      </c>
      <c r="J396" t="s">
        <v>1549</v>
      </c>
      <c r="K396">
        <v>10</v>
      </c>
      <c r="M396" t="s">
        <v>51</v>
      </c>
      <c r="N396" s="4">
        <v>2647.75</v>
      </c>
      <c r="O396" s="19" t="str">
        <f t="shared" si="30"/>
        <v>Jul-2023</v>
      </c>
      <c r="P396">
        <f t="shared" si="31"/>
        <v>2023</v>
      </c>
      <c r="Q396" t="str">
        <f t="shared" si="32"/>
        <v>OK</v>
      </c>
      <c r="R396">
        <v>1</v>
      </c>
      <c r="S396">
        <f t="shared" si="33"/>
        <v>0</v>
      </c>
      <c r="T396">
        <f t="shared" si="34"/>
        <v>0</v>
      </c>
    </row>
    <row r="397" spans="1:20">
      <c r="A397" t="s">
        <v>1550</v>
      </c>
      <c r="B397" s="3">
        <v>45772</v>
      </c>
      <c r="C397" t="s">
        <v>1551</v>
      </c>
      <c r="D397" t="s">
        <v>31</v>
      </c>
      <c r="E397">
        <v>3</v>
      </c>
      <c r="F397" s="4">
        <v>127.41</v>
      </c>
      <c r="G397" t="s">
        <v>175</v>
      </c>
      <c r="H397" t="s">
        <v>66</v>
      </c>
      <c r="I397" t="s">
        <v>56</v>
      </c>
      <c r="J397" t="s">
        <v>1552</v>
      </c>
      <c r="K397">
        <v>7</v>
      </c>
      <c r="L397" t="s">
        <v>27</v>
      </c>
      <c r="M397" t="s">
        <v>35</v>
      </c>
      <c r="N397" s="4">
        <v>382.23</v>
      </c>
      <c r="O397" s="19" t="str">
        <f t="shared" si="30"/>
        <v>Apr-2025</v>
      </c>
      <c r="P397">
        <f t="shared" si="31"/>
        <v>2025</v>
      </c>
      <c r="Q397" t="str">
        <f t="shared" si="32"/>
        <v>OK</v>
      </c>
      <c r="R397">
        <v>1</v>
      </c>
      <c r="S397">
        <f t="shared" si="33"/>
        <v>0</v>
      </c>
      <c r="T397">
        <f t="shared" si="34"/>
        <v>0</v>
      </c>
    </row>
    <row r="398" spans="1:20">
      <c r="A398" t="s">
        <v>1553</v>
      </c>
      <c r="B398" s="3">
        <v>45261</v>
      </c>
      <c r="C398" t="s">
        <v>1554</v>
      </c>
      <c r="D398" t="s">
        <v>38</v>
      </c>
      <c r="E398">
        <v>5</v>
      </c>
      <c r="F398" s="4">
        <v>287.13</v>
      </c>
      <c r="G398" t="s">
        <v>1555</v>
      </c>
      <c r="H398" t="s">
        <v>33</v>
      </c>
      <c r="I398" t="s">
        <v>25</v>
      </c>
      <c r="J398" t="s">
        <v>1556</v>
      </c>
      <c r="K398">
        <v>10</v>
      </c>
      <c r="L398" t="s">
        <v>27</v>
      </c>
      <c r="M398" t="s">
        <v>44</v>
      </c>
      <c r="N398" s="4">
        <v>1435.65</v>
      </c>
      <c r="O398" s="19" t="str">
        <f t="shared" si="30"/>
        <v>Dec-2023</v>
      </c>
      <c r="P398">
        <f t="shared" si="31"/>
        <v>2023</v>
      </c>
      <c r="Q398" t="str">
        <f t="shared" si="32"/>
        <v>OK</v>
      </c>
      <c r="R398">
        <v>1</v>
      </c>
      <c r="S398">
        <f t="shared" si="33"/>
        <v>0</v>
      </c>
      <c r="T398">
        <f t="shared" si="34"/>
        <v>0</v>
      </c>
    </row>
    <row r="399" spans="1:20">
      <c r="A399" t="s">
        <v>1557</v>
      </c>
      <c r="B399" s="3">
        <v>45197</v>
      </c>
      <c r="C399" t="s">
        <v>1558</v>
      </c>
      <c r="D399" t="s">
        <v>22</v>
      </c>
      <c r="E399">
        <v>1</v>
      </c>
      <c r="F399" s="4">
        <v>427.06</v>
      </c>
      <c r="G399" t="s">
        <v>1559</v>
      </c>
      <c r="H399" t="s">
        <v>33</v>
      </c>
      <c r="I399" t="s">
        <v>41</v>
      </c>
      <c r="J399" t="s">
        <v>1560</v>
      </c>
      <c r="K399">
        <v>1</v>
      </c>
      <c r="L399" t="s">
        <v>87</v>
      </c>
      <c r="M399" t="s">
        <v>35</v>
      </c>
      <c r="N399" s="4">
        <v>427.06</v>
      </c>
      <c r="O399" s="19" t="str">
        <f t="shared" si="30"/>
        <v>Sep-2023</v>
      </c>
      <c r="P399">
        <f t="shared" si="31"/>
        <v>2023</v>
      </c>
      <c r="Q399" t="str">
        <f t="shared" si="32"/>
        <v>OK</v>
      </c>
      <c r="R399">
        <v>1</v>
      </c>
      <c r="S399">
        <f t="shared" si="33"/>
        <v>1</v>
      </c>
      <c r="T399">
        <f t="shared" si="34"/>
        <v>0</v>
      </c>
    </row>
    <row r="400" spans="1:20">
      <c r="A400" t="s">
        <v>1561</v>
      </c>
      <c r="B400" s="3">
        <v>45539</v>
      </c>
      <c r="C400" t="s">
        <v>1562</v>
      </c>
      <c r="D400" t="s">
        <v>31</v>
      </c>
      <c r="E400">
        <v>5</v>
      </c>
      <c r="F400" s="4">
        <v>53.93</v>
      </c>
      <c r="G400" t="s">
        <v>847</v>
      </c>
      <c r="H400" t="s">
        <v>66</v>
      </c>
      <c r="I400" t="s">
        <v>25</v>
      </c>
      <c r="J400" t="s">
        <v>1563</v>
      </c>
      <c r="K400">
        <v>7</v>
      </c>
      <c r="L400" t="s">
        <v>27</v>
      </c>
      <c r="M400" t="s">
        <v>28</v>
      </c>
      <c r="N400" s="4">
        <v>269.64999999999998</v>
      </c>
      <c r="O400" s="19" t="str">
        <f t="shared" si="30"/>
        <v>Sep-2024</v>
      </c>
      <c r="P400">
        <f t="shared" si="31"/>
        <v>2024</v>
      </c>
      <c r="Q400" t="str">
        <f t="shared" si="32"/>
        <v>OK</v>
      </c>
      <c r="R400">
        <v>1</v>
      </c>
      <c r="S400">
        <f t="shared" si="33"/>
        <v>0</v>
      </c>
      <c r="T400">
        <f t="shared" si="34"/>
        <v>0</v>
      </c>
    </row>
    <row r="401" spans="1:20">
      <c r="A401" t="s">
        <v>1564</v>
      </c>
      <c r="B401" s="3">
        <v>45298</v>
      </c>
      <c r="C401" t="s">
        <v>1565</v>
      </c>
      <c r="D401" t="s">
        <v>38</v>
      </c>
      <c r="E401">
        <v>5</v>
      </c>
      <c r="F401" s="4">
        <v>423.93</v>
      </c>
      <c r="G401" t="s">
        <v>1566</v>
      </c>
      <c r="H401" t="s">
        <v>24</v>
      </c>
      <c r="I401" t="s">
        <v>49</v>
      </c>
      <c r="J401" t="s">
        <v>1567</v>
      </c>
      <c r="K401">
        <v>5</v>
      </c>
      <c r="L401" t="s">
        <v>43</v>
      </c>
      <c r="M401" t="s">
        <v>51</v>
      </c>
      <c r="N401" s="4">
        <v>2119.65</v>
      </c>
      <c r="O401" s="19" t="str">
        <f t="shared" si="30"/>
        <v>Jan-2024</v>
      </c>
      <c r="P401">
        <f t="shared" si="31"/>
        <v>2024</v>
      </c>
      <c r="Q401" t="str">
        <f t="shared" si="32"/>
        <v>OK</v>
      </c>
      <c r="R401">
        <v>1</v>
      </c>
      <c r="S401">
        <f t="shared" si="33"/>
        <v>0</v>
      </c>
      <c r="T401">
        <f t="shared" si="34"/>
        <v>1</v>
      </c>
    </row>
    <row r="402" spans="1:20">
      <c r="A402" t="s">
        <v>1568</v>
      </c>
      <c r="B402" s="3">
        <v>45563</v>
      </c>
      <c r="C402" t="s">
        <v>1569</v>
      </c>
      <c r="D402" t="s">
        <v>79</v>
      </c>
      <c r="E402">
        <v>4</v>
      </c>
      <c r="F402" s="4">
        <v>160.22</v>
      </c>
      <c r="G402" t="s">
        <v>1570</v>
      </c>
      <c r="H402" t="s">
        <v>24</v>
      </c>
      <c r="I402" t="s">
        <v>49</v>
      </c>
      <c r="J402" t="s">
        <v>1571</v>
      </c>
      <c r="K402">
        <v>9</v>
      </c>
      <c r="L402" t="s">
        <v>87</v>
      </c>
      <c r="M402" t="s">
        <v>28</v>
      </c>
      <c r="N402" s="4">
        <v>640.88</v>
      </c>
      <c r="O402" s="19" t="str">
        <f t="shared" si="30"/>
        <v>Sep-2024</v>
      </c>
      <c r="P402">
        <f t="shared" si="31"/>
        <v>2024</v>
      </c>
      <c r="Q402" t="str">
        <f t="shared" si="32"/>
        <v>OK</v>
      </c>
      <c r="R402">
        <v>1</v>
      </c>
      <c r="S402">
        <f t="shared" si="33"/>
        <v>0</v>
      </c>
      <c r="T402">
        <f t="shared" si="34"/>
        <v>1</v>
      </c>
    </row>
    <row r="403" spans="1:20">
      <c r="A403" t="s">
        <v>1572</v>
      </c>
      <c r="B403" s="3">
        <v>45756</v>
      </c>
      <c r="C403" t="s">
        <v>1573</v>
      </c>
      <c r="D403" t="s">
        <v>54</v>
      </c>
      <c r="E403">
        <v>1</v>
      </c>
      <c r="F403" s="4">
        <v>538.67999999999995</v>
      </c>
      <c r="G403" t="s">
        <v>1433</v>
      </c>
      <c r="H403" t="s">
        <v>24</v>
      </c>
      <c r="I403" t="s">
        <v>49</v>
      </c>
      <c r="J403" t="s">
        <v>1574</v>
      </c>
      <c r="K403">
        <v>6</v>
      </c>
      <c r="M403" t="s">
        <v>35</v>
      </c>
      <c r="N403" s="4">
        <v>538.67999999999995</v>
      </c>
      <c r="O403" s="19" t="str">
        <f t="shared" si="30"/>
        <v>Apr-2025</v>
      </c>
      <c r="P403">
        <f t="shared" si="31"/>
        <v>2025</v>
      </c>
      <c r="Q403" t="str">
        <f t="shared" si="32"/>
        <v>OK</v>
      </c>
      <c r="R403">
        <v>1</v>
      </c>
      <c r="S403">
        <f t="shared" si="33"/>
        <v>0</v>
      </c>
      <c r="T403">
        <f t="shared" si="34"/>
        <v>1</v>
      </c>
    </row>
    <row r="404" spans="1:20">
      <c r="A404" t="s">
        <v>1575</v>
      </c>
      <c r="B404" s="3">
        <v>45025</v>
      </c>
      <c r="C404" t="s">
        <v>1576</v>
      </c>
      <c r="D404" t="s">
        <v>54</v>
      </c>
      <c r="E404">
        <v>5</v>
      </c>
      <c r="F404" s="4">
        <v>337.38</v>
      </c>
      <c r="G404" t="s">
        <v>1577</v>
      </c>
      <c r="H404" t="s">
        <v>66</v>
      </c>
      <c r="I404" t="s">
        <v>25</v>
      </c>
      <c r="J404" t="s">
        <v>1578</v>
      </c>
      <c r="K404">
        <v>5</v>
      </c>
      <c r="M404" t="s">
        <v>35</v>
      </c>
      <c r="N404" s="4">
        <v>1686.9</v>
      </c>
      <c r="O404" s="19" t="str">
        <f t="shared" si="30"/>
        <v>Apr-2023</v>
      </c>
      <c r="P404">
        <f t="shared" si="31"/>
        <v>2023</v>
      </c>
      <c r="Q404" t="str">
        <f t="shared" si="32"/>
        <v>OK</v>
      </c>
      <c r="R404">
        <v>1</v>
      </c>
      <c r="S404">
        <f t="shared" si="33"/>
        <v>0</v>
      </c>
      <c r="T404">
        <f t="shared" si="34"/>
        <v>0</v>
      </c>
    </row>
    <row r="405" spans="1:20">
      <c r="A405" t="s">
        <v>1579</v>
      </c>
      <c r="B405" s="3">
        <v>45606</v>
      </c>
      <c r="C405" t="s">
        <v>1580</v>
      </c>
      <c r="D405" t="s">
        <v>38</v>
      </c>
      <c r="E405">
        <v>1</v>
      </c>
      <c r="F405" s="4">
        <v>620.21</v>
      </c>
      <c r="G405" t="s">
        <v>1127</v>
      </c>
      <c r="H405" t="s">
        <v>33</v>
      </c>
      <c r="I405" t="s">
        <v>49</v>
      </c>
      <c r="J405" t="s">
        <v>1581</v>
      </c>
      <c r="K405">
        <v>1</v>
      </c>
      <c r="L405" t="s">
        <v>43</v>
      </c>
      <c r="M405" t="s">
        <v>35</v>
      </c>
      <c r="N405" s="4">
        <v>620.21</v>
      </c>
      <c r="O405" s="19" t="str">
        <f t="shared" si="30"/>
        <v>Nov-2024</v>
      </c>
      <c r="P405">
        <f t="shared" si="31"/>
        <v>2024</v>
      </c>
      <c r="Q405" t="str">
        <f t="shared" si="32"/>
        <v>OK</v>
      </c>
      <c r="R405">
        <v>1</v>
      </c>
      <c r="S405">
        <f t="shared" si="33"/>
        <v>0</v>
      </c>
      <c r="T405">
        <f t="shared" si="34"/>
        <v>1</v>
      </c>
    </row>
    <row r="406" spans="1:20">
      <c r="A406" t="s">
        <v>1582</v>
      </c>
      <c r="B406" s="3">
        <v>44994</v>
      </c>
      <c r="C406" t="s">
        <v>1583</v>
      </c>
      <c r="D406" t="s">
        <v>22</v>
      </c>
      <c r="E406">
        <v>2</v>
      </c>
      <c r="F406" s="4">
        <v>99.1</v>
      </c>
      <c r="G406" t="s">
        <v>311</v>
      </c>
      <c r="H406" t="s">
        <v>71</v>
      </c>
      <c r="I406" t="s">
        <v>56</v>
      </c>
      <c r="J406" t="s">
        <v>1584</v>
      </c>
      <c r="K406">
        <v>6</v>
      </c>
      <c r="M406" t="s">
        <v>28</v>
      </c>
      <c r="N406" s="4">
        <v>198.2</v>
      </c>
      <c r="O406" s="19" t="str">
        <f t="shared" si="30"/>
        <v>Mar-2023</v>
      </c>
      <c r="P406">
        <f t="shared" si="31"/>
        <v>2023</v>
      </c>
      <c r="Q406" t="str">
        <f t="shared" si="32"/>
        <v>OK</v>
      </c>
      <c r="R406">
        <v>1</v>
      </c>
      <c r="S406">
        <f t="shared" si="33"/>
        <v>0</v>
      </c>
      <c r="T406">
        <f t="shared" si="34"/>
        <v>0</v>
      </c>
    </row>
    <row r="407" spans="1:20">
      <c r="A407" t="s">
        <v>1585</v>
      </c>
      <c r="B407" s="3">
        <v>45683</v>
      </c>
      <c r="C407" t="s">
        <v>1586</v>
      </c>
      <c r="D407" t="s">
        <v>22</v>
      </c>
      <c r="E407">
        <v>4</v>
      </c>
      <c r="F407" s="4">
        <v>451.97</v>
      </c>
      <c r="G407" t="s">
        <v>1450</v>
      </c>
      <c r="H407" t="s">
        <v>33</v>
      </c>
      <c r="I407" t="s">
        <v>41</v>
      </c>
      <c r="J407" t="s">
        <v>1587</v>
      </c>
      <c r="K407">
        <v>7</v>
      </c>
      <c r="L407" t="s">
        <v>87</v>
      </c>
      <c r="M407" t="s">
        <v>44</v>
      </c>
      <c r="N407" s="4">
        <v>1807.88</v>
      </c>
      <c r="O407" s="19" t="str">
        <f t="shared" si="30"/>
        <v>Jan-2025</v>
      </c>
      <c r="P407">
        <f t="shared" si="31"/>
        <v>2025</v>
      </c>
      <c r="Q407" t="str">
        <f t="shared" si="32"/>
        <v>OK</v>
      </c>
      <c r="R407">
        <v>1</v>
      </c>
      <c r="S407">
        <f t="shared" si="33"/>
        <v>1</v>
      </c>
      <c r="T407">
        <f t="shared" si="34"/>
        <v>0</v>
      </c>
    </row>
    <row r="408" spans="1:20">
      <c r="A408" t="s">
        <v>1588</v>
      </c>
      <c r="B408" s="3">
        <v>45270</v>
      </c>
      <c r="C408" t="s">
        <v>1589</v>
      </c>
      <c r="D408" t="s">
        <v>38</v>
      </c>
      <c r="E408">
        <v>4</v>
      </c>
      <c r="F408" s="4">
        <v>66.099999999999994</v>
      </c>
      <c r="G408" t="s">
        <v>769</v>
      </c>
      <c r="H408" t="s">
        <v>71</v>
      </c>
      <c r="I408" t="s">
        <v>49</v>
      </c>
      <c r="J408" t="s">
        <v>1590</v>
      </c>
      <c r="K408">
        <v>9</v>
      </c>
      <c r="L408" t="s">
        <v>87</v>
      </c>
      <c r="M408" t="s">
        <v>82</v>
      </c>
      <c r="N408" s="4">
        <v>264.39999999999998</v>
      </c>
      <c r="O408" s="19" t="str">
        <f t="shared" si="30"/>
        <v>Dec-2023</v>
      </c>
      <c r="P408">
        <f t="shared" si="31"/>
        <v>2023</v>
      </c>
      <c r="Q408" t="str">
        <f t="shared" si="32"/>
        <v>OK</v>
      </c>
      <c r="R408">
        <v>1</v>
      </c>
      <c r="S408">
        <f t="shared" si="33"/>
        <v>0</v>
      </c>
      <c r="T408">
        <f t="shared" si="34"/>
        <v>1</v>
      </c>
    </row>
    <row r="409" spans="1:20">
      <c r="A409" t="s">
        <v>1591</v>
      </c>
      <c r="B409" s="3">
        <v>45151</v>
      </c>
      <c r="C409" t="s">
        <v>1592</v>
      </c>
      <c r="D409" t="s">
        <v>38</v>
      </c>
      <c r="E409">
        <v>4</v>
      </c>
      <c r="F409" s="4">
        <v>547.32000000000005</v>
      </c>
      <c r="G409" t="s">
        <v>1060</v>
      </c>
      <c r="H409" t="s">
        <v>71</v>
      </c>
      <c r="I409" t="s">
        <v>49</v>
      </c>
      <c r="J409" t="s">
        <v>1593</v>
      </c>
      <c r="K409">
        <v>8</v>
      </c>
      <c r="L409" t="s">
        <v>43</v>
      </c>
      <c r="M409" t="s">
        <v>28</v>
      </c>
      <c r="N409" s="4">
        <v>2189.2800000000002</v>
      </c>
      <c r="O409" s="19" t="str">
        <f t="shared" si="30"/>
        <v>Aug-2023</v>
      </c>
      <c r="P409">
        <f t="shared" si="31"/>
        <v>2023</v>
      </c>
      <c r="Q409" t="str">
        <f t="shared" si="32"/>
        <v>OK</v>
      </c>
      <c r="R409">
        <v>1</v>
      </c>
      <c r="S409">
        <f t="shared" si="33"/>
        <v>0</v>
      </c>
      <c r="T409">
        <f t="shared" si="34"/>
        <v>1</v>
      </c>
    </row>
    <row r="410" spans="1:20">
      <c r="A410" t="s">
        <v>1594</v>
      </c>
      <c r="B410" s="3">
        <v>45658</v>
      </c>
      <c r="C410" t="s">
        <v>1595</v>
      </c>
      <c r="D410" t="s">
        <v>54</v>
      </c>
      <c r="E410">
        <v>3</v>
      </c>
      <c r="F410" s="4">
        <v>412.53</v>
      </c>
      <c r="G410" t="s">
        <v>1596</v>
      </c>
      <c r="H410" t="s">
        <v>33</v>
      </c>
      <c r="I410" t="s">
        <v>95</v>
      </c>
      <c r="J410" t="s">
        <v>1597</v>
      </c>
      <c r="K410">
        <v>6</v>
      </c>
      <c r="L410" t="s">
        <v>87</v>
      </c>
      <c r="M410" t="s">
        <v>82</v>
      </c>
      <c r="N410" s="4">
        <v>1237.5899999999999</v>
      </c>
      <c r="O410" s="19" t="str">
        <f t="shared" si="30"/>
        <v>Jan-2025</v>
      </c>
      <c r="P410">
        <f t="shared" si="31"/>
        <v>2025</v>
      </c>
      <c r="Q410" t="str">
        <f t="shared" si="32"/>
        <v>OK</v>
      </c>
      <c r="R410">
        <v>1</v>
      </c>
      <c r="S410">
        <f t="shared" si="33"/>
        <v>0</v>
      </c>
      <c r="T410">
        <f t="shared" si="34"/>
        <v>0</v>
      </c>
    </row>
    <row r="411" spans="1:20">
      <c r="A411" t="s">
        <v>1598</v>
      </c>
      <c r="B411" s="3">
        <v>45105</v>
      </c>
      <c r="C411" t="s">
        <v>1599</v>
      </c>
      <c r="D411" t="s">
        <v>79</v>
      </c>
      <c r="E411">
        <v>5</v>
      </c>
      <c r="F411" s="4">
        <v>84.13</v>
      </c>
      <c r="G411" t="s">
        <v>1600</v>
      </c>
      <c r="H411" t="s">
        <v>33</v>
      </c>
      <c r="I411" t="s">
        <v>56</v>
      </c>
      <c r="J411" t="s">
        <v>1601</v>
      </c>
      <c r="K411">
        <v>9</v>
      </c>
      <c r="L411" t="s">
        <v>27</v>
      </c>
      <c r="M411" t="s">
        <v>82</v>
      </c>
      <c r="N411" s="4">
        <v>420.65</v>
      </c>
      <c r="O411" s="19" t="str">
        <f t="shared" si="30"/>
        <v>Jun-2023</v>
      </c>
      <c r="P411">
        <f t="shared" si="31"/>
        <v>2023</v>
      </c>
      <c r="Q411" t="str">
        <f t="shared" si="32"/>
        <v>OK</v>
      </c>
      <c r="R411">
        <v>1</v>
      </c>
      <c r="S411">
        <f t="shared" si="33"/>
        <v>0</v>
      </c>
      <c r="T411">
        <f t="shared" si="34"/>
        <v>0</v>
      </c>
    </row>
    <row r="412" spans="1:20">
      <c r="A412" t="s">
        <v>1602</v>
      </c>
      <c r="B412" s="3">
        <v>45309</v>
      </c>
      <c r="C412" t="s">
        <v>1603</v>
      </c>
      <c r="D412" t="s">
        <v>38</v>
      </c>
      <c r="E412">
        <v>2</v>
      </c>
      <c r="F412" s="4">
        <v>518.23</v>
      </c>
      <c r="G412" t="s">
        <v>1604</v>
      </c>
      <c r="H412" t="s">
        <v>24</v>
      </c>
      <c r="I412" t="s">
        <v>25</v>
      </c>
      <c r="J412" t="s">
        <v>1605</v>
      </c>
      <c r="K412">
        <v>5</v>
      </c>
      <c r="M412" t="s">
        <v>44</v>
      </c>
      <c r="N412" s="4">
        <v>1036.46</v>
      </c>
      <c r="O412" s="19" t="str">
        <f t="shared" si="30"/>
        <v>Jan-2024</v>
      </c>
      <c r="P412">
        <f t="shared" si="31"/>
        <v>2024</v>
      </c>
      <c r="Q412" t="str">
        <f t="shared" si="32"/>
        <v>OK</v>
      </c>
      <c r="R412">
        <v>1</v>
      </c>
      <c r="S412">
        <f t="shared" si="33"/>
        <v>0</v>
      </c>
      <c r="T412">
        <f t="shared" si="34"/>
        <v>0</v>
      </c>
    </row>
    <row r="413" spans="1:20">
      <c r="A413" t="s">
        <v>1606</v>
      </c>
      <c r="B413" s="3">
        <v>45462</v>
      </c>
      <c r="C413" t="s">
        <v>1607</v>
      </c>
      <c r="D413" t="s">
        <v>79</v>
      </c>
      <c r="E413">
        <v>2</v>
      </c>
      <c r="F413" s="4">
        <v>39.51</v>
      </c>
      <c r="G413" t="s">
        <v>636</v>
      </c>
      <c r="H413" t="s">
        <v>33</v>
      </c>
      <c r="I413" t="s">
        <v>25</v>
      </c>
      <c r="J413" t="s">
        <v>1608</v>
      </c>
      <c r="K413">
        <v>5</v>
      </c>
      <c r="M413" t="s">
        <v>51</v>
      </c>
      <c r="N413" s="4">
        <v>79.02</v>
      </c>
      <c r="O413" s="19" t="str">
        <f t="shared" si="30"/>
        <v>Jun-2024</v>
      </c>
      <c r="P413">
        <f t="shared" si="31"/>
        <v>2024</v>
      </c>
      <c r="Q413" t="str">
        <f t="shared" si="32"/>
        <v>OK</v>
      </c>
      <c r="R413">
        <v>1</v>
      </c>
      <c r="S413">
        <f t="shared" si="33"/>
        <v>0</v>
      </c>
      <c r="T413">
        <f t="shared" si="34"/>
        <v>0</v>
      </c>
    </row>
    <row r="414" spans="1:20">
      <c r="A414" t="s">
        <v>1609</v>
      </c>
      <c r="B414" s="3">
        <v>45758</v>
      </c>
      <c r="C414" t="s">
        <v>1610</v>
      </c>
      <c r="D414" t="s">
        <v>38</v>
      </c>
      <c r="E414">
        <v>5</v>
      </c>
      <c r="F414" s="4">
        <v>133.01</v>
      </c>
      <c r="G414" t="s">
        <v>1611</v>
      </c>
      <c r="H414" t="s">
        <v>40</v>
      </c>
      <c r="I414" t="s">
        <v>49</v>
      </c>
      <c r="J414" t="s">
        <v>1612</v>
      </c>
      <c r="K414">
        <v>10</v>
      </c>
      <c r="M414" t="s">
        <v>51</v>
      </c>
      <c r="N414" s="4">
        <v>665.05</v>
      </c>
      <c r="O414" s="19" t="str">
        <f t="shared" si="30"/>
        <v>Apr-2025</v>
      </c>
      <c r="P414">
        <f t="shared" si="31"/>
        <v>2025</v>
      </c>
      <c r="Q414" t="str">
        <f t="shared" si="32"/>
        <v>OK</v>
      </c>
      <c r="R414">
        <v>1</v>
      </c>
      <c r="S414">
        <f t="shared" si="33"/>
        <v>0</v>
      </c>
      <c r="T414">
        <f t="shared" si="34"/>
        <v>1</v>
      </c>
    </row>
    <row r="415" spans="1:20">
      <c r="A415" t="s">
        <v>1613</v>
      </c>
      <c r="B415" s="3">
        <v>45207</v>
      </c>
      <c r="C415" t="s">
        <v>1614</v>
      </c>
      <c r="D415" t="s">
        <v>38</v>
      </c>
      <c r="E415">
        <v>1</v>
      </c>
      <c r="F415" s="4">
        <v>118.8</v>
      </c>
      <c r="G415" t="s">
        <v>1615</v>
      </c>
      <c r="H415" t="s">
        <v>33</v>
      </c>
      <c r="I415" t="s">
        <v>56</v>
      </c>
      <c r="J415" t="s">
        <v>1616</v>
      </c>
      <c r="K415">
        <v>6</v>
      </c>
      <c r="L415" t="s">
        <v>27</v>
      </c>
      <c r="M415" t="s">
        <v>44</v>
      </c>
      <c r="N415" s="4">
        <v>118.8</v>
      </c>
      <c r="O415" s="19" t="str">
        <f t="shared" si="30"/>
        <v>Oct-2023</v>
      </c>
      <c r="P415">
        <f t="shared" si="31"/>
        <v>2023</v>
      </c>
      <c r="Q415" t="str">
        <f t="shared" si="32"/>
        <v>OK</v>
      </c>
      <c r="R415">
        <v>1</v>
      </c>
      <c r="S415">
        <f t="shared" si="33"/>
        <v>0</v>
      </c>
      <c r="T415">
        <f t="shared" si="34"/>
        <v>0</v>
      </c>
    </row>
    <row r="416" spans="1:20">
      <c r="A416" t="s">
        <v>1617</v>
      </c>
      <c r="B416" s="3">
        <v>45781</v>
      </c>
      <c r="C416" t="s">
        <v>1618</v>
      </c>
      <c r="D416" t="s">
        <v>79</v>
      </c>
      <c r="E416">
        <v>2</v>
      </c>
      <c r="F416" s="4">
        <v>139.57</v>
      </c>
      <c r="G416" t="s">
        <v>1619</v>
      </c>
      <c r="H416" t="s">
        <v>71</v>
      </c>
      <c r="I416" t="s">
        <v>56</v>
      </c>
      <c r="J416" t="s">
        <v>1620</v>
      </c>
      <c r="K416">
        <v>4</v>
      </c>
      <c r="L416" t="s">
        <v>87</v>
      </c>
      <c r="M416" t="s">
        <v>51</v>
      </c>
      <c r="N416" s="4">
        <v>279.14</v>
      </c>
      <c r="O416" s="19" t="str">
        <f t="shared" si="30"/>
        <v>May-2025</v>
      </c>
      <c r="P416">
        <f t="shared" si="31"/>
        <v>2025</v>
      </c>
      <c r="Q416" t="str">
        <f t="shared" si="32"/>
        <v>OK</v>
      </c>
      <c r="R416">
        <v>1</v>
      </c>
      <c r="S416">
        <f t="shared" si="33"/>
        <v>0</v>
      </c>
      <c r="T416">
        <f t="shared" si="34"/>
        <v>0</v>
      </c>
    </row>
    <row r="417" spans="1:20">
      <c r="A417" t="s">
        <v>1621</v>
      </c>
      <c r="B417" s="3">
        <v>45753</v>
      </c>
      <c r="C417" t="s">
        <v>1622</v>
      </c>
      <c r="D417" t="s">
        <v>47</v>
      </c>
      <c r="E417">
        <v>1</v>
      </c>
      <c r="F417" s="4">
        <v>184.15</v>
      </c>
      <c r="G417" t="s">
        <v>1080</v>
      </c>
      <c r="H417" t="s">
        <v>66</v>
      </c>
      <c r="I417" t="s">
        <v>25</v>
      </c>
      <c r="J417" t="s">
        <v>1623</v>
      </c>
      <c r="K417">
        <v>5</v>
      </c>
      <c r="L417" t="s">
        <v>43</v>
      </c>
      <c r="M417" t="s">
        <v>51</v>
      </c>
      <c r="N417" s="4">
        <v>184.15</v>
      </c>
      <c r="O417" s="19" t="str">
        <f t="shared" si="30"/>
        <v>Apr-2025</v>
      </c>
      <c r="P417">
        <f t="shared" si="31"/>
        <v>2025</v>
      </c>
      <c r="Q417" t="str">
        <f t="shared" si="32"/>
        <v>OK</v>
      </c>
      <c r="R417">
        <v>1</v>
      </c>
      <c r="S417">
        <f t="shared" si="33"/>
        <v>0</v>
      </c>
      <c r="T417">
        <f t="shared" si="34"/>
        <v>0</v>
      </c>
    </row>
    <row r="418" spans="1:20">
      <c r="A418" t="s">
        <v>1624</v>
      </c>
      <c r="B418" s="3">
        <v>45125</v>
      </c>
      <c r="C418" t="s">
        <v>1625</v>
      </c>
      <c r="D418" t="s">
        <v>64</v>
      </c>
      <c r="E418">
        <v>2</v>
      </c>
      <c r="F418" s="4">
        <v>644.04999999999995</v>
      </c>
      <c r="G418" t="s">
        <v>1626</v>
      </c>
      <c r="H418" t="s">
        <v>66</v>
      </c>
      <c r="I418" t="s">
        <v>41</v>
      </c>
      <c r="J418" t="s">
        <v>1627</v>
      </c>
      <c r="K418">
        <v>5</v>
      </c>
      <c r="L418" t="s">
        <v>87</v>
      </c>
      <c r="M418" t="s">
        <v>35</v>
      </c>
      <c r="N418" s="4">
        <v>1288.0999999999999</v>
      </c>
      <c r="O418" s="19" t="str">
        <f t="shared" si="30"/>
        <v>Jul-2023</v>
      </c>
      <c r="P418">
        <f t="shared" si="31"/>
        <v>2023</v>
      </c>
      <c r="Q418" t="str">
        <f t="shared" si="32"/>
        <v>OK</v>
      </c>
      <c r="R418">
        <v>1</v>
      </c>
      <c r="S418">
        <f t="shared" si="33"/>
        <v>1</v>
      </c>
      <c r="T418">
        <f t="shared" si="34"/>
        <v>0</v>
      </c>
    </row>
    <row r="419" spans="1:20">
      <c r="A419" t="s">
        <v>1628</v>
      </c>
      <c r="B419" s="3">
        <v>45223</v>
      </c>
      <c r="C419" t="s">
        <v>1629</v>
      </c>
      <c r="D419" t="s">
        <v>64</v>
      </c>
      <c r="E419">
        <v>5</v>
      </c>
      <c r="F419" s="4">
        <v>55.41</v>
      </c>
      <c r="G419" t="s">
        <v>1630</v>
      </c>
      <c r="H419" t="s">
        <v>33</v>
      </c>
      <c r="I419" t="s">
        <v>41</v>
      </c>
      <c r="J419" t="s">
        <v>1631</v>
      </c>
      <c r="K419">
        <v>5</v>
      </c>
      <c r="M419" t="s">
        <v>82</v>
      </c>
      <c r="N419" s="4">
        <v>277.05</v>
      </c>
      <c r="O419" s="19" t="str">
        <f t="shared" si="30"/>
        <v>Oct-2023</v>
      </c>
      <c r="P419">
        <f t="shared" si="31"/>
        <v>2023</v>
      </c>
      <c r="Q419" t="str">
        <f t="shared" si="32"/>
        <v>OK</v>
      </c>
      <c r="R419">
        <v>1</v>
      </c>
      <c r="S419">
        <f t="shared" si="33"/>
        <v>1</v>
      </c>
      <c r="T419">
        <f t="shared" si="34"/>
        <v>0</v>
      </c>
    </row>
    <row r="420" spans="1:20">
      <c r="A420" t="s">
        <v>1632</v>
      </c>
      <c r="B420" s="3">
        <v>44937</v>
      </c>
      <c r="C420" t="s">
        <v>1633</v>
      </c>
      <c r="D420" t="s">
        <v>54</v>
      </c>
      <c r="E420">
        <v>1</v>
      </c>
      <c r="F420" s="4">
        <v>310.93</v>
      </c>
      <c r="G420" t="s">
        <v>1634</v>
      </c>
      <c r="H420" t="s">
        <v>33</v>
      </c>
      <c r="I420" t="s">
        <v>41</v>
      </c>
      <c r="J420" t="s">
        <v>1635</v>
      </c>
      <c r="K420">
        <v>3</v>
      </c>
      <c r="M420" t="s">
        <v>51</v>
      </c>
      <c r="N420" s="4">
        <v>310.93</v>
      </c>
      <c r="O420" s="19" t="str">
        <f t="shared" si="30"/>
        <v>Jan-2023</v>
      </c>
      <c r="P420">
        <f t="shared" si="31"/>
        <v>2023</v>
      </c>
      <c r="Q420" t="str">
        <f t="shared" si="32"/>
        <v>OK</v>
      </c>
      <c r="R420">
        <v>1</v>
      </c>
      <c r="S420">
        <f t="shared" si="33"/>
        <v>1</v>
      </c>
      <c r="T420">
        <f t="shared" si="34"/>
        <v>0</v>
      </c>
    </row>
    <row r="421" spans="1:20">
      <c r="A421" t="s">
        <v>1636</v>
      </c>
      <c r="B421" s="3">
        <v>45399</v>
      </c>
      <c r="C421" t="s">
        <v>1637</v>
      </c>
      <c r="D421" t="s">
        <v>38</v>
      </c>
      <c r="E421">
        <v>2</v>
      </c>
      <c r="F421" s="4">
        <v>216.66</v>
      </c>
      <c r="G421" t="s">
        <v>1382</v>
      </c>
      <c r="H421" t="s">
        <v>24</v>
      </c>
      <c r="I421" t="s">
        <v>95</v>
      </c>
      <c r="J421" t="s">
        <v>1638</v>
      </c>
      <c r="K421">
        <v>6</v>
      </c>
      <c r="L421" t="s">
        <v>43</v>
      </c>
      <c r="M421" t="s">
        <v>28</v>
      </c>
      <c r="N421" s="4">
        <v>433.32</v>
      </c>
      <c r="O421" s="19" t="str">
        <f t="shared" si="30"/>
        <v>Apr-2024</v>
      </c>
      <c r="P421">
        <f t="shared" si="31"/>
        <v>2024</v>
      </c>
      <c r="Q421" t="str">
        <f t="shared" si="32"/>
        <v>OK</v>
      </c>
      <c r="R421">
        <v>1</v>
      </c>
      <c r="S421">
        <f t="shared" si="33"/>
        <v>0</v>
      </c>
      <c r="T421">
        <f t="shared" si="34"/>
        <v>0</v>
      </c>
    </row>
    <row r="422" spans="1:20">
      <c r="A422" t="s">
        <v>1639</v>
      </c>
      <c r="B422" s="3">
        <v>45625</v>
      </c>
      <c r="C422" t="s">
        <v>1640</v>
      </c>
      <c r="D422" t="s">
        <v>31</v>
      </c>
      <c r="E422">
        <v>1</v>
      </c>
      <c r="F422" s="4">
        <v>452.7</v>
      </c>
      <c r="G422" t="s">
        <v>1641</v>
      </c>
      <c r="H422" t="s">
        <v>24</v>
      </c>
      <c r="I422" t="s">
        <v>25</v>
      </c>
      <c r="J422" t="s">
        <v>1642</v>
      </c>
      <c r="K422">
        <v>5</v>
      </c>
      <c r="L422" t="s">
        <v>43</v>
      </c>
      <c r="M422" t="s">
        <v>28</v>
      </c>
      <c r="N422" s="4">
        <v>452.7</v>
      </c>
      <c r="O422" s="19" t="str">
        <f t="shared" si="30"/>
        <v>Nov-2024</v>
      </c>
      <c r="P422">
        <f t="shared" si="31"/>
        <v>2024</v>
      </c>
      <c r="Q422" t="str">
        <f t="shared" si="32"/>
        <v>OK</v>
      </c>
      <c r="R422">
        <v>1</v>
      </c>
      <c r="S422">
        <f t="shared" si="33"/>
        <v>0</v>
      </c>
      <c r="T422">
        <f t="shared" si="34"/>
        <v>0</v>
      </c>
    </row>
    <row r="423" spans="1:20">
      <c r="A423" t="s">
        <v>1643</v>
      </c>
      <c r="B423" s="3">
        <v>45214</v>
      </c>
      <c r="C423" t="s">
        <v>1644</v>
      </c>
      <c r="D423" t="s">
        <v>47</v>
      </c>
      <c r="E423">
        <v>2</v>
      </c>
      <c r="F423" s="4">
        <v>288.20999999999998</v>
      </c>
      <c r="G423" t="s">
        <v>1645</v>
      </c>
      <c r="H423" t="s">
        <v>24</v>
      </c>
      <c r="I423" t="s">
        <v>41</v>
      </c>
      <c r="J423" t="s">
        <v>1646</v>
      </c>
      <c r="K423">
        <v>5</v>
      </c>
      <c r="M423" t="s">
        <v>44</v>
      </c>
      <c r="N423" s="4">
        <v>576.41999999999996</v>
      </c>
      <c r="O423" s="19" t="str">
        <f t="shared" si="30"/>
        <v>Oct-2023</v>
      </c>
      <c r="P423">
        <f t="shared" si="31"/>
        <v>2023</v>
      </c>
      <c r="Q423" t="str">
        <f t="shared" si="32"/>
        <v>OK</v>
      </c>
      <c r="R423">
        <v>1</v>
      </c>
      <c r="S423">
        <f t="shared" si="33"/>
        <v>1</v>
      </c>
      <c r="T423">
        <f t="shared" si="34"/>
        <v>0</v>
      </c>
    </row>
    <row r="424" spans="1:20">
      <c r="A424" t="s">
        <v>1647</v>
      </c>
      <c r="B424" s="3">
        <v>45082</v>
      </c>
      <c r="C424" t="s">
        <v>1648</v>
      </c>
      <c r="D424" t="s">
        <v>31</v>
      </c>
      <c r="E424">
        <v>4</v>
      </c>
      <c r="F424" s="4">
        <v>206.6</v>
      </c>
      <c r="G424" t="s">
        <v>111</v>
      </c>
      <c r="H424" t="s">
        <v>66</v>
      </c>
      <c r="I424" t="s">
        <v>49</v>
      </c>
      <c r="J424" t="s">
        <v>1649</v>
      </c>
      <c r="K424">
        <v>6</v>
      </c>
      <c r="L424" t="s">
        <v>87</v>
      </c>
      <c r="M424" t="s">
        <v>35</v>
      </c>
      <c r="N424" s="4">
        <v>826.4</v>
      </c>
      <c r="O424" s="19" t="str">
        <f t="shared" si="30"/>
        <v>Jun-2023</v>
      </c>
      <c r="P424">
        <f t="shared" si="31"/>
        <v>2023</v>
      </c>
      <c r="Q424" t="str">
        <f t="shared" si="32"/>
        <v>OK</v>
      </c>
      <c r="R424">
        <v>1</v>
      </c>
      <c r="S424">
        <f t="shared" si="33"/>
        <v>0</v>
      </c>
      <c r="T424">
        <f t="shared" si="34"/>
        <v>1</v>
      </c>
    </row>
    <row r="425" spans="1:20">
      <c r="A425" t="s">
        <v>1650</v>
      </c>
      <c r="B425" s="3">
        <v>45493</v>
      </c>
      <c r="C425" t="s">
        <v>1651</v>
      </c>
      <c r="D425" t="s">
        <v>54</v>
      </c>
      <c r="E425">
        <v>4</v>
      </c>
      <c r="F425" s="4">
        <v>685.2</v>
      </c>
      <c r="G425" t="s">
        <v>1131</v>
      </c>
      <c r="H425" t="s">
        <v>66</v>
      </c>
      <c r="I425" t="s">
        <v>41</v>
      </c>
      <c r="J425" t="s">
        <v>1652</v>
      </c>
      <c r="K425">
        <v>6</v>
      </c>
      <c r="L425" t="s">
        <v>87</v>
      </c>
      <c r="M425" t="s">
        <v>82</v>
      </c>
      <c r="N425" s="4">
        <v>2740.8</v>
      </c>
      <c r="O425" s="19" t="str">
        <f t="shared" si="30"/>
        <v>Jul-2024</v>
      </c>
      <c r="P425">
        <f t="shared" si="31"/>
        <v>2024</v>
      </c>
      <c r="Q425" t="str">
        <f t="shared" si="32"/>
        <v>OK</v>
      </c>
      <c r="R425">
        <v>1</v>
      </c>
      <c r="S425">
        <f t="shared" si="33"/>
        <v>1</v>
      </c>
      <c r="T425">
        <f t="shared" si="34"/>
        <v>0</v>
      </c>
    </row>
    <row r="426" spans="1:20">
      <c r="A426" t="s">
        <v>1653</v>
      </c>
      <c r="B426" s="3">
        <v>45028</v>
      </c>
      <c r="C426" t="s">
        <v>1654</v>
      </c>
      <c r="D426" t="s">
        <v>47</v>
      </c>
      <c r="E426">
        <v>5</v>
      </c>
      <c r="F426" s="4">
        <v>22.94</v>
      </c>
      <c r="G426" t="s">
        <v>1266</v>
      </c>
      <c r="H426" t="s">
        <v>71</v>
      </c>
      <c r="I426" t="s">
        <v>95</v>
      </c>
      <c r="J426" t="s">
        <v>1655</v>
      </c>
      <c r="K426">
        <v>10</v>
      </c>
      <c r="M426" t="s">
        <v>44</v>
      </c>
      <c r="N426" s="4">
        <v>114.7</v>
      </c>
      <c r="O426" s="19" t="str">
        <f t="shared" si="30"/>
        <v>Apr-2023</v>
      </c>
      <c r="P426">
        <f t="shared" si="31"/>
        <v>2023</v>
      </c>
      <c r="Q426" t="str">
        <f t="shared" si="32"/>
        <v>OK</v>
      </c>
      <c r="R426">
        <v>1</v>
      </c>
      <c r="S426">
        <f t="shared" si="33"/>
        <v>0</v>
      </c>
      <c r="T426">
        <f t="shared" si="34"/>
        <v>0</v>
      </c>
    </row>
    <row r="427" spans="1:20">
      <c r="A427" t="s">
        <v>1656</v>
      </c>
      <c r="B427" s="3">
        <v>44994</v>
      </c>
      <c r="C427" t="s">
        <v>1657</v>
      </c>
      <c r="D427" t="s">
        <v>64</v>
      </c>
      <c r="E427">
        <v>2</v>
      </c>
      <c r="F427" s="4">
        <v>301.88</v>
      </c>
      <c r="G427" t="s">
        <v>1658</v>
      </c>
      <c r="H427" t="s">
        <v>66</v>
      </c>
      <c r="I427" t="s">
        <v>49</v>
      </c>
      <c r="J427" t="s">
        <v>1659</v>
      </c>
      <c r="K427">
        <v>5</v>
      </c>
      <c r="L427" t="s">
        <v>87</v>
      </c>
      <c r="M427" t="s">
        <v>44</v>
      </c>
      <c r="N427" s="4">
        <v>603.76</v>
      </c>
      <c r="O427" s="19" t="str">
        <f t="shared" si="30"/>
        <v>Mar-2023</v>
      </c>
      <c r="P427">
        <f t="shared" si="31"/>
        <v>2023</v>
      </c>
      <c r="Q427" t="str">
        <f t="shared" si="32"/>
        <v>OK</v>
      </c>
      <c r="R427">
        <v>1</v>
      </c>
      <c r="S427">
        <f t="shared" si="33"/>
        <v>0</v>
      </c>
      <c r="T427">
        <f t="shared" si="34"/>
        <v>1</v>
      </c>
    </row>
    <row r="428" spans="1:20">
      <c r="A428" t="s">
        <v>1660</v>
      </c>
      <c r="B428" s="3">
        <v>45732</v>
      </c>
      <c r="C428" t="s">
        <v>1661</v>
      </c>
      <c r="D428" t="s">
        <v>22</v>
      </c>
      <c r="E428">
        <v>5</v>
      </c>
      <c r="F428" s="4">
        <v>57.45</v>
      </c>
      <c r="G428" t="s">
        <v>1662</v>
      </c>
      <c r="H428" t="s">
        <v>71</v>
      </c>
      <c r="I428" t="s">
        <v>41</v>
      </c>
      <c r="J428" t="s">
        <v>1663</v>
      </c>
      <c r="K428">
        <v>10</v>
      </c>
      <c r="M428" t="s">
        <v>51</v>
      </c>
      <c r="N428" s="4">
        <v>287.25</v>
      </c>
      <c r="O428" s="19" t="str">
        <f t="shared" si="30"/>
        <v>Mar-2025</v>
      </c>
      <c r="P428">
        <f t="shared" si="31"/>
        <v>2025</v>
      </c>
      <c r="Q428" t="str">
        <f t="shared" si="32"/>
        <v>OK</v>
      </c>
      <c r="R428">
        <v>1</v>
      </c>
      <c r="S428">
        <f t="shared" si="33"/>
        <v>1</v>
      </c>
      <c r="T428">
        <f t="shared" si="34"/>
        <v>0</v>
      </c>
    </row>
    <row r="429" spans="1:20">
      <c r="A429" t="s">
        <v>1664</v>
      </c>
      <c r="B429" s="3">
        <v>45644</v>
      </c>
      <c r="C429" t="s">
        <v>1665</v>
      </c>
      <c r="D429" t="s">
        <v>79</v>
      </c>
      <c r="E429">
        <v>1</v>
      </c>
      <c r="F429" s="4">
        <v>161.24</v>
      </c>
      <c r="G429" t="s">
        <v>1666</v>
      </c>
      <c r="H429" t="s">
        <v>40</v>
      </c>
      <c r="I429" t="s">
        <v>95</v>
      </c>
      <c r="J429" t="s">
        <v>1667</v>
      </c>
      <c r="K429">
        <v>3</v>
      </c>
      <c r="L429" t="s">
        <v>87</v>
      </c>
      <c r="M429" t="s">
        <v>28</v>
      </c>
      <c r="N429" s="4">
        <v>161.24</v>
      </c>
      <c r="O429" s="19" t="str">
        <f t="shared" si="30"/>
        <v>Dec-2024</v>
      </c>
      <c r="P429">
        <f t="shared" si="31"/>
        <v>2024</v>
      </c>
      <c r="Q429" t="str">
        <f t="shared" si="32"/>
        <v>OK</v>
      </c>
      <c r="R429">
        <v>1</v>
      </c>
      <c r="S429">
        <f t="shared" si="33"/>
        <v>0</v>
      </c>
      <c r="T429">
        <f t="shared" si="34"/>
        <v>0</v>
      </c>
    </row>
    <row r="430" spans="1:20">
      <c r="A430" t="s">
        <v>1668</v>
      </c>
      <c r="B430" s="3">
        <v>45622</v>
      </c>
      <c r="C430" t="s">
        <v>1669</v>
      </c>
      <c r="D430" t="s">
        <v>47</v>
      </c>
      <c r="E430">
        <v>4</v>
      </c>
      <c r="F430" s="4">
        <v>262.58</v>
      </c>
      <c r="G430" t="s">
        <v>167</v>
      </c>
      <c r="H430" t="s">
        <v>33</v>
      </c>
      <c r="I430" t="s">
        <v>41</v>
      </c>
      <c r="J430" t="s">
        <v>1670</v>
      </c>
      <c r="K430">
        <v>8</v>
      </c>
      <c r="L430" t="s">
        <v>87</v>
      </c>
      <c r="M430" t="s">
        <v>44</v>
      </c>
      <c r="N430" s="4">
        <v>1050.32</v>
      </c>
      <c r="O430" s="19" t="str">
        <f t="shared" si="30"/>
        <v>Nov-2024</v>
      </c>
      <c r="P430">
        <f t="shared" si="31"/>
        <v>2024</v>
      </c>
      <c r="Q430" t="str">
        <f t="shared" si="32"/>
        <v>OK</v>
      </c>
      <c r="R430">
        <v>1</v>
      </c>
      <c r="S430">
        <f t="shared" si="33"/>
        <v>1</v>
      </c>
      <c r="T430">
        <f t="shared" si="34"/>
        <v>0</v>
      </c>
    </row>
    <row r="431" spans="1:20">
      <c r="A431" t="s">
        <v>1671</v>
      </c>
      <c r="B431" s="3">
        <v>45645</v>
      </c>
      <c r="C431" t="s">
        <v>1672</v>
      </c>
      <c r="D431" t="s">
        <v>54</v>
      </c>
      <c r="E431">
        <v>4</v>
      </c>
      <c r="F431" s="4">
        <v>515.19000000000005</v>
      </c>
      <c r="G431" t="s">
        <v>472</v>
      </c>
      <c r="H431" t="s">
        <v>40</v>
      </c>
      <c r="I431" t="s">
        <v>95</v>
      </c>
      <c r="J431" t="s">
        <v>1673</v>
      </c>
      <c r="K431">
        <v>9</v>
      </c>
      <c r="L431" t="s">
        <v>27</v>
      </c>
      <c r="M431" t="s">
        <v>51</v>
      </c>
      <c r="N431" s="4">
        <v>2060.7600000000002</v>
      </c>
      <c r="O431" s="19" t="str">
        <f t="shared" si="30"/>
        <v>Dec-2024</v>
      </c>
      <c r="P431">
        <f t="shared" si="31"/>
        <v>2024</v>
      </c>
      <c r="Q431" t="str">
        <f t="shared" si="32"/>
        <v>OK</v>
      </c>
      <c r="R431">
        <v>1</v>
      </c>
      <c r="S431">
        <f t="shared" si="33"/>
        <v>0</v>
      </c>
      <c r="T431">
        <f t="shared" si="34"/>
        <v>0</v>
      </c>
    </row>
    <row r="432" spans="1:20">
      <c r="A432" t="s">
        <v>1674</v>
      </c>
      <c r="B432" s="3">
        <v>45084</v>
      </c>
      <c r="C432" t="s">
        <v>1675</v>
      </c>
      <c r="D432" t="s">
        <v>31</v>
      </c>
      <c r="E432">
        <v>1</v>
      </c>
      <c r="F432" s="4">
        <v>450.07</v>
      </c>
      <c r="G432" t="s">
        <v>1676</v>
      </c>
      <c r="H432" t="s">
        <v>66</v>
      </c>
      <c r="I432" t="s">
        <v>25</v>
      </c>
      <c r="J432" t="s">
        <v>1677</v>
      </c>
      <c r="K432">
        <v>6</v>
      </c>
      <c r="L432" t="s">
        <v>43</v>
      </c>
      <c r="M432" t="s">
        <v>82</v>
      </c>
      <c r="N432" s="4">
        <v>450.07</v>
      </c>
      <c r="O432" s="19" t="str">
        <f t="shared" si="30"/>
        <v>Jun-2023</v>
      </c>
      <c r="P432">
        <f t="shared" si="31"/>
        <v>2023</v>
      </c>
      <c r="Q432" t="str">
        <f t="shared" si="32"/>
        <v>OK</v>
      </c>
      <c r="R432">
        <v>1</v>
      </c>
      <c r="S432">
        <f t="shared" si="33"/>
        <v>0</v>
      </c>
      <c r="T432">
        <f t="shared" si="34"/>
        <v>0</v>
      </c>
    </row>
    <row r="433" spans="1:20">
      <c r="A433" t="s">
        <v>1678</v>
      </c>
      <c r="B433" s="3">
        <v>45571</v>
      </c>
      <c r="C433" t="s">
        <v>1679</v>
      </c>
      <c r="D433" t="s">
        <v>54</v>
      </c>
      <c r="E433">
        <v>1</v>
      </c>
      <c r="F433" s="4">
        <v>52.54</v>
      </c>
      <c r="G433" t="s">
        <v>658</v>
      </c>
      <c r="H433" t="s">
        <v>24</v>
      </c>
      <c r="I433" t="s">
        <v>41</v>
      </c>
      <c r="J433" t="s">
        <v>1680</v>
      </c>
      <c r="K433">
        <v>6</v>
      </c>
      <c r="L433" t="s">
        <v>87</v>
      </c>
      <c r="M433" t="s">
        <v>51</v>
      </c>
      <c r="N433" s="4">
        <v>52.54</v>
      </c>
      <c r="O433" s="19" t="str">
        <f t="shared" si="30"/>
        <v>Oct-2024</v>
      </c>
      <c r="P433">
        <f t="shared" si="31"/>
        <v>2024</v>
      </c>
      <c r="Q433" t="str">
        <f t="shared" si="32"/>
        <v>OK</v>
      </c>
      <c r="R433">
        <v>1</v>
      </c>
      <c r="S433">
        <f t="shared" si="33"/>
        <v>1</v>
      </c>
      <c r="T433">
        <f t="shared" si="34"/>
        <v>0</v>
      </c>
    </row>
    <row r="434" spans="1:20">
      <c r="A434" t="s">
        <v>1681</v>
      </c>
      <c r="B434" s="3">
        <v>45173</v>
      </c>
      <c r="C434" t="s">
        <v>1682</v>
      </c>
      <c r="D434" t="s">
        <v>38</v>
      </c>
      <c r="E434">
        <v>2</v>
      </c>
      <c r="F434" s="4">
        <v>424.32</v>
      </c>
      <c r="G434" t="s">
        <v>1683</v>
      </c>
      <c r="H434" t="s">
        <v>40</v>
      </c>
      <c r="I434" t="s">
        <v>49</v>
      </c>
      <c r="J434" t="s">
        <v>1684</v>
      </c>
      <c r="K434">
        <v>6</v>
      </c>
      <c r="M434" t="s">
        <v>35</v>
      </c>
      <c r="N434" s="4">
        <v>848.64</v>
      </c>
      <c r="O434" s="19" t="str">
        <f t="shared" si="30"/>
        <v>Sep-2023</v>
      </c>
      <c r="P434">
        <f t="shared" si="31"/>
        <v>2023</v>
      </c>
      <c r="Q434" t="str">
        <f t="shared" si="32"/>
        <v>OK</v>
      </c>
      <c r="R434">
        <v>1</v>
      </c>
      <c r="S434">
        <f t="shared" si="33"/>
        <v>0</v>
      </c>
      <c r="T434">
        <f t="shared" si="34"/>
        <v>1</v>
      </c>
    </row>
    <row r="435" spans="1:20">
      <c r="A435" t="s">
        <v>1685</v>
      </c>
      <c r="B435" s="3">
        <v>45164</v>
      </c>
      <c r="C435" t="s">
        <v>1686</v>
      </c>
      <c r="D435" t="s">
        <v>22</v>
      </c>
      <c r="E435">
        <v>3</v>
      </c>
      <c r="F435" s="4">
        <v>631.64</v>
      </c>
      <c r="G435" t="s">
        <v>1002</v>
      </c>
      <c r="H435" t="s">
        <v>40</v>
      </c>
      <c r="I435" t="s">
        <v>49</v>
      </c>
      <c r="J435" t="s">
        <v>1687</v>
      </c>
      <c r="K435">
        <v>3</v>
      </c>
      <c r="L435" t="s">
        <v>43</v>
      </c>
      <c r="M435" t="s">
        <v>51</v>
      </c>
      <c r="N435" s="4">
        <v>1894.92</v>
      </c>
      <c r="O435" s="19" t="str">
        <f t="shared" si="30"/>
        <v>Aug-2023</v>
      </c>
      <c r="P435">
        <f t="shared" si="31"/>
        <v>2023</v>
      </c>
      <c r="Q435" t="str">
        <f t="shared" si="32"/>
        <v>OK</v>
      </c>
      <c r="R435">
        <v>1</v>
      </c>
      <c r="S435">
        <f t="shared" si="33"/>
        <v>0</v>
      </c>
      <c r="T435">
        <f t="shared" si="34"/>
        <v>1</v>
      </c>
    </row>
    <row r="436" spans="1:20">
      <c r="A436" t="s">
        <v>1688</v>
      </c>
      <c r="B436" s="3">
        <v>45221</v>
      </c>
      <c r="C436" t="s">
        <v>1689</v>
      </c>
      <c r="D436" t="s">
        <v>54</v>
      </c>
      <c r="E436">
        <v>5</v>
      </c>
      <c r="F436" s="4">
        <v>327.68</v>
      </c>
      <c r="G436" t="s">
        <v>322</v>
      </c>
      <c r="H436" t="s">
        <v>40</v>
      </c>
      <c r="I436" t="s">
        <v>49</v>
      </c>
      <c r="J436" t="s">
        <v>1690</v>
      </c>
      <c r="K436">
        <v>6</v>
      </c>
      <c r="M436" t="s">
        <v>51</v>
      </c>
      <c r="N436" s="4">
        <v>1638.4</v>
      </c>
      <c r="O436" s="19" t="str">
        <f t="shared" si="30"/>
        <v>Oct-2023</v>
      </c>
      <c r="P436">
        <f t="shared" si="31"/>
        <v>2023</v>
      </c>
      <c r="Q436" t="str">
        <f t="shared" si="32"/>
        <v>OK</v>
      </c>
      <c r="R436">
        <v>1</v>
      </c>
      <c r="S436">
        <f t="shared" si="33"/>
        <v>0</v>
      </c>
      <c r="T436">
        <f t="shared" si="34"/>
        <v>1</v>
      </c>
    </row>
    <row r="437" spans="1:20">
      <c r="A437" t="s">
        <v>1691</v>
      </c>
      <c r="B437" s="3">
        <v>45073</v>
      </c>
      <c r="C437" t="s">
        <v>1692</v>
      </c>
      <c r="D437" t="s">
        <v>54</v>
      </c>
      <c r="E437">
        <v>1</v>
      </c>
      <c r="F437" s="4">
        <v>414.47</v>
      </c>
      <c r="G437" t="s">
        <v>1262</v>
      </c>
      <c r="H437" t="s">
        <v>24</v>
      </c>
      <c r="I437" t="s">
        <v>49</v>
      </c>
      <c r="J437" t="s">
        <v>1693</v>
      </c>
      <c r="K437">
        <v>3</v>
      </c>
      <c r="L437" t="s">
        <v>43</v>
      </c>
      <c r="M437" t="s">
        <v>28</v>
      </c>
      <c r="N437" s="4">
        <v>414.47</v>
      </c>
      <c r="O437" s="19" t="str">
        <f t="shared" si="30"/>
        <v>May-2023</v>
      </c>
      <c r="P437">
        <f t="shared" si="31"/>
        <v>2023</v>
      </c>
      <c r="Q437" t="str">
        <f t="shared" si="32"/>
        <v>OK</v>
      </c>
      <c r="R437">
        <v>1</v>
      </c>
      <c r="S437">
        <f t="shared" si="33"/>
        <v>0</v>
      </c>
      <c r="T437">
        <f t="shared" si="34"/>
        <v>1</v>
      </c>
    </row>
    <row r="438" spans="1:20">
      <c r="A438" t="s">
        <v>1694</v>
      </c>
      <c r="B438" s="3">
        <v>44968</v>
      </c>
      <c r="C438" t="s">
        <v>1695</v>
      </c>
      <c r="D438" t="s">
        <v>64</v>
      </c>
      <c r="E438">
        <v>4</v>
      </c>
      <c r="F438" s="4">
        <v>221.33</v>
      </c>
      <c r="G438" t="s">
        <v>658</v>
      </c>
      <c r="H438" t="s">
        <v>33</v>
      </c>
      <c r="I438" t="s">
        <v>95</v>
      </c>
      <c r="J438" t="s">
        <v>1696</v>
      </c>
      <c r="K438">
        <v>5</v>
      </c>
      <c r="M438" t="s">
        <v>82</v>
      </c>
      <c r="N438" s="4">
        <v>885.32</v>
      </c>
      <c r="O438" s="19" t="str">
        <f t="shared" si="30"/>
        <v>Feb-2023</v>
      </c>
      <c r="P438">
        <f t="shared" si="31"/>
        <v>2023</v>
      </c>
      <c r="Q438" t="str">
        <f t="shared" si="32"/>
        <v>OK</v>
      </c>
      <c r="R438">
        <v>1</v>
      </c>
      <c r="S438">
        <f t="shared" si="33"/>
        <v>0</v>
      </c>
      <c r="T438">
        <f t="shared" si="34"/>
        <v>0</v>
      </c>
    </row>
    <row r="439" spans="1:20">
      <c r="A439" t="s">
        <v>1697</v>
      </c>
      <c r="B439" s="3">
        <v>45400</v>
      </c>
      <c r="C439" t="s">
        <v>1698</v>
      </c>
      <c r="D439" t="s">
        <v>31</v>
      </c>
      <c r="E439">
        <v>1</v>
      </c>
      <c r="F439" s="4">
        <v>512.39</v>
      </c>
      <c r="G439" t="s">
        <v>1699</v>
      </c>
      <c r="H439" t="s">
        <v>33</v>
      </c>
      <c r="I439" t="s">
        <v>56</v>
      </c>
      <c r="J439" t="s">
        <v>1700</v>
      </c>
      <c r="K439">
        <v>2</v>
      </c>
      <c r="L439" t="s">
        <v>43</v>
      </c>
      <c r="M439" t="s">
        <v>28</v>
      </c>
      <c r="N439" s="4">
        <v>512.39</v>
      </c>
      <c r="O439" s="19" t="str">
        <f t="shared" si="30"/>
        <v>Apr-2024</v>
      </c>
      <c r="P439">
        <f t="shared" si="31"/>
        <v>2024</v>
      </c>
      <c r="Q439" t="str">
        <f t="shared" si="32"/>
        <v>OK</v>
      </c>
      <c r="R439">
        <v>1</v>
      </c>
      <c r="S439">
        <f t="shared" si="33"/>
        <v>0</v>
      </c>
      <c r="T439">
        <f t="shared" si="34"/>
        <v>0</v>
      </c>
    </row>
    <row r="440" spans="1:20">
      <c r="A440" t="s">
        <v>1701</v>
      </c>
      <c r="B440" s="3">
        <v>45660</v>
      </c>
      <c r="C440" t="s">
        <v>1702</v>
      </c>
      <c r="D440" t="s">
        <v>38</v>
      </c>
      <c r="E440">
        <v>3</v>
      </c>
      <c r="F440" s="4">
        <v>459.34</v>
      </c>
      <c r="G440" t="s">
        <v>1703</v>
      </c>
      <c r="H440" t="s">
        <v>66</v>
      </c>
      <c r="I440" t="s">
        <v>95</v>
      </c>
      <c r="J440" t="s">
        <v>1704</v>
      </c>
      <c r="K440">
        <v>3</v>
      </c>
      <c r="L440" t="s">
        <v>27</v>
      </c>
      <c r="M440" t="s">
        <v>28</v>
      </c>
      <c r="N440" s="4">
        <v>1378.02</v>
      </c>
      <c r="O440" s="19" t="str">
        <f t="shared" si="30"/>
        <v>Jan-2025</v>
      </c>
      <c r="P440">
        <f t="shared" si="31"/>
        <v>2025</v>
      </c>
      <c r="Q440" t="str">
        <f t="shared" si="32"/>
        <v>OK</v>
      </c>
      <c r="R440">
        <v>1</v>
      </c>
      <c r="S440">
        <f t="shared" si="33"/>
        <v>0</v>
      </c>
      <c r="T440">
        <f t="shared" si="34"/>
        <v>0</v>
      </c>
    </row>
    <row r="441" spans="1:20">
      <c r="A441" t="s">
        <v>1705</v>
      </c>
      <c r="B441" s="3">
        <v>45543</v>
      </c>
      <c r="C441" t="s">
        <v>1706</v>
      </c>
      <c r="D441" t="s">
        <v>38</v>
      </c>
      <c r="E441">
        <v>1</v>
      </c>
      <c r="F441" s="4">
        <v>146.32</v>
      </c>
      <c r="G441" t="s">
        <v>1707</v>
      </c>
      <c r="H441" t="s">
        <v>33</v>
      </c>
      <c r="I441" t="s">
        <v>25</v>
      </c>
      <c r="J441" t="s">
        <v>1708</v>
      </c>
      <c r="K441">
        <v>4</v>
      </c>
      <c r="L441" t="s">
        <v>87</v>
      </c>
      <c r="M441" t="s">
        <v>51</v>
      </c>
      <c r="N441" s="4">
        <v>146.32</v>
      </c>
      <c r="O441" s="19" t="str">
        <f t="shared" si="30"/>
        <v>Sep-2024</v>
      </c>
      <c r="P441">
        <f t="shared" si="31"/>
        <v>2024</v>
      </c>
      <c r="Q441" t="str">
        <f t="shared" si="32"/>
        <v>OK</v>
      </c>
      <c r="R441">
        <v>1</v>
      </c>
      <c r="S441">
        <f t="shared" si="33"/>
        <v>0</v>
      </c>
      <c r="T441">
        <f t="shared" si="34"/>
        <v>0</v>
      </c>
    </row>
    <row r="442" spans="1:20">
      <c r="A442" t="s">
        <v>1709</v>
      </c>
      <c r="B442" s="3">
        <v>45601</v>
      </c>
      <c r="C442" t="s">
        <v>1710</v>
      </c>
      <c r="D442" t="s">
        <v>79</v>
      </c>
      <c r="E442">
        <v>4</v>
      </c>
      <c r="F442" s="4">
        <v>83.6</v>
      </c>
      <c r="G442" t="s">
        <v>1250</v>
      </c>
      <c r="H442" t="s">
        <v>24</v>
      </c>
      <c r="I442" t="s">
        <v>95</v>
      </c>
      <c r="J442" t="s">
        <v>1711</v>
      </c>
      <c r="K442">
        <v>4</v>
      </c>
      <c r="L442" t="s">
        <v>27</v>
      </c>
      <c r="M442" t="s">
        <v>51</v>
      </c>
      <c r="N442" s="4">
        <v>334.4</v>
      </c>
      <c r="O442" s="19" t="str">
        <f t="shared" si="30"/>
        <v>Nov-2024</v>
      </c>
      <c r="P442">
        <f t="shared" si="31"/>
        <v>2024</v>
      </c>
      <c r="Q442" t="str">
        <f t="shared" si="32"/>
        <v>OK</v>
      </c>
      <c r="R442">
        <v>1</v>
      </c>
      <c r="S442">
        <f t="shared" si="33"/>
        <v>0</v>
      </c>
      <c r="T442">
        <f t="shared" si="34"/>
        <v>0</v>
      </c>
    </row>
    <row r="443" spans="1:20">
      <c r="A443" t="s">
        <v>1712</v>
      </c>
      <c r="B443" s="3">
        <v>45273</v>
      </c>
      <c r="C443" t="s">
        <v>1713</v>
      </c>
      <c r="D443" t="s">
        <v>54</v>
      </c>
      <c r="E443">
        <v>2</v>
      </c>
      <c r="F443" s="4">
        <v>328.54</v>
      </c>
      <c r="G443" t="s">
        <v>1714</v>
      </c>
      <c r="H443" t="s">
        <v>66</v>
      </c>
      <c r="I443" t="s">
        <v>49</v>
      </c>
      <c r="J443" t="s">
        <v>1715</v>
      </c>
      <c r="K443">
        <v>6</v>
      </c>
      <c r="L443" t="s">
        <v>43</v>
      </c>
      <c r="M443" t="s">
        <v>44</v>
      </c>
      <c r="N443" s="4">
        <v>657.08</v>
      </c>
      <c r="O443" s="19" t="str">
        <f t="shared" si="30"/>
        <v>Dec-2023</v>
      </c>
      <c r="P443">
        <f t="shared" si="31"/>
        <v>2023</v>
      </c>
      <c r="Q443" t="str">
        <f t="shared" si="32"/>
        <v>OK</v>
      </c>
      <c r="R443">
        <v>1</v>
      </c>
      <c r="S443">
        <f t="shared" si="33"/>
        <v>0</v>
      </c>
      <c r="T443">
        <f t="shared" si="34"/>
        <v>1</v>
      </c>
    </row>
    <row r="444" spans="1:20">
      <c r="A444" t="s">
        <v>1716</v>
      </c>
      <c r="B444" s="3">
        <v>45418</v>
      </c>
      <c r="C444" t="s">
        <v>1717</v>
      </c>
      <c r="D444" t="s">
        <v>47</v>
      </c>
      <c r="E444">
        <v>5</v>
      </c>
      <c r="F444" s="4">
        <v>314.94</v>
      </c>
      <c r="G444" t="s">
        <v>1718</v>
      </c>
      <c r="H444" t="s">
        <v>71</v>
      </c>
      <c r="I444" t="s">
        <v>95</v>
      </c>
      <c r="J444" t="s">
        <v>1719</v>
      </c>
      <c r="K444">
        <v>8</v>
      </c>
      <c r="L444" t="s">
        <v>27</v>
      </c>
      <c r="M444" t="s">
        <v>28</v>
      </c>
      <c r="N444" s="4">
        <v>1574.7</v>
      </c>
      <c r="O444" s="19" t="str">
        <f t="shared" si="30"/>
        <v>May-2024</v>
      </c>
      <c r="P444">
        <f t="shared" si="31"/>
        <v>2024</v>
      </c>
      <c r="Q444" t="str">
        <f t="shared" si="32"/>
        <v>OK</v>
      </c>
      <c r="R444">
        <v>1</v>
      </c>
      <c r="S444">
        <f t="shared" si="33"/>
        <v>0</v>
      </c>
      <c r="T444">
        <f t="shared" si="34"/>
        <v>0</v>
      </c>
    </row>
    <row r="445" spans="1:20">
      <c r="A445" t="s">
        <v>1720</v>
      </c>
      <c r="B445" s="3">
        <v>45426</v>
      </c>
      <c r="C445" t="s">
        <v>1721</v>
      </c>
      <c r="D445" t="s">
        <v>47</v>
      </c>
      <c r="E445">
        <v>2</v>
      </c>
      <c r="F445" s="4">
        <v>69.64</v>
      </c>
      <c r="G445" t="s">
        <v>295</v>
      </c>
      <c r="H445" t="s">
        <v>71</v>
      </c>
      <c r="I445" t="s">
        <v>49</v>
      </c>
      <c r="J445" t="s">
        <v>1722</v>
      </c>
      <c r="K445">
        <v>6</v>
      </c>
      <c r="M445" t="s">
        <v>51</v>
      </c>
      <c r="N445" s="4">
        <v>139.28</v>
      </c>
      <c r="O445" s="19" t="str">
        <f t="shared" si="30"/>
        <v>May-2024</v>
      </c>
      <c r="P445">
        <f t="shared" si="31"/>
        <v>2024</v>
      </c>
      <c r="Q445" t="str">
        <f t="shared" si="32"/>
        <v>OK</v>
      </c>
      <c r="R445">
        <v>1</v>
      </c>
      <c r="S445">
        <f t="shared" si="33"/>
        <v>0</v>
      </c>
      <c r="T445">
        <f t="shared" si="34"/>
        <v>1</v>
      </c>
    </row>
    <row r="446" spans="1:20">
      <c r="A446" t="s">
        <v>1723</v>
      </c>
      <c r="B446" s="3">
        <v>45451</v>
      </c>
      <c r="C446" t="s">
        <v>1724</v>
      </c>
      <c r="D446" t="s">
        <v>54</v>
      </c>
      <c r="E446">
        <v>1</v>
      </c>
      <c r="F446" s="4">
        <v>135.16999999999999</v>
      </c>
      <c r="G446" t="s">
        <v>1725</v>
      </c>
      <c r="H446" t="s">
        <v>33</v>
      </c>
      <c r="I446" t="s">
        <v>25</v>
      </c>
      <c r="J446" t="s">
        <v>1726</v>
      </c>
      <c r="K446">
        <v>6</v>
      </c>
      <c r="L446" t="s">
        <v>43</v>
      </c>
      <c r="M446" t="s">
        <v>28</v>
      </c>
      <c r="N446" s="4">
        <v>135.16999999999999</v>
      </c>
      <c r="O446" s="19" t="str">
        <f t="shared" si="30"/>
        <v>Jun-2024</v>
      </c>
      <c r="P446">
        <f t="shared" si="31"/>
        <v>2024</v>
      </c>
      <c r="Q446" t="str">
        <f t="shared" si="32"/>
        <v>OK</v>
      </c>
      <c r="R446">
        <v>1</v>
      </c>
      <c r="S446">
        <f t="shared" si="33"/>
        <v>0</v>
      </c>
      <c r="T446">
        <f t="shared" si="34"/>
        <v>0</v>
      </c>
    </row>
    <row r="447" spans="1:20">
      <c r="A447" t="s">
        <v>1727</v>
      </c>
      <c r="B447" s="3">
        <v>45374</v>
      </c>
      <c r="C447" t="s">
        <v>1728</v>
      </c>
      <c r="D447" t="s">
        <v>31</v>
      </c>
      <c r="E447">
        <v>1</v>
      </c>
      <c r="F447" s="4">
        <v>487.21</v>
      </c>
      <c r="G447" t="s">
        <v>1729</v>
      </c>
      <c r="H447" t="s">
        <v>71</v>
      </c>
      <c r="I447" t="s">
        <v>56</v>
      </c>
      <c r="J447" t="s">
        <v>1730</v>
      </c>
      <c r="K447">
        <v>3</v>
      </c>
      <c r="L447" t="s">
        <v>27</v>
      </c>
      <c r="M447" t="s">
        <v>35</v>
      </c>
      <c r="N447" s="4">
        <v>487.21</v>
      </c>
      <c r="O447" s="19" t="str">
        <f t="shared" si="30"/>
        <v>Mar-2024</v>
      </c>
      <c r="P447">
        <f t="shared" si="31"/>
        <v>2024</v>
      </c>
      <c r="Q447" t="str">
        <f t="shared" si="32"/>
        <v>OK</v>
      </c>
      <c r="R447">
        <v>1</v>
      </c>
      <c r="S447">
        <f t="shared" si="33"/>
        <v>0</v>
      </c>
      <c r="T447">
        <f t="shared" si="34"/>
        <v>0</v>
      </c>
    </row>
    <row r="448" spans="1:20">
      <c r="A448" t="s">
        <v>1731</v>
      </c>
      <c r="B448" s="3">
        <v>45217</v>
      </c>
      <c r="C448" t="s">
        <v>1732</v>
      </c>
      <c r="D448" t="s">
        <v>64</v>
      </c>
      <c r="E448">
        <v>5</v>
      </c>
      <c r="F448" s="4">
        <v>509.58</v>
      </c>
      <c r="G448" t="s">
        <v>1733</v>
      </c>
      <c r="H448" t="s">
        <v>33</v>
      </c>
      <c r="I448" t="s">
        <v>56</v>
      </c>
      <c r="J448" t="s">
        <v>1734</v>
      </c>
      <c r="K448">
        <v>6</v>
      </c>
      <c r="L448" t="s">
        <v>43</v>
      </c>
      <c r="M448" t="s">
        <v>28</v>
      </c>
      <c r="N448" s="4">
        <v>2547.9</v>
      </c>
      <c r="O448" s="19" t="str">
        <f t="shared" si="30"/>
        <v>Oct-2023</v>
      </c>
      <c r="P448">
        <f t="shared" si="31"/>
        <v>2023</v>
      </c>
      <c r="Q448" t="str">
        <f t="shared" si="32"/>
        <v>OK</v>
      </c>
      <c r="R448">
        <v>1</v>
      </c>
      <c r="S448">
        <f t="shared" si="33"/>
        <v>0</v>
      </c>
      <c r="T448">
        <f t="shared" si="34"/>
        <v>0</v>
      </c>
    </row>
    <row r="449" spans="1:20">
      <c r="A449" t="s">
        <v>1735</v>
      </c>
      <c r="B449" s="3">
        <v>45389</v>
      </c>
      <c r="C449" t="s">
        <v>1736</v>
      </c>
      <c r="D449" t="s">
        <v>54</v>
      </c>
      <c r="E449">
        <v>2</v>
      </c>
      <c r="F449" s="4">
        <v>416.81</v>
      </c>
      <c r="G449" t="s">
        <v>1737</v>
      </c>
      <c r="H449" t="s">
        <v>71</v>
      </c>
      <c r="I449" t="s">
        <v>49</v>
      </c>
      <c r="J449" t="s">
        <v>1738</v>
      </c>
      <c r="K449">
        <v>2</v>
      </c>
      <c r="M449" t="s">
        <v>51</v>
      </c>
      <c r="N449" s="4">
        <v>833.62</v>
      </c>
      <c r="O449" s="19" t="str">
        <f t="shared" si="30"/>
        <v>Apr-2024</v>
      </c>
      <c r="P449">
        <f t="shared" si="31"/>
        <v>2024</v>
      </c>
      <c r="Q449" t="str">
        <f t="shared" si="32"/>
        <v>OK</v>
      </c>
      <c r="R449">
        <v>1</v>
      </c>
      <c r="S449">
        <f t="shared" si="33"/>
        <v>0</v>
      </c>
      <c r="T449">
        <f t="shared" si="34"/>
        <v>1</v>
      </c>
    </row>
    <row r="450" spans="1:20">
      <c r="A450" t="s">
        <v>1739</v>
      </c>
      <c r="B450" s="3">
        <v>45173</v>
      </c>
      <c r="C450" t="s">
        <v>1740</v>
      </c>
      <c r="D450" t="s">
        <v>64</v>
      </c>
      <c r="E450">
        <v>2</v>
      </c>
      <c r="F450" s="4">
        <v>160</v>
      </c>
      <c r="G450" t="s">
        <v>1741</v>
      </c>
      <c r="H450" t="s">
        <v>71</v>
      </c>
      <c r="I450" t="s">
        <v>95</v>
      </c>
      <c r="J450" t="s">
        <v>1742</v>
      </c>
      <c r="K450">
        <v>4</v>
      </c>
      <c r="L450" t="s">
        <v>27</v>
      </c>
      <c r="M450" t="s">
        <v>28</v>
      </c>
      <c r="N450" s="4">
        <v>320</v>
      </c>
      <c r="O450" s="19" t="str">
        <f t="shared" ref="O450:O513" si="35">TEXT(B450,"mmm-yyyy")</f>
        <v>Sep-2023</v>
      </c>
      <c r="P450">
        <f t="shared" ref="P450:P513" si="36">YEAR(B450)</f>
        <v>2023</v>
      </c>
      <c r="Q450" t="str">
        <f t="shared" ref="Q450:Q513" si="37">IF(ABS(N450-(E450*F450))&lt;0.01,"OK","CHECK")</f>
        <v>OK</v>
      </c>
      <c r="R450">
        <v>1</v>
      </c>
      <c r="S450">
        <f t="shared" ref="S450:S513" si="38">IF(I450="Cancelled",1,0)</f>
        <v>0</v>
      </c>
      <c r="T450">
        <f t="shared" ref="T450:T513" si="39">IF(I450="Returned",1,0)</f>
        <v>0</v>
      </c>
    </row>
    <row r="451" spans="1:20">
      <c r="A451" t="s">
        <v>1743</v>
      </c>
      <c r="B451" s="3">
        <v>45530</v>
      </c>
      <c r="C451" t="s">
        <v>1744</v>
      </c>
      <c r="D451" t="s">
        <v>38</v>
      </c>
      <c r="E451">
        <v>3</v>
      </c>
      <c r="F451" s="4">
        <v>253.05</v>
      </c>
      <c r="G451" t="s">
        <v>1745</v>
      </c>
      <c r="H451" t="s">
        <v>33</v>
      </c>
      <c r="I451" t="s">
        <v>95</v>
      </c>
      <c r="J451" t="s">
        <v>1746</v>
      </c>
      <c r="K451">
        <v>3</v>
      </c>
      <c r="M451" t="s">
        <v>28</v>
      </c>
      <c r="N451" s="4">
        <v>759.15000000000009</v>
      </c>
      <c r="O451" s="19" t="str">
        <f t="shared" si="35"/>
        <v>Aug-2024</v>
      </c>
      <c r="P451">
        <f t="shared" si="36"/>
        <v>2024</v>
      </c>
      <c r="Q451" t="str">
        <f t="shared" si="37"/>
        <v>OK</v>
      </c>
      <c r="R451">
        <v>1</v>
      </c>
      <c r="S451">
        <f t="shared" si="38"/>
        <v>0</v>
      </c>
      <c r="T451">
        <f t="shared" si="39"/>
        <v>0</v>
      </c>
    </row>
    <row r="452" spans="1:20">
      <c r="A452" t="s">
        <v>1747</v>
      </c>
      <c r="B452" s="3">
        <v>45306</v>
      </c>
      <c r="C452" t="s">
        <v>1748</v>
      </c>
      <c r="D452" t="s">
        <v>22</v>
      </c>
      <c r="E452">
        <v>5</v>
      </c>
      <c r="F452" s="4">
        <v>615.1</v>
      </c>
      <c r="G452" t="s">
        <v>1749</v>
      </c>
      <c r="H452" t="s">
        <v>66</v>
      </c>
      <c r="I452" t="s">
        <v>49</v>
      </c>
      <c r="J452" t="s">
        <v>1750</v>
      </c>
      <c r="K452">
        <v>10</v>
      </c>
      <c r="L452" t="s">
        <v>87</v>
      </c>
      <c r="M452" t="s">
        <v>28</v>
      </c>
      <c r="N452" s="4">
        <v>3075.5</v>
      </c>
      <c r="O452" s="19" t="str">
        <f t="shared" si="35"/>
        <v>Jan-2024</v>
      </c>
      <c r="P452">
        <f t="shared" si="36"/>
        <v>2024</v>
      </c>
      <c r="Q452" t="str">
        <f t="shared" si="37"/>
        <v>OK</v>
      </c>
      <c r="R452">
        <v>1</v>
      </c>
      <c r="S452">
        <f t="shared" si="38"/>
        <v>0</v>
      </c>
      <c r="T452">
        <f t="shared" si="39"/>
        <v>1</v>
      </c>
    </row>
    <row r="453" spans="1:20">
      <c r="A453" t="s">
        <v>1751</v>
      </c>
      <c r="B453" s="3">
        <v>45017</v>
      </c>
      <c r="C453" t="s">
        <v>1752</v>
      </c>
      <c r="D453" t="s">
        <v>22</v>
      </c>
      <c r="E453">
        <v>1</v>
      </c>
      <c r="F453" s="4">
        <v>183.18</v>
      </c>
      <c r="G453" t="s">
        <v>456</v>
      </c>
      <c r="H453" t="s">
        <v>24</v>
      </c>
      <c r="I453" t="s">
        <v>41</v>
      </c>
      <c r="J453" t="s">
        <v>1753</v>
      </c>
      <c r="K453">
        <v>6</v>
      </c>
      <c r="L453" t="s">
        <v>27</v>
      </c>
      <c r="M453" t="s">
        <v>44</v>
      </c>
      <c r="N453" s="4">
        <v>183.18</v>
      </c>
      <c r="O453" s="19" t="str">
        <f t="shared" si="35"/>
        <v>Apr-2023</v>
      </c>
      <c r="P453">
        <f t="shared" si="36"/>
        <v>2023</v>
      </c>
      <c r="Q453" t="str">
        <f t="shared" si="37"/>
        <v>OK</v>
      </c>
      <c r="R453">
        <v>1</v>
      </c>
      <c r="S453">
        <f t="shared" si="38"/>
        <v>1</v>
      </c>
      <c r="T453">
        <f t="shared" si="39"/>
        <v>0</v>
      </c>
    </row>
    <row r="454" spans="1:20">
      <c r="A454" t="s">
        <v>1754</v>
      </c>
      <c r="B454" s="3">
        <v>45130</v>
      </c>
      <c r="C454" t="s">
        <v>1755</v>
      </c>
      <c r="D454" t="s">
        <v>54</v>
      </c>
      <c r="E454">
        <v>1</v>
      </c>
      <c r="F454" s="4">
        <v>75.78</v>
      </c>
      <c r="G454" t="s">
        <v>1756</v>
      </c>
      <c r="H454" t="s">
        <v>71</v>
      </c>
      <c r="I454" t="s">
        <v>95</v>
      </c>
      <c r="J454" t="s">
        <v>1757</v>
      </c>
      <c r="K454">
        <v>5</v>
      </c>
      <c r="L454" t="s">
        <v>27</v>
      </c>
      <c r="M454" t="s">
        <v>82</v>
      </c>
      <c r="N454" s="4">
        <v>75.78</v>
      </c>
      <c r="O454" s="19" t="str">
        <f t="shared" si="35"/>
        <v>Jul-2023</v>
      </c>
      <c r="P454">
        <f t="shared" si="36"/>
        <v>2023</v>
      </c>
      <c r="Q454" t="str">
        <f t="shared" si="37"/>
        <v>OK</v>
      </c>
      <c r="R454">
        <v>1</v>
      </c>
      <c r="S454">
        <f t="shared" si="38"/>
        <v>0</v>
      </c>
      <c r="T454">
        <f t="shared" si="39"/>
        <v>0</v>
      </c>
    </row>
    <row r="455" spans="1:20">
      <c r="A455" t="s">
        <v>1758</v>
      </c>
      <c r="B455" s="3">
        <v>45779</v>
      </c>
      <c r="C455" t="s">
        <v>1759</v>
      </c>
      <c r="D455" t="s">
        <v>38</v>
      </c>
      <c r="E455">
        <v>1</v>
      </c>
      <c r="F455" s="4">
        <v>675.57</v>
      </c>
      <c r="G455" t="s">
        <v>1760</v>
      </c>
      <c r="H455" t="s">
        <v>71</v>
      </c>
      <c r="I455" t="s">
        <v>25</v>
      </c>
      <c r="J455" t="s">
        <v>1761</v>
      </c>
      <c r="K455">
        <v>1</v>
      </c>
      <c r="L455" t="s">
        <v>87</v>
      </c>
      <c r="M455" t="s">
        <v>51</v>
      </c>
      <c r="N455" s="4">
        <v>675.57</v>
      </c>
      <c r="O455" s="19" t="str">
        <f t="shared" si="35"/>
        <v>May-2025</v>
      </c>
      <c r="P455">
        <f t="shared" si="36"/>
        <v>2025</v>
      </c>
      <c r="Q455" t="str">
        <f t="shared" si="37"/>
        <v>OK</v>
      </c>
      <c r="R455">
        <v>1</v>
      </c>
      <c r="S455">
        <f t="shared" si="38"/>
        <v>0</v>
      </c>
      <c r="T455">
        <f t="shared" si="39"/>
        <v>0</v>
      </c>
    </row>
    <row r="456" spans="1:20">
      <c r="A456" t="s">
        <v>1762</v>
      </c>
      <c r="B456" s="3">
        <v>45623</v>
      </c>
      <c r="C456" t="s">
        <v>1763</v>
      </c>
      <c r="D456" t="s">
        <v>64</v>
      </c>
      <c r="E456">
        <v>1</v>
      </c>
      <c r="F456" s="4">
        <v>109.29</v>
      </c>
      <c r="G456" t="s">
        <v>1764</v>
      </c>
      <c r="H456" t="s">
        <v>24</v>
      </c>
      <c r="I456" t="s">
        <v>41</v>
      </c>
      <c r="J456" t="s">
        <v>1765</v>
      </c>
      <c r="K456">
        <v>5</v>
      </c>
      <c r="L456" t="s">
        <v>43</v>
      </c>
      <c r="M456" t="s">
        <v>82</v>
      </c>
      <c r="N456" s="4">
        <v>109.29</v>
      </c>
      <c r="O456" s="19" t="str">
        <f t="shared" si="35"/>
        <v>Nov-2024</v>
      </c>
      <c r="P456">
        <f t="shared" si="36"/>
        <v>2024</v>
      </c>
      <c r="Q456" t="str">
        <f t="shared" si="37"/>
        <v>OK</v>
      </c>
      <c r="R456">
        <v>1</v>
      </c>
      <c r="S456">
        <f t="shared" si="38"/>
        <v>1</v>
      </c>
      <c r="T456">
        <f t="shared" si="39"/>
        <v>0</v>
      </c>
    </row>
    <row r="457" spans="1:20">
      <c r="A457" t="s">
        <v>1766</v>
      </c>
      <c r="B457" s="3">
        <v>45377</v>
      </c>
      <c r="C457" t="s">
        <v>1767</v>
      </c>
      <c r="D457" t="s">
        <v>31</v>
      </c>
      <c r="E457">
        <v>1</v>
      </c>
      <c r="F457" s="4">
        <v>639.83000000000004</v>
      </c>
      <c r="G457" t="s">
        <v>1768</v>
      </c>
      <c r="H457" t="s">
        <v>24</v>
      </c>
      <c r="I457" t="s">
        <v>95</v>
      </c>
      <c r="J457" t="s">
        <v>1769</v>
      </c>
      <c r="K457">
        <v>2</v>
      </c>
      <c r="L457" t="s">
        <v>27</v>
      </c>
      <c r="M457" t="s">
        <v>35</v>
      </c>
      <c r="N457" s="4">
        <v>639.83000000000004</v>
      </c>
      <c r="O457" s="19" t="str">
        <f t="shared" si="35"/>
        <v>Mar-2024</v>
      </c>
      <c r="P457">
        <f t="shared" si="36"/>
        <v>2024</v>
      </c>
      <c r="Q457" t="str">
        <f t="shared" si="37"/>
        <v>OK</v>
      </c>
      <c r="R457">
        <v>1</v>
      </c>
      <c r="S457">
        <f t="shared" si="38"/>
        <v>0</v>
      </c>
      <c r="T457">
        <f t="shared" si="39"/>
        <v>0</v>
      </c>
    </row>
    <row r="458" spans="1:20">
      <c r="A458" t="s">
        <v>1770</v>
      </c>
      <c r="B458" s="3">
        <v>45103</v>
      </c>
      <c r="C458" t="s">
        <v>1771</v>
      </c>
      <c r="D458" t="s">
        <v>79</v>
      </c>
      <c r="E458">
        <v>5</v>
      </c>
      <c r="F458" s="4">
        <v>62.81</v>
      </c>
      <c r="G458" t="s">
        <v>1370</v>
      </c>
      <c r="H458" t="s">
        <v>40</v>
      </c>
      <c r="I458" t="s">
        <v>25</v>
      </c>
      <c r="J458" t="s">
        <v>1772</v>
      </c>
      <c r="K458">
        <v>9</v>
      </c>
      <c r="L458" t="s">
        <v>27</v>
      </c>
      <c r="M458" t="s">
        <v>51</v>
      </c>
      <c r="N458" s="4">
        <v>314.05</v>
      </c>
      <c r="O458" s="19" t="str">
        <f t="shared" si="35"/>
        <v>Jun-2023</v>
      </c>
      <c r="P458">
        <f t="shared" si="36"/>
        <v>2023</v>
      </c>
      <c r="Q458" t="str">
        <f t="shared" si="37"/>
        <v>OK</v>
      </c>
      <c r="R458">
        <v>1</v>
      </c>
      <c r="S458">
        <f t="shared" si="38"/>
        <v>0</v>
      </c>
      <c r="T458">
        <f t="shared" si="39"/>
        <v>0</v>
      </c>
    </row>
    <row r="459" spans="1:20">
      <c r="A459" t="s">
        <v>1773</v>
      </c>
      <c r="B459" s="3">
        <v>45802</v>
      </c>
      <c r="C459" t="s">
        <v>1774</v>
      </c>
      <c r="D459" t="s">
        <v>79</v>
      </c>
      <c r="E459">
        <v>4</v>
      </c>
      <c r="F459" s="4">
        <v>615.83000000000004</v>
      </c>
      <c r="G459" t="s">
        <v>1775</v>
      </c>
      <c r="H459" t="s">
        <v>33</v>
      </c>
      <c r="I459" t="s">
        <v>49</v>
      </c>
      <c r="J459" t="s">
        <v>1776</v>
      </c>
      <c r="K459">
        <v>4</v>
      </c>
      <c r="L459" t="s">
        <v>87</v>
      </c>
      <c r="M459" t="s">
        <v>28</v>
      </c>
      <c r="N459" s="4">
        <v>2463.3200000000002</v>
      </c>
      <c r="O459" s="19" t="str">
        <f t="shared" si="35"/>
        <v>May-2025</v>
      </c>
      <c r="P459">
        <f t="shared" si="36"/>
        <v>2025</v>
      </c>
      <c r="Q459" t="str">
        <f t="shared" si="37"/>
        <v>OK</v>
      </c>
      <c r="R459">
        <v>1</v>
      </c>
      <c r="S459">
        <f t="shared" si="38"/>
        <v>0</v>
      </c>
      <c r="T459">
        <f t="shared" si="39"/>
        <v>1</v>
      </c>
    </row>
    <row r="460" spans="1:20">
      <c r="A460" t="s">
        <v>1777</v>
      </c>
      <c r="B460" s="3">
        <v>45475</v>
      </c>
      <c r="C460" t="s">
        <v>1778</v>
      </c>
      <c r="D460" t="s">
        <v>22</v>
      </c>
      <c r="E460">
        <v>4</v>
      </c>
      <c r="F460" s="4">
        <v>510.58</v>
      </c>
      <c r="G460" t="s">
        <v>405</v>
      </c>
      <c r="H460" t="s">
        <v>40</v>
      </c>
      <c r="I460" t="s">
        <v>49</v>
      </c>
      <c r="J460" t="s">
        <v>1779</v>
      </c>
      <c r="K460">
        <v>7</v>
      </c>
      <c r="L460" t="s">
        <v>87</v>
      </c>
      <c r="M460" t="s">
        <v>44</v>
      </c>
      <c r="N460" s="4">
        <v>2042.32</v>
      </c>
      <c r="O460" s="19" t="str">
        <f t="shared" si="35"/>
        <v>Jul-2024</v>
      </c>
      <c r="P460">
        <f t="shared" si="36"/>
        <v>2024</v>
      </c>
      <c r="Q460" t="str">
        <f t="shared" si="37"/>
        <v>OK</v>
      </c>
      <c r="R460">
        <v>1</v>
      </c>
      <c r="S460">
        <f t="shared" si="38"/>
        <v>0</v>
      </c>
      <c r="T460">
        <f t="shared" si="39"/>
        <v>1</v>
      </c>
    </row>
    <row r="461" spans="1:20">
      <c r="A461" t="s">
        <v>1780</v>
      </c>
      <c r="B461" s="3">
        <v>45497</v>
      </c>
      <c r="C461" t="s">
        <v>1781</v>
      </c>
      <c r="D461" t="s">
        <v>79</v>
      </c>
      <c r="E461">
        <v>1</v>
      </c>
      <c r="F461" s="4">
        <v>334.39</v>
      </c>
      <c r="G461" t="s">
        <v>1676</v>
      </c>
      <c r="H461" t="s">
        <v>40</v>
      </c>
      <c r="I461" t="s">
        <v>49</v>
      </c>
      <c r="J461" t="s">
        <v>1782</v>
      </c>
      <c r="K461">
        <v>2</v>
      </c>
      <c r="M461" t="s">
        <v>28</v>
      </c>
      <c r="N461" s="4">
        <v>334.39</v>
      </c>
      <c r="O461" s="19" t="str">
        <f t="shared" si="35"/>
        <v>Jul-2024</v>
      </c>
      <c r="P461">
        <f t="shared" si="36"/>
        <v>2024</v>
      </c>
      <c r="Q461" t="str">
        <f t="shared" si="37"/>
        <v>OK</v>
      </c>
      <c r="R461">
        <v>1</v>
      </c>
      <c r="S461">
        <f t="shared" si="38"/>
        <v>0</v>
      </c>
      <c r="T461">
        <f t="shared" si="39"/>
        <v>1</v>
      </c>
    </row>
    <row r="462" spans="1:20">
      <c r="A462" t="s">
        <v>1783</v>
      </c>
      <c r="B462" s="3">
        <v>45571</v>
      </c>
      <c r="C462" t="s">
        <v>1784</v>
      </c>
      <c r="D462" t="s">
        <v>64</v>
      </c>
      <c r="E462">
        <v>1</v>
      </c>
      <c r="F462" s="4">
        <v>144.25</v>
      </c>
      <c r="G462" t="s">
        <v>1785</v>
      </c>
      <c r="H462" t="s">
        <v>71</v>
      </c>
      <c r="I462" t="s">
        <v>49</v>
      </c>
      <c r="J462" t="s">
        <v>1786</v>
      </c>
      <c r="K462">
        <v>2</v>
      </c>
      <c r="L462" t="s">
        <v>87</v>
      </c>
      <c r="M462" t="s">
        <v>35</v>
      </c>
      <c r="N462" s="4">
        <v>144.25</v>
      </c>
      <c r="O462" s="19" t="str">
        <f t="shared" si="35"/>
        <v>Oct-2024</v>
      </c>
      <c r="P462">
        <f t="shared" si="36"/>
        <v>2024</v>
      </c>
      <c r="Q462" t="str">
        <f t="shared" si="37"/>
        <v>OK</v>
      </c>
      <c r="R462">
        <v>1</v>
      </c>
      <c r="S462">
        <f t="shared" si="38"/>
        <v>0</v>
      </c>
      <c r="T462">
        <f t="shared" si="39"/>
        <v>1</v>
      </c>
    </row>
    <row r="463" spans="1:20">
      <c r="A463" t="s">
        <v>1787</v>
      </c>
      <c r="B463" s="3">
        <v>45451</v>
      </c>
      <c r="C463" t="s">
        <v>1788</v>
      </c>
      <c r="D463" t="s">
        <v>38</v>
      </c>
      <c r="E463">
        <v>1</v>
      </c>
      <c r="F463" s="4">
        <v>401.82</v>
      </c>
      <c r="G463" t="s">
        <v>978</v>
      </c>
      <c r="H463" t="s">
        <v>40</v>
      </c>
      <c r="I463" t="s">
        <v>25</v>
      </c>
      <c r="J463" t="s">
        <v>1789</v>
      </c>
      <c r="K463">
        <v>5</v>
      </c>
      <c r="L463" t="s">
        <v>43</v>
      </c>
      <c r="M463" t="s">
        <v>82</v>
      </c>
      <c r="N463" s="4">
        <v>401.82</v>
      </c>
      <c r="O463" s="19" t="str">
        <f t="shared" si="35"/>
        <v>Jun-2024</v>
      </c>
      <c r="P463">
        <f t="shared" si="36"/>
        <v>2024</v>
      </c>
      <c r="Q463" t="str">
        <f t="shared" si="37"/>
        <v>OK</v>
      </c>
      <c r="R463">
        <v>1</v>
      </c>
      <c r="S463">
        <f t="shared" si="38"/>
        <v>0</v>
      </c>
      <c r="T463">
        <f t="shared" si="39"/>
        <v>0</v>
      </c>
    </row>
    <row r="464" spans="1:20">
      <c r="A464" t="s">
        <v>1790</v>
      </c>
      <c r="B464" s="3">
        <v>45747</v>
      </c>
      <c r="C464" t="s">
        <v>1791</v>
      </c>
      <c r="D464" t="s">
        <v>31</v>
      </c>
      <c r="E464">
        <v>1</v>
      </c>
      <c r="F464" s="4">
        <v>252.68</v>
      </c>
      <c r="G464" t="s">
        <v>1792</v>
      </c>
      <c r="H464" t="s">
        <v>33</v>
      </c>
      <c r="I464" t="s">
        <v>41</v>
      </c>
      <c r="J464" t="s">
        <v>1793</v>
      </c>
      <c r="K464">
        <v>1</v>
      </c>
      <c r="M464" t="s">
        <v>35</v>
      </c>
      <c r="N464" s="4">
        <v>252.68</v>
      </c>
      <c r="O464" s="19" t="str">
        <f t="shared" si="35"/>
        <v>Mar-2025</v>
      </c>
      <c r="P464">
        <f t="shared" si="36"/>
        <v>2025</v>
      </c>
      <c r="Q464" t="str">
        <f t="shared" si="37"/>
        <v>OK</v>
      </c>
      <c r="R464">
        <v>1</v>
      </c>
      <c r="S464">
        <f t="shared" si="38"/>
        <v>1</v>
      </c>
      <c r="T464">
        <f t="shared" si="39"/>
        <v>0</v>
      </c>
    </row>
    <row r="465" spans="1:20">
      <c r="A465" t="s">
        <v>1794</v>
      </c>
      <c r="B465" s="3">
        <v>45072</v>
      </c>
      <c r="C465" t="s">
        <v>1795</v>
      </c>
      <c r="D465" t="s">
        <v>64</v>
      </c>
      <c r="E465">
        <v>5</v>
      </c>
      <c r="F465" s="4">
        <v>662.78</v>
      </c>
      <c r="G465" t="s">
        <v>1796</v>
      </c>
      <c r="H465" t="s">
        <v>24</v>
      </c>
      <c r="I465" t="s">
        <v>25</v>
      </c>
      <c r="J465" t="s">
        <v>1797</v>
      </c>
      <c r="K465">
        <v>9</v>
      </c>
      <c r="L465" t="s">
        <v>27</v>
      </c>
      <c r="M465" t="s">
        <v>28</v>
      </c>
      <c r="N465" s="4">
        <v>3313.9</v>
      </c>
      <c r="O465" s="19" t="str">
        <f t="shared" si="35"/>
        <v>May-2023</v>
      </c>
      <c r="P465">
        <f t="shared" si="36"/>
        <v>2023</v>
      </c>
      <c r="Q465" t="str">
        <f t="shared" si="37"/>
        <v>OK</v>
      </c>
      <c r="R465">
        <v>1</v>
      </c>
      <c r="S465">
        <f t="shared" si="38"/>
        <v>0</v>
      </c>
      <c r="T465">
        <f t="shared" si="39"/>
        <v>0</v>
      </c>
    </row>
    <row r="466" spans="1:20">
      <c r="A466" t="s">
        <v>1798</v>
      </c>
      <c r="B466" s="3">
        <v>44999</v>
      </c>
      <c r="C466" t="s">
        <v>1799</v>
      </c>
      <c r="D466" t="s">
        <v>38</v>
      </c>
      <c r="E466">
        <v>4</v>
      </c>
      <c r="F466" s="4">
        <v>434.42</v>
      </c>
      <c r="G466" t="s">
        <v>1800</v>
      </c>
      <c r="H466" t="s">
        <v>33</v>
      </c>
      <c r="I466" t="s">
        <v>41</v>
      </c>
      <c r="J466" t="s">
        <v>1801</v>
      </c>
      <c r="K466">
        <v>6</v>
      </c>
      <c r="L466" t="s">
        <v>43</v>
      </c>
      <c r="M466" t="s">
        <v>82</v>
      </c>
      <c r="N466" s="4">
        <v>1737.68</v>
      </c>
      <c r="O466" s="19" t="str">
        <f t="shared" si="35"/>
        <v>Mar-2023</v>
      </c>
      <c r="P466">
        <f t="shared" si="36"/>
        <v>2023</v>
      </c>
      <c r="Q466" t="str">
        <f t="shared" si="37"/>
        <v>OK</v>
      </c>
      <c r="R466">
        <v>1</v>
      </c>
      <c r="S466">
        <f t="shared" si="38"/>
        <v>1</v>
      </c>
      <c r="T466">
        <f t="shared" si="39"/>
        <v>0</v>
      </c>
    </row>
    <row r="467" spans="1:20">
      <c r="A467" t="s">
        <v>1802</v>
      </c>
      <c r="B467" s="3">
        <v>45348</v>
      </c>
      <c r="C467" t="s">
        <v>1803</v>
      </c>
      <c r="D467" t="s">
        <v>54</v>
      </c>
      <c r="E467">
        <v>5</v>
      </c>
      <c r="F467" s="4">
        <v>513.49</v>
      </c>
      <c r="G467" t="s">
        <v>1804</v>
      </c>
      <c r="H467" t="s">
        <v>66</v>
      </c>
      <c r="I467" t="s">
        <v>41</v>
      </c>
      <c r="J467" t="s">
        <v>1805</v>
      </c>
      <c r="K467">
        <v>8</v>
      </c>
      <c r="M467" t="s">
        <v>82</v>
      </c>
      <c r="N467" s="4">
        <v>2567.4499999999998</v>
      </c>
      <c r="O467" s="19" t="str">
        <f t="shared" si="35"/>
        <v>Feb-2024</v>
      </c>
      <c r="P467">
        <f t="shared" si="36"/>
        <v>2024</v>
      </c>
      <c r="Q467" t="str">
        <f t="shared" si="37"/>
        <v>OK</v>
      </c>
      <c r="R467">
        <v>1</v>
      </c>
      <c r="S467">
        <f t="shared" si="38"/>
        <v>1</v>
      </c>
      <c r="T467">
        <f t="shared" si="39"/>
        <v>0</v>
      </c>
    </row>
    <row r="468" spans="1:20">
      <c r="A468" t="s">
        <v>1806</v>
      </c>
      <c r="B468" s="3">
        <v>45125</v>
      </c>
      <c r="C468" t="s">
        <v>1807</v>
      </c>
      <c r="D468" t="s">
        <v>31</v>
      </c>
      <c r="E468">
        <v>1</v>
      </c>
      <c r="F468" s="4">
        <v>432.47</v>
      </c>
      <c r="G468" t="s">
        <v>167</v>
      </c>
      <c r="H468" t="s">
        <v>71</v>
      </c>
      <c r="I468" t="s">
        <v>56</v>
      </c>
      <c r="J468" t="s">
        <v>1808</v>
      </c>
      <c r="K468">
        <v>4</v>
      </c>
      <c r="L468" t="s">
        <v>43</v>
      </c>
      <c r="M468" t="s">
        <v>35</v>
      </c>
      <c r="N468" s="4">
        <v>432.47</v>
      </c>
      <c r="O468" s="19" t="str">
        <f t="shared" si="35"/>
        <v>Jul-2023</v>
      </c>
      <c r="P468">
        <f t="shared" si="36"/>
        <v>2023</v>
      </c>
      <c r="Q468" t="str">
        <f t="shared" si="37"/>
        <v>OK</v>
      </c>
      <c r="R468">
        <v>1</v>
      </c>
      <c r="S468">
        <f t="shared" si="38"/>
        <v>0</v>
      </c>
      <c r="T468">
        <f t="shared" si="39"/>
        <v>0</v>
      </c>
    </row>
    <row r="469" spans="1:20">
      <c r="A469" t="s">
        <v>1809</v>
      </c>
      <c r="B469" s="3">
        <v>45534</v>
      </c>
      <c r="C469" t="s">
        <v>1810</v>
      </c>
      <c r="D469" t="s">
        <v>79</v>
      </c>
      <c r="E469">
        <v>1</v>
      </c>
      <c r="F469" s="4">
        <v>45.94</v>
      </c>
      <c r="G469" t="s">
        <v>769</v>
      </c>
      <c r="H469" t="s">
        <v>71</v>
      </c>
      <c r="I469" t="s">
        <v>41</v>
      </c>
      <c r="J469" t="s">
        <v>1811</v>
      </c>
      <c r="K469">
        <v>2</v>
      </c>
      <c r="L469" t="s">
        <v>87</v>
      </c>
      <c r="M469" t="s">
        <v>44</v>
      </c>
      <c r="N469" s="4">
        <v>45.94</v>
      </c>
      <c r="O469" s="19" t="str">
        <f t="shared" si="35"/>
        <v>Aug-2024</v>
      </c>
      <c r="P469">
        <f t="shared" si="36"/>
        <v>2024</v>
      </c>
      <c r="Q469" t="str">
        <f t="shared" si="37"/>
        <v>OK</v>
      </c>
      <c r="R469">
        <v>1</v>
      </c>
      <c r="S469">
        <f t="shared" si="38"/>
        <v>1</v>
      </c>
      <c r="T469">
        <f t="shared" si="39"/>
        <v>0</v>
      </c>
    </row>
    <row r="470" spans="1:20">
      <c r="A470" t="s">
        <v>1812</v>
      </c>
      <c r="B470" s="3">
        <v>45829</v>
      </c>
      <c r="C470" t="s">
        <v>1813</v>
      </c>
      <c r="D470" t="s">
        <v>31</v>
      </c>
      <c r="E470">
        <v>1</v>
      </c>
      <c r="F470" s="4">
        <v>418.36</v>
      </c>
      <c r="G470" t="s">
        <v>1814</v>
      </c>
      <c r="H470" t="s">
        <v>40</v>
      </c>
      <c r="I470" t="s">
        <v>56</v>
      </c>
      <c r="J470" t="s">
        <v>1815</v>
      </c>
      <c r="K470">
        <v>5</v>
      </c>
      <c r="L470" t="s">
        <v>43</v>
      </c>
      <c r="M470" t="s">
        <v>44</v>
      </c>
      <c r="N470" s="4">
        <v>418.36</v>
      </c>
      <c r="O470" s="19" t="str">
        <f t="shared" si="35"/>
        <v>Jun-2025</v>
      </c>
      <c r="P470">
        <f t="shared" si="36"/>
        <v>2025</v>
      </c>
      <c r="Q470" t="str">
        <f t="shared" si="37"/>
        <v>OK</v>
      </c>
      <c r="R470">
        <v>1</v>
      </c>
      <c r="S470">
        <f t="shared" si="38"/>
        <v>0</v>
      </c>
      <c r="T470">
        <f t="shared" si="39"/>
        <v>0</v>
      </c>
    </row>
    <row r="471" spans="1:20">
      <c r="A471" t="s">
        <v>1816</v>
      </c>
      <c r="B471" s="3">
        <v>45256</v>
      </c>
      <c r="C471" t="s">
        <v>1817</v>
      </c>
      <c r="D471" t="s">
        <v>47</v>
      </c>
      <c r="E471">
        <v>5</v>
      </c>
      <c r="F471" s="4">
        <v>676.98</v>
      </c>
      <c r="G471" t="s">
        <v>624</v>
      </c>
      <c r="H471" t="s">
        <v>71</v>
      </c>
      <c r="I471" t="s">
        <v>41</v>
      </c>
      <c r="J471" t="s">
        <v>1818</v>
      </c>
      <c r="K471">
        <v>5</v>
      </c>
      <c r="M471" t="s">
        <v>51</v>
      </c>
      <c r="N471" s="4">
        <v>3384.9</v>
      </c>
      <c r="O471" s="19" t="str">
        <f t="shared" si="35"/>
        <v>Nov-2023</v>
      </c>
      <c r="P471">
        <f t="shared" si="36"/>
        <v>2023</v>
      </c>
      <c r="Q471" t="str">
        <f t="shared" si="37"/>
        <v>OK</v>
      </c>
      <c r="R471">
        <v>1</v>
      </c>
      <c r="S471">
        <f t="shared" si="38"/>
        <v>1</v>
      </c>
      <c r="T471">
        <f t="shared" si="39"/>
        <v>0</v>
      </c>
    </row>
    <row r="472" spans="1:20">
      <c r="A472" t="s">
        <v>1819</v>
      </c>
      <c r="B472" s="3">
        <v>45198</v>
      </c>
      <c r="C472" t="s">
        <v>1820</v>
      </c>
      <c r="D472" t="s">
        <v>38</v>
      </c>
      <c r="E472">
        <v>4</v>
      </c>
      <c r="F472" s="4">
        <v>263.62</v>
      </c>
      <c r="G472" t="s">
        <v>1821</v>
      </c>
      <c r="H472" t="s">
        <v>71</v>
      </c>
      <c r="I472" t="s">
        <v>25</v>
      </c>
      <c r="J472" t="s">
        <v>1822</v>
      </c>
      <c r="K472">
        <v>5</v>
      </c>
      <c r="L472" t="s">
        <v>27</v>
      </c>
      <c r="M472" t="s">
        <v>44</v>
      </c>
      <c r="N472" s="4">
        <v>1054.48</v>
      </c>
      <c r="O472" s="19" t="str">
        <f t="shared" si="35"/>
        <v>Sep-2023</v>
      </c>
      <c r="P472">
        <f t="shared" si="36"/>
        <v>2023</v>
      </c>
      <c r="Q472" t="str">
        <f t="shared" si="37"/>
        <v>OK</v>
      </c>
      <c r="R472">
        <v>1</v>
      </c>
      <c r="S472">
        <f t="shared" si="38"/>
        <v>0</v>
      </c>
      <c r="T472">
        <f t="shared" si="39"/>
        <v>0</v>
      </c>
    </row>
    <row r="473" spans="1:20">
      <c r="A473" t="s">
        <v>1823</v>
      </c>
      <c r="B473" s="3">
        <v>45766</v>
      </c>
      <c r="C473" t="s">
        <v>1824</v>
      </c>
      <c r="D473" t="s">
        <v>79</v>
      </c>
      <c r="E473">
        <v>5</v>
      </c>
      <c r="F473" s="4">
        <v>551.27</v>
      </c>
      <c r="G473" t="s">
        <v>1825</v>
      </c>
      <c r="H473" t="s">
        <v>33</v>
      </c>
      <c r="I473" t="s">
        <v>41</v>
      </c>
      <c r="J473" t="s">
        <v>1826</v>
      </c>
      <c r="K473">
        <v>7</v>
      </c>
      <c r="L473" t="s">
        <v>43</v>
      </c>
      <c r="M473" t="s">
        <v>35</v>
      </c>
      <c r="N473" s="4">
        <v>2756.35</v>
      </c>
      <c r="O473" s="19" t="str">
        <f t="shared" si="35"/>
        <v>Apr-2025</v>
      </c>
      <c r="P473">
        <f t="shared" si="36"/>
        <v>2025</v>
      </c>
      <c r="Q473" t="str">
        <f t="shared" si="37"/>
        <v>OK</v>
      </c>
      <c r="R473">
        <v>1</v>
      </c>
      <c r="S473">
        <f t="shared" si="38"/>
        <v>1</v>
      </c>
      <c r="T473">
        <f t="shared" si="39"/>
        <v>0</v>
      </c>
    </row>
    <row r="474" spans="1:20">
      <c r="A474" t="s">
        <v>1827</v>
      </c>
      <c r="B474" s="3">
        <v>44932</v>
      </c>
      <c r="C474" t="s">
        <v>1828</v>
      </c>
      <c r="D474" t="s">
        <v>47</v>
      </c>
      <c r="E474">
        <v>3</v>
      </c>
      <c r="F474" s="4">
        <v>508.12</v>
      </c>
      <c r="G474" t="s">
        <v>1829</v>
      </c>
      <c r="H474" t="s">
        <v>40</v>
      </c>
      <c r="I474" t="s">
        <v>41</v>
      </c>
      <c r="J474" t="s">
        <v>1830</v>
      </c>
      <c r="K474">
        <v>8</v>
      </c>
      <c r="L474" t="s">
        <v>43</v>
      </c>
      <c r="M474" t="s">
        <v>35</v>
      </c>
      <c r="N474" s="4">
        <v>1524.36</v>
      </c>
      <c r="O474" s="19" t="str">
        <f t="shared" si="35"/>
        <v>Jan-2023</v>
      </c>
      <c r="P474">
        <f t="shared" si="36"/>
        <v>2023</v>
      </c>
      <c r="Q474" t="str">
        <f t="shared" si="37"/>
        <v>OK</v>
      </c>
      <c r="R474">
        <v>1</v>
      </c>
      <c r="S474">
        <f t="shared" si="38"/>
        <v>1</v>
      </c>
      <c r="T474">
        <f t="shared" si="39"/>
        <v>0</v>
      </c>
    </row>
    <row r="475" spans="1:20">
      <c r="A475" t="s">
        <v>1831</v>
      </c>
      <c r="B475" s="3">
        <v>45713</v>
      </c>
      <c r="C475" t="s">
        <v>1832</v>
      </c>
      <c r="D475" t="s">
        <v>47</v>
      </c>
      <c r="E475">
        <v>2</v>
      </c>
      <c r="F475" s="4">
        <v>14.93</v>
      </c>
      <c r="G475" t="s">
        <v>1833</v>
      </c>
      <c r="H475" t="s">
        <v>33</v>
      </c>
      <c r="I475" t="s">
        <v>25</v>
      </c>
      <c r="J475" t="s">
        <v>1834</v>
      </c>
      <c r="K475">
        <v>4</v>
      </c>
      <c r="M475" t="s">
        <v>51</v>
      </c>
      <c r="N475" s="4">
        <v>29.86</v>
      </c>
      <c r="O475" s="19" t="str">
        <f t="shared" si="35"/>
        <v>Feb-2025</v>
      </c>
      <c r="P475">
        <f t="shared" si="36"/>
        <v>2025</v>
      </c>
      <c r="Q475" t="str">
        <f t="shared" si="37"/>
        <v>OK</v>
      </c>
      <c r="R475">
        <v>1</v>
      </c>
      <c r="S475">
        <f t="shared" si="38"/>
        <v>0</v>
      </c>
      <c r="T475">
        <f t="shared" si="39"/>
        <v>0</v>
      </c>
    </row>
    <row r="476" spans="1:20">
      <c r="A476" t="s">
        <v>1835</v>
      </c>
      <c r="B476" s="3">
        <v>45245</v>
      </c>
      <c r="C476" t="s">
        <v>1836</v>
      </c>
      <c r="D476" t="s">
        <v>54</v>
      </c>
      <c r="E476">
        <v>3</v>
      </c>
      <c r="F476" s="4">
        <v>229.34</v>
      </c>
      <c r="G476" t="s">
        <v>1346</v>
      </c>
      <c r="H476" t="s">
        <v>40</v>
      </c>
      <c r="I476" t="s">
        <v>25</v>
      </c>
      <c r="J476" t="s">
        <v>1837</v>
      </c>
      <c r="K476">
        <v>6</v>
      </c>
      <c r="L476" t="s">
        <v>27</v>
      </c>
      <c r="M476" t="s">
        <v>35</v>
      </c>
      <c r="N476" s="4">
        <v>688.02</v>
      </c>
      <c r="O476" s="19" t="str">
        <f t="shared" si="35"/>
        <v>Nov-2023</v>
      </c>
      <c r="P476">
        <f t="shared" si="36"/>
        <v>2023</v>
      </c>
      <c r="Q476" t="str">
        <f t="shared" si="37"/>
        <v>OK</v>
      </c>
      <c r="R476">
        <v>1</v>
      </c>
      <c r="S476">
        <f t="shared" si="38"/>
        <v>0</v>
      </c>
      <c r="T476">
        <f t="shared" si="39"/>
        <v>0</v>
      </c>
    </row>
    <row r="477" spans="1:20">
      <c r="A477" t="s">
        <v>1838</v>
      </c>
      <c r="B477" s="3">
        <v>45766</v>
      </c>
      <c r="C477" t="s">
        <v>1839</v>
      </c>
      <c r="D477" t="s">
        <v>38</v>
      </c>
      <c r="E477">
        <v>2</v>
      </c>
      <c r="F477" s="4">
        <v>438.62</v>
      </c>
      <c r="G477" t="s">
        <v>1840</v>
      </c>
      <c r="H477" t="s">
        <v>71</v>
      </c>
      <c r="I477" t="s">
        <v>41</v>
      </c>
      <c r="J477" t="s">
        <v>1841</v>
      </c>
      <c r="K477">
        <v>3</v>
      </c>
      <c r="L477" t="s">
        <v>27</v>
      </c>
      <c r="M477" t="s">
        <v>51</v>
      </c>
      <c r="N477" s="4">
        <v>877.24</v>
      </c>
      <c r="O477" s="19" t="str">
        <f t="shared" si="35"/>
        <v>Apr-2025</v>
      </c>
      <c r="P477">
        <f t="shared" si="36"/>
        <v>2025</v>
      </c>
      <c r="Q477" t="str">
        <f t="shared" si="37"/>
        <v>OK</v>
      </c>
      <c r="R477">
        <v>1</v>
      </c>
      <c r="S477">
        <f t="shared" si="38"/>
        <v>1</v>
      </c>
      <c r="T477">
        <f t="shared" si="39"/>
        <v>0</v>
      </c>
    </row>
    <row r="478" spans="1:20">
      <c r="A478" t="s">
        <v>1842</v>
      </c>
      <c r="B478" s="3">
        <v>45306</v>
      </c>
      <c r="C478" t="s">
        <v>1843</v>
      </c>
      <c r="D478" t="s">
        <v>31</v>
      </c>
      <c r="E478">
        <v>2</v>
      </c>
      <c r="F478" s="4">
        <v>513.59</v>
      </c>
      <c r="G478" t="s">
        <v>1844</v>
      </c>
      <c r="H478" t="s">
        <v>33</v>
      </c>
      <c r="I478" t="s">
        <v>49</v>
      </c>
      <c r="J478" t="s">
        <v>1845</v>
      </c>
      <c r="K478">
        <v>4</v>
      </c>
      <c r="L478" t="s">
        <v>43</v>
      </c>
      <c r="M478" t="s">
        <v>35</v>
      </c>
      <c r="N478" s="4">
        <v>1027.18</v>
      </c>
      <c r="O478" s="19" t="str">
        <f t="shared" si="35"/>
        <v>Jan-2024</v>
      </c>
      <c r="P478">
        <f t="shared" si="36"/>
        <v>2024</v>
      </c>
      <c r="Q478" t="str">
        <f t="shared" si="37"/>
        <v>OK</v>
      </c>
      <c r="R478">
        <v>1</v>
      </c>
      <c r="S478">
        <f t="shared" si="38"/>
        <v>0</v>
      </c>
      <c r="T478">
        <f t="shared" si="39"/>
        <v>1</v>
      </c>
    </row>
    <row r="479" spans="1:20">
      <c r="A479" t="s">
        <v>1846</v>
      </c>
      <c r="B479" s="3">
        <v>45721</v>
      </c>
      <c r="C479" t="s">
        <v>1847</v>
      </c>
      <c r="D479" t="s">
        <v>31</v>
      </c>
      <c r="E479">
        <v>2</v>
      </c>
      <c r="F479" s="4">
        <v>253.74</v>
      </c>
      <c r="G479" t="s">
        <v>1848</v>
      </c>
      <c r="H479" t="s">
        <v>33</v>
      </c>
      <c r="I479" t="s">
        <v>25</v>
      </c>
      <c r="J479" t="s">
        <v>1849</v>
      </c>
      <c r="K479">
        <v>5</v>
      </c>
      <c r="L479" t="s">
        <v>27</v>
      </c>
      <c r="M479" t="s">
        <v>82</v>
      </c>
      <c r="N479" s="4">
        <v>507.48</v>
      </c>
      <c r="O479" s="19" t="str">
        <f t="shared" si="35"/>
        <v>Mar-2025</v>
      </c>
      <c r="P479">
        <f t="shared" si="36"/>
        <v>2025</v>
      </c>
      <c r="Q479" t="str">
        <f t="shared" si="37"/>
        <v>OK</v>
      </c>
      <c r="R479">
        <v>1</v>
      </c>
      <c r="S479">
        <f t="shared" si="38"/>
        <v>0</v>
      </c>
      <c r="T479">
        <f t="shared" si="39"/>
        <v>0</v>
      </c>
    </row>
    <row r="480" spans="1:20">
      <c r="A480" t="s">
        <v>1850</v>
      </c>
      <c r="B480" s="3">
        <v>45597</v>
      </c>
      <c r="C480" t="s">
        <v>1851</v>
      </c>
      <c r="D480" t="s">
        <v>38</v>
      </c>
      <c r="E480">
        <v>3</v>
      </c>
      <c r="F480" s="4">
        <v>62.77</v>
      </c>
      <c r="G480" t="s">
        <v>111</v>
      </c>
      <c r="H480" t="s">
        <v>66</v>
      </c>
      <c r="I480" t="s">
        <v>25</v>
      </c>
      <c r="J480" t="s">
        <v>1852</v>
      </c>
      <c r="K480">
        <v>6</v>
      </c>
      <c r="L480" t="s">
        <v>43</v>
      </c>
      <c r="M480" t="s">
        <v>35</v>
      </c>
      <c r="N480" s="4">
        <v>188.31</v>
      </c>
      <c r="O480" s="19" t="str">
        <f t="shared" si="35"/>
        <v>Nov-2024</v>
      </c>
      <c r="P480">
        <f t="shared" si="36"/>
        <v>2024</v>
      </c>
      <c r="Q480" t="str">
        <f t="shared" si="37"/>
        <v>OK</v>
      </c>
      <c r="R480">
        <v>1</v>
      </c>
      <c r="S480">
        <f t="shared" si="38"/>
        <v>0</v>
      </c>
      <c r="T480">
        <f t="shared" si="39"/>
        <v>0</v>
      </c>
    </row>
    <row r="481" spans="1:20">
      <c r="A481" t="s">
        <v>1853</v>
      </c>
      <c r="B481" s="3">
        <v>44975</v>
      </c>
      <c r="C481" t="s">
        <v>1854</v>
      </c>
      <c r="D481" t="s">
        <v>22</v>
      </c>
      <c r="E481">
        <v>4</v>
      </c>
      <c r="F481" s="4">
        <v>25.29</v>
      </c>
      <c r="G481" t="s">
        <v>1855</v>
      </c>
      <c r="H481" t="s">
        <v>40</v>
      </c>
      <c r="I481" t="s">
        <v>95</v>
      </c>
      <c r="J481" t="s">
        <v>1856</v>
      </c>
      <c r="K481">
        <v>8</v>
      </c>
      <c r="M481" t="s">
        <v>82</v>
      </c>
      <c r="N481" s="4">
        <v>101.16</v>
      </c>
      <c r="O481" s="19" t="str">
        <f t="shared" si="35"/>
        <v>Feb-2023</v>
      </c>
      <c r="P481">
        <f t="shared" si="36"/>
        <v>2023</v>
      </c>
      <c r="Q481" t="str">
        <f t="shared" si="37"/>
        <v>OK</v>
      </c>
      <c r="R481">
        <v>1</v>
      </c>
      <c r="S481">
        <f t="shared" si="38"/>
        <v>0</v>
      </c>
      <c r="T481">
        <f t="shared" si="39"/>
        <v>0</v>
      </c>
    </row>
    <row r="482" spans="1:20">
      <c r="A482" t="s">
        <v>1857</v>
      </c>
      <c r="B482" s="3">
        <v>45093</v>
      </c>
      <c r="C482" t="s">
        <v>1858</v>
      </c>
      <c r="D482" t="s">
        <v>47</v>
      </c>
      <c r="E482">
        <v>1</v>
      </c>
      <c r="F482" s="4">
        <v>335.1</v>
      </c>
      <c r="G482" t="s">
        <v>464</v>
      </c>
      <c r="H482" t="s">
        <v>24</v>
      </c>
      <c r="I482" t="s">
        <v>95</v>
      </c>
      <c r="J482" t="s">
        <v>1859</v>
      </c>
      <c r="K482">
        <v>6</v>
      </c>
      <c r="L482" t="s">
        <v>43</v>
      </c>
      <c r="M482" t="s">
        <v>35</v>
      </c>
      <c r="N482" s="4">
        <v>335.1</v>
      </c>
      <c r="O482" s="19" t="str">
        <f t="shared" si="35"/>
        <v>Jun-2023</v>
      </c>
      <c r="P482">
        <f t="shared" si="36"/>
        <v>2023</v>
      </c>
      <c r="Q482" t="str">
        <f t="shared" si="37"/>
        <v>OK</v>
      </c>
      <c r="R482">
        <v>1</v>
      </c>
      <c r="S482">
        <f t="shared" si="38"/>
        <v>0</v>
      </c>
      <c r="T482">
        <f t="shared" si="39"/>
        <v>0</v>
      </c>
    </row>
    <row r="483" spans="1:20">
      <c r="A483" t="s">
        <v>1860</v>
      </c>
      <c r="B483" s="3">
        <v>45039</v>
      </c>
      <c r="C483" t="s">
        <v>1861</v>
      </c>
      <c r="D483" t="s">
        <v>64</v>
      </c>
      <c r="E483">
        <v>4</v>
      </c>
      <c r="F483" s="4">
        <v>484.85</v>
      </c>
      <c r="G483" t="s">
        <v>872</v>
      </c>
      <c r="H483" t="s">
        <v>24</v>
      </c>
      <c r="I483" t="s">
        <v>56</v>
      </c>
      <c r="J483" t="s">
        <v>1862</v>
      </c>
      <c r="K483">
        <v>5</v>
      </c>
      <c r="L483" t="s">
        <v>87</v>
      </c>
      <c r="M483" t="s">
        <v>35</v>
      </c>
      <c r="N483" s="4">
        <v>1939.4</v>
      </c>
      <c r="O483" s="19" t="str">
        <f t="shared" si="35"/>
        <v>Apr-2023</v>
      </c>
      <c r="P483">
        <f t="shared" si="36"/>
        <v>2023</v>
      </c>
      <c r="Q483" t="str">
        <f t="shared" si="37"/>
        <v>OK</v>
      </c>
      <c r="R483">
        <v>1</v>
      </c>
      <c r="S483">
        <f t="shared" si="38"/>
        <v>0</v>
      </c>
      <c r="T483">
        <f t="shared" si="39"/>
        <v>0</v>
      </c>
    </row>
    <row r="484" spans="1:20">
      <c r="A484" t="s">
        <v>1863</v>
      </c>
      <c r="B484" s="3">
        <v>45718</v>
      </c>
      <c r="C484" t="s">
        <v>1864</v>
      </c>
      <c r="D484" t="s">
        <v>22</v>
      </c>
      <c r="E484">
        <v>3</v>
      </c>
      <c r="F484" s="4">
        <v>381.41</v>
      </c>
      <c r="G484" t="s">
        <v>373</v>
      </c>
      <c r="H484" t="s">
        <v>33</v>
      </c>
      <c r="I484" t="s">
        <v>95</v>
      </c>
      <c r="J484" t="s">
        <v>1865</v>
      </c>
      <c r="K484">
        <v>6</v>
      </c>
      <c r="M484" t="s">
        <v>28</v>
      </c>
      <c r="N484" s="4">
        <v>1144.23</v>
      </c>
      <c r="O484" s="19" t="str">
        <f t="shared" si="35"/>
        <v>Mar-2025</v>
      </c>
      <c r="P484">
        <f t="shared" si="36"/>
        <v>2025</v>
      </c>
      <c r="Q484" t="str">
        <f t="shared" si="37"/>
        <v>OK</v>
      </c>
      <c r="R484">
        <v>1</v>
      </c>
      <c r="S484">
        <f t="shared" si="38"/>
        <v>0</v>
      </c>
      <c r="T484">
        <f t="shared" si="39"/>
        <v>0</v>
      </c>
    </row>
    <row r="485" spans="1:20">
      <c r="A485" t="s">
        <v>1866</v>
      </c>
      <c r="B485" s="3">
        <v>44944</v>
      </c>
      <c r="C485" t="s">
        <v>1867</v>
      </c>
      <c r="D485" t="s">
        <v>31</v>
      </c>
      <c r="E485">
        <v>5</v>
      </c>
      <c r="F485" s="4">
        <v>347.92</v>
      </c>
      <c r="G485" t="s">
        <v>1868</v>
      </c>
      <c r="H485" t="s">
        <v>71</v>
      </c>
      <c r="I485" t="s">
        <v>95</v>
      </c>
      <c r="J485" t="s">
        <v>1869</v>
      </c>
      <c r="K485">
        <v>6</v>
      </c>
      <c r="L485" t="s">
        <v>87</v>
      </c>
      <c r="M485" t="s">
        <v>82</v>
      </c>
      <c r="N485" s="4">
        <v>1739.6</v>
      </c>
      <c r="O485" s="19" t="str">
        <f t="shared" si="35"/>
        <v>Jan-2023</v>
      </c>
      <c r="P485">
        <f t="shared" si="36"/>
        <v>2023</v>
      </c>
      <c r="Q485" t="str">
        <f t="shared" si="37"/>
        <v>OK</v>
      </c>
      <c r="R485">
        <v>1</v>
      </c>
      <c r="S485">
        <f t="shared" si="38"/>
        <v>0</v>
      </c>
      <c r="T485">
        <f t="shared" si="39"/>
        <v>0</v>
      </c>
    </row>
    <row r="486" spans="1:20">
      <c r="A486" t="s">
        <v>1870</v>
      </c>
      <c r="B486" s="3">
        <v>45441</v>
      </c>
      <c r="C486" t="s">
        <v>1871</v>
      </c>
      <c r="D486" t="s">
        <v>47</v>
      </c>
      <c r="E486">
        <v>4</v>
      </c>
      <c r="F486" s="4">
        <v>15.01</v>
      </c>
      <c r="G486" t="s">
        <v>1600</v>
      </c>
      <c r="H486" t="s">
        <v>71</v>
      </c>
      <c r="I486" t="s">
        <v>41</v>
      </c>
      <c r="J486" t="s">
        <v>1872</v>
      </c>
      <c r="K486">
        <v>6</v>
      </c>
      <c r="M486" t="s">
        <v>51</v>
      </c>
      <c r="N486" s="4">
        <v>60.04</v>
      </c>
      <c r="O486" s="19" t="str">
        <f t="shared" si="35"/>
        <v>May-2024</v>
      </c>
      <c r="P486">
        <f t="shared" si="36"/>
        <v>2024</v>
      </c>
      <c r="Q486" t="str">
        <f t="shared" si="37"/>
        <v>OK</v>
      </c>
      <c r="R486">
        <v>1</v>
      </c>
      <c r="S486">
        <f t="shared" si="38"/>
        <v>1</v>
      </c>
      <c r="T486">
        <f t="shared" si="39"/>
        <v>0</v>
      </c>
    </row>
    <row r="487" spans="1:20">
      <c r="A487" t="s">
        <v>1873</v>
      </c>
      <c r="B487" s="3">
        <v>45139</v>
      </c>
      <c r="C487" t="s">
        <v>1874</v>
      </c>
      <c r="D487" t="s">
        <v>47</v>
      </c>
      <c r="E487">
        <v>3</v>
      </c>
      <c r="F487" s="4">
        <v>404.79</v>
      </c>
      <c r="G487" t="s">
        <v>1875</v>
      </c>
      <c r="H487" t="s">
        <v>71</v>
      </c>
      <c r="I487" t="s">
        <v>25</v>
      </c>
      <c r="J487" t="s">
        <v>1876</v>
      </c>
      <c r="K487">
        <v>6</v>
      </c>
      <c r="L487" t="s">
        <v>27</v>
      </c>
      <c r="M487" t="s">
        <v>28</v>
      </c>
      <c r="N487" s="4">
        <v>1214.3699999999999</v>
      </c>
      <c r="O487" s="19" t="str">
        <f t="shared" si="35"/>
        <v>Aug-2023</v>
      </c>
      <c r="P487">
        <f t="shared" si="36"/>
        <v>2023</v>
      </c>
      <c r="Q487" t="str">
        <f t="shared" si="37"/>
        <v>OK</v>
      </c>
      <c r="R487">
        <v>1</v>
      </c>
      <c r="S487">
        <f t="shared" si="38"/>
        <v>0</v>
      </c>
      <c r="T487">
        <f t="shared" si="39"/>
        <v>0</v>
      </c>
    </row>
    <row r="488" spans="1:20">
      <c r="A488" t="s">
        <v>1877</v>
      </c>
      <c r="B488" s="3">
        <v>44960</v>
      </c>
      <c r="C488" t="s">
        <v>1878</v>
      </c>
      <c r="D488" t="s">
        <v>54</v>
      </c>
      <c r="E488">
        <v>4</v>
      </c>
      <c r="F488" s="4">
        <v>611.26</v>
      </c>
      <c r="G488" t="s">
        <v>1531</v>
      </c>
      <c r="H488" t="s">
        <v>71</v>
      </c>
      <c r="I488" t="s">
        <v>25</v>
      </c>
      <c r="J488" t="s">
        <v>1879</v>
      </c>
      <c r="K488">
        <v>5</v>
      </c>
      <c r="L488" t="s">
        <v>27</v>
      </c>
      <c r="M488" t="s">
        <v>35</v>
      </c>
      <c r="N488" s="4">
        <v>2445.04</v>
      </c>
      <c r="O488" s="19" t="str">
        <f t="shared" si="35"/>
        <v>Feb-2023</v>
      </c>
      <c r="P488">
        <f t="shared" si="36"/>
        <v>2023</v>
      </c>
      <c r="Q488" t="str">
        <f t="shared" si="37"/>
        <v>OK</v>
      </c>
      <c r="R488">
        <v>1</v>
      </c>
      <c r="S488">
        <f t="shared" si="38"/>
        <v>0</v>
      </c>
      <c r="T488">
        <f t="shared" si="39"/>
        <v>0</v>
      </c>
    </row>
    <row r="489" spans="1:20">
      <c r="A489" t="s">
        <v>1880</v>
      </c>
      <c r="B489" s="3">
        <v>44994</v>
      </c>
      <c r="C489" t="s">
        <v>1881</v>
      </c>
      <c r="D489" t="s">
        <v>54</v>
      </c>
      <c r="E489">
        <v>3</v>
      </c>
      <c r="F489" s="4">
        <v>346.52</v>
      </c>
      <c r="G489" t="s">
        <v>1882</v>
      </c>
      <c r="H489" t="s">
        <v>40</v>
      </c>
      <c r="I489" t="s">
        <v>95</v>
      </c>
      <c r="J489" t="s">
        <v>1883</v>
      </c>
      <c r="K489">
        <v>3</v>
      </c>
      <c r="L489" t="s">
        <v>27</v>
      </c>
      <c r="M489" t="s">
        <v>82</v>
      </c>
      <c r="N489" s="4">
        <v>1039.56</v>
      </c>
      <c r="O489" s="19" t="str">
        <f t="shared" si="35"/>
        <v>Mar-2023</v>
      </c>
      <c r="P489">
        <f t="shared" si="36"/>
        <v>2023</v>
      </c>
      <c r="Q489" t="str">
        <f t="shared" si="37"/>
        <v>OK</v>
      </c>
      <c r="R489">
        <v>1</v>
      </c>
      <c r="S489">
        <f t="shared" si="38"/>
        <v>0</v>
      </c>
      <c r="T489">
        <f t="shared" si="39"/>
        <v>0</v>
      </c>
    </row>
    <row r="490" spans="1:20">
      <c r="A490" t="s">
        <v>1884</v>
      </c>
      <c r="B490" s="3">
        <v>45631</v>
      </c>
      <c r="C490" t="s">
        <v>1885</v>
      </c>
      <c r="D490" t="s">
        <v>47</v>
      </c>
      <c r="E490">
        <v>1</v>
      </c>
      <c r="F490" s="4">
        <v>36.65</v>
      </c>
      <c r="G490" t="s">
        <v>1886</v>
      </c>
      <c r="H490" t="s">
        <v>33</v>
      </c>
      <c r="I490" t="s">
        <v>41</v>
      </c>
      <c r="J490" t="s">
        <v>1887</v>
      </c>
      <c r="K490">
        <v>1</v>
      </c>
      <c r="L490" t="s">
        <v>87</v>
      </c>
      <c r="M490" t="s">
        <v>44</v>
      </c>
      <c r="N490" s="4">
        <v>36.65</v>
      </c>
      <c r="O490" s="19" t="str">
        <f t="shared" si="35"/>
        <v>Dec-2024</v>
      </c>
      <c r="P490">
        <f t="shared" si="36"/>
        <v>2024</v>
      </c>
      <c r="Q490" t="str">
        <f t="shared" si="37"/>
        <v>OK</v>
      </c>
      <c r="R490">
        <v>1</v>
      </c>
      <c r="S490">
        <f t="shared" si="38"/>
        <v>1</v>
      </c>
      <c r="T490">
        <f t="shared" si="39"/>
        <v>0</v>
      </c>
    </row>
    <row r="491" spans="1:20">
      <c r="A491" t="s">
        <v>1888</v>
      </c>
      <c r="B491" s="3">
        <v>45174</v>
      </c>
      <c r="C491" t="s">
        <v>1889</v>
      </c>
      <c r="D491" t="s">
        <v>38</v>
      </c>
      <c r="E491">
        <v>3</v>
      </c>
      <c r="F491" s="4">
        <v>149.34</v>
      </c>
      <c r="G491" t="s">
        <v>1072</v>
      </c>
      <c r="H491" t="s">
        <v>66</v>
      </c>
      <c r="I491" t="s">
        <v>41</v>
      </c>
      <c r="J491" t="s">
        <v>1890</v>
      </c>
      <c r="K491">
        <v>7</v>
      </c>
      <c r="L491" t="s">
        <v>87</v>
      </c>
      <c r="M491" t="s">
        <v>44</v>
      </c>
      <c r="N491" s="4">
        <v>448.02</v>
      </c>
      <c r="O491" s="19" t="str">
        <f t="shared" si="35"/>
        <v>Sep-2023</v>
      </c>
      <c r="P491">
        <f t="shared" si="36"/>
        <v>2023</v>
      </c>
      <c r="Q491" t="str">
        <f t="shared" si="37"/>
        <v>OK</v>
      </c>
      <c r="R491">
        <v>1</v>
      </c>
      <c r="S491">
        <f t="shared" si="38"/>
        <v>1</v>
      </c>
      <c r="T491">
        <f t="shared" si="39"/>
        <v>0</v>
      </c>
    </row>
    <row r="492" spans="1:20">
      <c r="A492" t="s">
        <v>1891</v>
      </c>
      <c r="B492" s="3">
        <v>45495</v>
      </c>
      <c r="C492" t="s">
        <v>1892</v>
      </c>
      <c r="D492" t="s">
        <v>47</v>
      </c>
      <c r="E492">
        <v>5</v>
      </c>
      <c r="F492" s="4">
        <v>467.81</v>
      </c>
      <c r="G492" t="s">
        <v>1893</v>
      </c>
      <c r="H492" t="s">
        <v>33</v>
      </c>
      <c r="I492" t="s">
        <v>41</v>
      </c>
      <c r="J492" t="s">
        <v>1894</v>
      </c>
      <c r="K492">
        <v>10</v>
      </c>
      <c r="M492" t="s">
        <v>51</v>
      </c>
      <c r="N492" s="4">
        <v>2339.0500000000002</v>
      </c>
      <c r="O492" s="19" t="str">
        <f t="shared" si="35"/>
        <v>Jul-2024</v>
      </c>
      <c r="P492">
        <f t="shared" si="36"/>
        <v>2024</v>
      </c>
      <c r="Q492" t="str">
        <f t="shared" si="37"/>
        <v>OK</v>
      </c>
      <c r="R492">
        <v>1</v>
      </c>
      <c r="S492">
        <f t="shared" si="38"/>
        <v>1</v>
      </c>
      <c r="T492">
        <f t="shared" si="39"/>
        <v>0</v>
      </c>
    </row>
    <row r="493" spans="1:20">
      <c r="A493" t="s">
        <v>1895</v>
      </c>
      <c r="B493" s="3">
        <v>44931</v>
      </c>
      <c r="C493" t="s">
        <v>1896</v>
      </c>
      <c r="D493" t="s">
        <v>31</v>
      </c>
      <c r="E493">
        <v>5</v>
      </c>
      <c r="F493" s="4">
        <v>420.7</v>
      </c>
      <c r="G493" t="s">
        <v>1848</v>
      </c>
      <c r="H493" t="s">
        <v>71</v>
      </c>
      <c r="I493" t="s">
        <v>95</v>
      </c>
      <c r="J493" t="s">
        <v>1897</v>
      </c>
      <c r="K493">
        <v>5</v>
      </c>
      <c r="L493" t="s">
        <v>87</v>
      </c>
      <c r="M493" t="s">
        <v>51</v>
      </c>
      <c r="N493" s="4">
        <v>2103.5</v>
      </c>
      <c r="O493" s="19" t="str">
        <f t="shared" si="35"/>
        <v>Jan-2023</v>
      </c>
      <c r="P493">
        <f t="shared" si="36"/>
        <v>2023</v>
      </c>
      <c r="Q493" t="str">
        <f t="shared" si="37"/>
        <v>OK</v>
      </c>
      <c r="R493">
        <v>1</v>
      </c>
      <c r="S493">
        <f t="shared" si="38"/>
        <v>0</v>
      </c>
      <c r="T493">
        <f t="shared" si="39"/>
        <v>0</v>
      </c>
    </row>
    <row r="494" spans="1:20">
      <c r="A494" t="s">
        <v>1898</v>
      </c>
      <c r="B494" s="3">
        <v>45224</v>
      </c>
      <c r="C494" t="s">
        <v>1899</v>
      </c>
      <c r="D494" t="s">
        <v>64</v>
      </c>
      <c r="E494">
        <v>5</v>
      </c>
      <c r="F494" s="4">
        <v>606.52</v>
      </c>
      <c r="G494" t="s">
        <v>357</v>
      </c>
      <c r="H494" t="s">
        <v>24</v>
      </c>
      <c r="I494" t="s">
        <v>25</v>
      </c>
      <c r="J494" t="s">
        <v>1900</v>
      </c>
      <c r="K494">
        <v>6</v>
      </c>
      <c r="L494" t="s">
        <v>27</v>
      </c>
      <c r="M494" t="s">
        <v>28</v>
      </c>
      <c r="N494" s="4">
        <v>3032.6</v>
      </c>
      <c r="O494" s="19" t="str">
        <f t="shared" si="35"/>
        <v>Oct-2023</v>
      </c>
      <c r="P494">
        <f t="shared" si="36"/>
        <v>2023</v>
      </c>
      <c r="Q494" t="str">
        <f t="shared" si="37"/>
        <v>OK</v>
      </c>
      <c r="R494">
        <v>1</v>
      </c>
      <c r="S494">
        <f t="shared" si="38"/>
        <v>0</v>
      </c>
      <c r="T494">
        <f t="shared" si="39"/>
        <v>0</v>
      </c>
    </row>
    <row r="495" spans="1:20">
      <c r="A495" t="s">
        <v>1901</v>
      </c>
      <c r="B495" s="3">
        <v>45685</v>
      </c>
      <c r="C495" t="s">
        <v>1902</v>
      </c>
      <c r="D495" t="s">
        <v>31</v>
      </c>
      <c r="E495">
        <v>1</v>
      </c>
      <c r="F495" s="4">
        <v>420.26</v>
      </c>
      <c r="G495" t="s">
        <v>1903</v>
      </c>
      <c r="H495" t="s">
        <v>40</v>
      </c>
      <c r="I495" t="s">
        <v>95</v>
      </c>
      <c r="J495" t="s">
        <v>1904</v>
      </c>
      <c r="K495">
        <v>4</v>
      </c>
      <c r="L495" t="s">
        <v>43</v>
      </c>
      <c r="M495" t="s">
        <v>51</v>
      </c>
      <c r="N495" s="4">
        <v>420.26</v>
      </c>
      <c r="O495" s="19" t="str">
        <f t="shared" si="35"/>
        <v>Jan-2025</v>
      </c>
      <c r="P495">
        <f t="shared" si="36"/>
        <v>2025</v>
      </c>
      <c r="Q495" t="str">
        <f t="shared" si="37"/>
        <v>OK</v>
      </c>
      <c r="R495">
        <v>1</v>
      </c>
      <c r="S495">
        <f t="shared" si="38"/>
        <v>0</v>
      </c>
      <c r="T495">
        <f t="shared" si="39"/>
        <v>0</v>
      </c>
    </row>
    <row r="496" spans="1:20">
      <c r="A496" t="s">
        <v>1905</v>
      </c>
      <c r="B496" s="3">
        <v>45126</v>
      </c>
      <c r="C496" t="s">
        <v>1906</v>
      </c>
      <c r="D496" t="s">
        <v>64</v>
      </c>
      <c r="E496">
        <v>3</v>
      </c>
      <c r="F496" s="4">
        <v>505.79</v>
      </c>
      <c r="G496" t="s">
        <v>1907</v>
      </c>
      <c r="H496" t="s">
        <v>24</v>
      </c>
      <c r="I496" t="s">
        <v>95</v>
      </c>
      <c r="J496" t="s">
        <v>1908</v>
      </c>
      <c r="K496">
        <v>3</v>
      </c>
      <c r="L496" t="s">
        <v>43</v>
      </c>
      <c r="M496" t="s">
        <v>35</v>
      </c>
      <c r="N496" s="4">
        <v>1517.37</v>
      </c>
      <c r="O496" s="19" t="str">
        <f t="shared" si="35"/>
        <v>Jul-2023</v>
      </c>
      <c r="P496">
        <f t="shared" si="36"/>
        <v>2023</v>
      </c>
      <c r="Q496" t="str">
        <f t="shared" si="37"/>
        <v>OK</v>
      </c>
      <c r="R496">
        <v>1</v>
      </c>
      <c r="S496">
        <f t="shared" si="38"/>
        <v>0</v>
      </c>
      <c r="T496">
        <f t="shared" si="39"/>
        <v>0</v>
      </c>
    </row>
    <row r="497" spans="1:20">
      <c r="A497" t="s">
        <v>1909</v>
      </c>
      <c r="B497" s="3">
        <v>45813</v>
      </c>
      <c r="C497" t="s">
        <v>1910</v>
      </c>
      <c r="D497" t="s">
        <v>31</v>
      </c>
      <c r="E497">
        <v>4</v>
      </c>
      <c r="F497" s="4">
        <v>493.73</v>
      </c>
      <c r="G497" t="s">
        <v>640</v>
      </c>
      <c r="H497" t="s">
        <v>24</v>
      </c>
      <c r="I497" t="s">
        <v>95</v>
      </c>
      <c r="J497" t="s">
        <v>1911</v>
      </c>
      <c r="K497">
        <v>6</v>
      </c>
      <c r="L497" t="s">
        <v>27</v>
      </c>
      <c r="M497" t="s">
        <v>51</v>
      </c>
      <c r="N497" s="4">
        <v>1974.92</v>
      </c>
      <c r="O497" s="19" t="str">
        <f t="shared" si="35"/>
        <v>Jun-2025</v>
      </c>
      <c r="P497">
        <f t="shared" si="36"/>
        <v>2025</v>
      </c>
      <c r="Q497" t="str">
        <f t="shared" si="37"/>
        <v>OK</v>
      </c>
      <c r="R497">
        <v>1</v>
      </c>
      <c r="S497">
        <f t="shared" si="38"/>
        <v>0</v>
      </c>
      <c r="T497">
        <f t="shared" si="39"/>
        <v>0</v>
      </c>
    </row>
    <row r="498" spans="1:20">
      <c r="A498" t="s">
        <v>1912</v>
      </c>
      <c r="B498" s="3">
        <v>45730</v>
      </c>
      <c r="C498" t="s">
        <v>1913</v>
      </c>
      <c r="D498" t="s">
        <v>54</v>
      </c>
      <c r="E498">
        <v>3</v>
      </c>
      <c r="F498" s="4">
        <v>201.21</v>
      </c>
      <c r="G498" t="s">
        <v>1914</v>
      </c>
      <c r="H498" t="s">
        <v>33</v>
      </c>
      <c r="I498" t="s">
        <v>41</v>
      </c>
      <c r="J498" t="s">
        <v>1915</v>
      </c>
      <c r="K498">
        <v>3</v>
      </c>
      <c r="L498" t="s">
        <v>27</v>
      </c>
      <c r="M498" t="s">
        <v>82</v>
      </c>
      <c r="N498" s="4">
        <v>603.63</v>
      </c>
      <c r="O498" s="19" t="str">
        <f t="shared" si="35"/>
        <v>Mar-2025</v>
      </c>
      <c r="P498">
        <f t="shared" si="36"/>
        <v>2025</v>
      </c>
      <c r="Q498" t="str">
        <f t="shared" si="37"/>
        <v>OK</v>
      </c>
      <c r="R498">
        <v>1</v>
      </c>
      <c r="S498">
        <f t="shared" si="38"/>
        <v>1</v>
      </c>
      <c r="T498">
        <f t="shared" si="39"/>
        <v>0</v>
      </c>
    </row>
    <row r="499" spans="1:20">
      <c r="A499" t="s">
        <v>1916</v>
      </c>
      <c r="B499" s="3">
        <v>45589</v>
      </c>
      <c r="C499" t="s">
        <v>1917</v>
      </c>
      <c r="D499" t="s">
        <v>54</v>
      </c>
      <c r="E499">
        <v>3</v>
      </c>
      <c r="F499" s="4">
        <v>112.29</v>
      </c>
      <c r="G499" t="s">
        <v>1918</v>
      </c>
      <c r="H499" t="s">
        <v>66</v>
      </c>
      <c r="I499" t="s">
        <v>25</v>
      </c>
      <c r="J499" t="s">
        <v>1919</v>
      </c>
      <c r="K499">
        <v>6</v>
      </c>
      <c r="M499" t="s">
        <v>82</v>
      </c>
      <c r="N499" s="4">
        <v>336.87</v>
      </c>
      <c r="O499" s="19" t="str">
        <f t="shared" si="35"/>
        <v>Oct-2024</v>
      </c>
      <c r="P499">
        <f t="shared" si="36"/>
        <v>2024</v>
      </c>
      <c r="Q499" t="str">
        <f t="shared" si="37"/>
        <v>OK</v>
      </c>
      <c r="R499">
        <v>1</v>
      </c>
      <c r="S499">
        <f t="shared" si="38"/>
        <v>0</v>
      </c>
      <c r="T499">
        <f t="shared" si="39"/>
        <v>0</v>
      </c>
    </row>
    <row r="500" spans="1:20">
      <c r="A500" t="s">
        <v>1920</v>
      </c>
      <c r="B500" s="3">
        <v>45119</v>
      </c>
      <c r="C500" t="s">
        <v>1921</v>
      </c>
      <c r="D500" t="s">
        <v>38</v>
      </c>
      <c r="E500">
        <v>4</v>
      </c>
      <c r="F500" s="4">
        <v>132.56</v>
      </c>
      <c r="G500" t="s">
        <v>994</v>
      </c>
      <c r="H500" t="s">
        <v>71</v>
      </c>
      <c r="I500" t="s">
        <v>49</v>
      </c>
      <c r="J500" t="s">
        <v>1922</v>
      </c>
      <c r="K500">
        <v>8</v>
      </c>
      <c r="L500" t="s">
        <v>87</v>
      </c>
      <c r="M500" t="s">
        <v>28</v>
      </c>
      <c r="N500" s="4">
        <v>530.24</v>
      </c>
      <c r="O500" s="19" t="str">
        <f t="shared" si="35"/>
        <v>Jul-2023</v>
      </c>
      <c r="P500">
        <f t="shared" si="36"/>
        <v>2023</v>
      </c>
      <c r="Q500" t="str">
        <f t="shared" si="37"/>
        <v>OK</v>
      </c>
      <c r="R500">
        <v>1</v>
      </c>
      <c r="S500">
        <f t="shared" si="38"/>
        <v>0</v>
      </c>
      <c r="T500">
        <f t="shared" si="39"/>
        <v>1</v>
      </c>
    </row>
    <row r="501" spans="1:20">
      <c r="A501" t="s">
        <v>1923</v>
      </c>
      <c r="B501" s="3">
        <v>45022</v>
      </c>
      <c r="C501" t="s">
        <v>1924</v>
      </c>
      <c r="D501" t="s">
        <v>54</v>
      </c>
      <c r="E501">
        <v>3</v>
      </c>
      <c r="F501" s="4">
        <v>539.46</v>
      </c>
      <c r="G501" t="s">
        <v>1925</v>
      </c>
      <c r="H501" t="s">
        <v>40</v>
      </c>
      <c r="I501" t="s">
        <v>25</v>
      </c>
      <c r="J501" t="s">
        <v>1926</v>
      </c>
      <c r="K501">
        <v>4</v>
      </c>
      <c r="L501" t="s">
        <v>27</v>
      </c>
      <c r="M501" t="s">
        <v>51</v>
      </c>
      <c r="N501" s="4">
        <v>1618.38</v>
      </c>
      <c r="O501" s="19" t="str">
        <f t="shared" si="35"/>
        <v>Apr-2023</v>
      </c>
      <c r="P501">
        <f t="shared" si="36"/>
        <v>2023</v>
      </c>
      <c r="Q501" t="str">
        <f t="shared" si="37"/>
        <v>OK</v>
      </c>
      <c r="R501">
        <v>1</v>
      </c>
      <c r="S501">
        <f t="shared" si="38"/>
        <v>0</v>
      </c>
      <c r="T501">
        <f t="shared" si="39"/>
        <v>0</v>
      </c>
    </row>
    <row r="502" spans="1:20">
      <c r="A502" t="s">
        <v>1927</v>
      </c>
      <c r="B502" s="3">
        <v>45389</v>
      </c>
      <c r="C502" t="s">
        <v>1928</v>
      </c>
      <c r="D502" t="s">
        <v>64</v>
      </c>
      <c r="E502">
        <v>5</v>
      </c>
      <c r="F502" s="4">
        <v>508.59</v>
      </c>
      <c r="G502" t="s">
        <v>1929</v>
      </c>
      <c r="H502" t="s">
        <v>71</v>
      </c>
      <c r="I502" t="s">
        <v>49</v>
      </c>
      <c r="J502" t="s">
        <v>1930</v>
      </c>
      <c r="K502">
        <v>8</v>
      </c>
      <c r="L502" t="s">
        <v>87</v>
      </c>
      <c r="M502" t="s">
        <v>51</v>
      </c>
      <c r="N502" s="4">
        <v>2542.9499999999998</v>
      </c>
      <c r="O502" s="19" t="str">
        <f t="shared" si="35"/>
        <v>Apr-2024</v>
      </c>
      <c r="P502">
        <f t="shared" si="36"/>
        <v>2024</v>
      </c>
      <c r="Q502" t="str">
        <f t="shared" si="37"/>
        <v>OK</v>
      </c>
      <c r="R502">
        <v>1</v>
      </c>
      <c r="S502">
        <f t="shared" si="38"/>
        <v>0</v>
      </c>
      <c r="T502">
        <f t="shared" si="39"/>
        <v>1</v>
      </c>
    </row>
    <row r="503" spans="1:20">
      <c r="A503" t="s">
        <v>1931</v>
      </c>
      <c r="B503" s="3">
        <v>45326</v>
      </c>
      <c r="C503" t="s">
        <v>1932</v>
      </c>
      <c r="D503" t="s">
        <v>79</v>
      </c>
      <c r="E503">
        <v>4</v>
      </c>
      <c r="F503" s="4">
        <v>203.46</v>
      </c>
      <c r="G503" t="s">
        <v>691</v>
      </c>
      <c r="H503" t="s">
        <v>40</v>
      </c>
      <c r="I503" t="s">
        <v>95</v>
      </c>
      <c r="J503" t="s">
        <v>1933</v>
      </c>
      <c r="K503">
        <v>7</v>
      </c>
      <c r="L503" t="s">
        <v>27</v>
      </c>
      <c r="M503" t="s">
        <v>35</v>
      </c>
      <c r="N503" s="4">
        <v>813.84</v>
      </c>
      <c r="O503" s="19" t="str">
        <f t="shared" si="35"/>
        <v>Feb-2024</v>
      </c>
      <c r="P503">
        <f t="shared" si="36"/>
        <v>2024</v>
      </c>
      <c r="Q503" t="str">
        <f t="shared" si="37"/>
        <v>OK</v>
      </c>
      <c r="R503">
        <v>1</v>
      </c>
      <c r="S503">
        <f t="shared" si="38"/>
        <v>0</v>
      </c>
      <c r="T503">
        <f t="shared" si="39"/>
        <v>0</v>
      </c>
    </row>
    <row r="504" spans="1:20">
      <c r="A504" t="s">
        <v>1934</v>
      </c>
      <c r="B504" s="3">
        <v>45066</v>
      </c>
      <c r="C504" t="s">
        <v>1935</v>
      </c>
      <c r="D504" t="s">
        <v>22</v>
      </c>
      <c r="E504">
        <v>3</v>
      </c>
      <c r="F504" s="4">
        <v>565.25</v>
      </c>
      <c r="G504" t="s">
        <v>1936</v>
      </c>
      <c r="H504" t="s">
        <v>24</v>
      </c>
      <c r="I504" t="s">
        <v>49</v>
      </c>
      <c r="J504" t="s">
        <v>1937</v>
      </c>
      <c r="K504">
        <v>7</v>
      </c>
      <c r="L504" t="s">
        <v>27</v>
      </c>
      <c r="M504" t="s">
        <v>44</v>
      </c>
      <c r="N504" s="4">
        <v>1695.75</v>
      </c>
      <c r="O504" s="19" t="str">
        <f t="shared" si="35"/>
        <v>May-2023</v>
      </c>
      <c r="P504">
        <f t="shared" si="36"/>
        <v>2023</v>
      </c>
      <c r="Q504" t="str">
        <f t="shared" si="37"/>
        <v>OK</v>
      </c>
      <c r="R504">
        <v>1</v>
      </c>
      <c r="S504">
        <f t="shared" si="38"/>
        <v>0</v>
      </c>
      <c r="T504">
        <f t="shared" si="39"/>
        <v>1</v>
      </c>
    </row>
    <row r="505" spans="1:20">
      <c r="A505" t="s">
        <v>1938</v>
      </c>
      <c r="B505" s="3">
        <v>45169</v>
      </c>
      <c r="C505" t="s">
        <v>1939</v>
      </c>
      <c r="D505" t="s">
        <v>38</v>
      </c>
      <c r="E505">
        <v>3</v>
      </c>
      <c r="F505" s="4">
        <v>136.84</v>
      </c>
      <c r="G505" t="s">
        <v>1940</v>
      </c>
      <c r="H505" t="s">
        <v>33</v>
      </c>
      <c r="I505" t="s">
        <v>95</v>
      </c>
      <c r="J505" t="s">
        <v>1941</v>
      </c>
      <c r="K505">
        <v>4</v>
      </c>
      <c r="L505" t="s">
        <v>43</v>
      </c>
      <c r="M505" t="s">
        <v>51</v>
      </c>
      <c r="N505" s="4">
        <v>410.52</v>
      </c>
      <c r="O505" s="19" t="str">
        <f t="shared" si="35"/>
        <v>Aug-2023</v>
      </c>
      <c r="P505">
        <f t="shared" si="36"/>
        <v>2023</v>
      </c>
      <c r="Q505" t="str">
        <f t="shared" si="37"/>
        <v>OK</v>
      </c>
      <c r="R505">
        <v>1</v>
      </c>
      <c r="S505">
        <f t="shared" si="38"/>
        <v>0</v>
      </c>
      <c r="T505">
        <f t="shared" si="39"/>
        <v>0</v>
      </c>
    </row>
    <row r="506" spans="1:20">
      <c r="A506" t="s">
        <v>1942</v>
      </c>
      <c r="B506" s="3">
        <v>45819</v>
      </c>
      <c r="C506" t="s">
        <v>1943</v>
      </c>
      <c r="D506" t="s">
        <v>22</v>
      </c>
      <c r="E506">
        <v>2</v>
      </c>
      <c r="F506" s="4">
        <v>464.5</v>
      </c>
      <c r="G506" t="s">
        <v>1944</v>
      </c>
      <c r="H506" t="s">
        <v>33</v>
      </c>
      <c r="I506" t="s">
        <v>41</v>
      </c>
      <c r="J506" t="s">
        <v>1945</v>
      </c>
      <c r="K506">
        <v>2</v>
      </c>
      <c r="L506" t="s">
        <v>87</v>
      </c>
      <c r="M506" t="s">
        <v>28</v>
      </c>
      <c r="N506" s="4">
        <v>929</v>
      </c>
      <c r="O506" s="19" t="str">
        <f t="shared" si="35"/>
        <v>Jun-2025</v>
      </c>
      <c r="P506">
        <f t="shared" si="36"/>
        <v>2025</v>
      </c>
      <c r="Q506" t="str">
        <f t="shared" si="37"/>
        <v>OK</v>
      </c>
      <c r="R506">
        <v>1</v>
      </c>
      <c r="S506">
        <f t="shared" si="38"/>
        <v>1</v>
      </c>
      <c r="T506">
        <f t="shared" si="39"/>
        <v>0</v>
      </c>
    </row>
    <row r="507" spans="1:20">
      <c r="A507" t="s">
        <v>1946</v>
      </c>
      <c r="B507" s="3">
        <v>45088</v>
      </c>
      <c r="C507" t="s">
        <v>1947</v>
      </c>
      <c r="D507" t="s">
        <v>54</v>
      </c>
      <c r="E507">
        <v>2</v>
      </c>
      <c r="F507" s="4">
        <v>434.97</v>
      </c>
      <c r="G507" t="s">
        <v>1531</v>
      </c>
      <c r="H507" t="s">
        <v>33</v>
      </c>
      <c r="I507" t="s">
        <v>25</v>
      </c>
      <c r="J507" t="s">
        <v>1948</v>
      </c>
      <c r="K507">
        <v>7</v>
      </c>
      <c r="M507" t="s">
        <v>44</v>
      </c>
      <c r="N507" s="4">
        <v>869.94</v>
      </c>
      <c r="O507" s="19" t="str">
        <f t="shared" si="35"/>
        <v>Jun-2023</v>
      </c>
      <c r="P507">
        <f t="shared" si="36"/>
        <v>2023</v>
      </c>
      <c r="Q507" t="str">
        <f t="shared" si="37"/>
        <v>OK</v>
      </c>
      <c r="R507">
        <v>1</v>
      </c>
      <c r="S507">
        <f t="shared" si="38"/>
        <v>0</v>
      </c>
      <c r="T507">
        <f t="shared" si="39"/>
        <v>0</v>
      </c>
    </row>
    <row r="508" spans="1:20">
      <c r="A508" t="s">
        <v>1949</v>
      </c>
      <c r="B508" s="3">
        <v>45132</v>
      </c>
      <c r="C508" t="s">
        <v>1950</v>
      </c>
      <c r="D508" t="s">
        <v>22</v>
      </c>
      <c r="E508">
        <v>2</v>
      </c>
      <c r="F508" s="4">
        <v>43.67</v>
      </c>
      <c r="G508" t="s">
        <v>1951</v>
      </c>
      <c r="H508" t="s">
        <v>71</v>
      </c>
      <c r="I508" t="s">
        <v>49</v>
      </c>
      <c r="J508" t="s">
        <v>1952</v>
      </c>
      <c r="K508">
        <v>4</v>
      </c>
      <c r="L508" t="s">
        <v>87</v>
      </c>
      <c r="M508" t="s">
        <v>28</v>
      </c>
      <c r="N508" s="4">
        <v>87.34</v>
      </c>
      <c r="O508" s="19" t="str">
        <f t="shared" si="35"/>
        <v>Jul-2023</v>
      </c>
      <c r="P508">
        <f t="shared" si="36"/>
        <v>2023</v>
      </c>
      <c r="Q508" t="str">
        <f t="shared" si="37"/>
        <v>OK</v>
      </c>
      <c r="R508">
        <v>1</v>
      </c>
      <c r="S508">
        <f t="shared" si="38"/>
        <v>0</v>
      </c>
      <c r="T508">
        <f t="shared" si="39"/>
        <v>1</v>
      </c>
    </row>
    <row r="509" spans="1:20">
      <c r="A509" t="s">
        <v>1953</v>
      </c>
      <c r="B509" s="3">
        <v>45112</v>
      </c>
      <c r="C509" t="s">
        <v>1954</v>
      </c>
      <c r="D509" t="s">
        <v>31</v>
      </c>
      <c r="E509">
        <v>1</v>
      </c>
      <c r="F509" s="4">
        <v>171.59</v>
      </c>
      <c r="G509" t="s">
        <v>1305</v>
      </c>
      <c r="H509" t="s">
        <v>40</v>
      </c>
      <c r="I509" t="s">
        <v>95</v>
      </c>
      <c r="J509" t="s">
        <v>1955</v>
      </c>
      <c r="K509">
        <v>5</v>
      </c>
      <c r="L509" t="s">
        <v>87</v>
      </c>
      <c r="M509" t="s">
        <v>44</v>
      </c>
      <c r="N509" s="4">
        <v>171.59</v>
      </c>
      <c r="O509" s="19" t="str">
        <f t="shared" si="35"/>
        <v>Jul-2023</v>
      </c>
      <c r="P509">
        <f t="shared" si="36"/>
        <v>2023</v>
      </c>
      <c r="Q509" t="str">
        <f t="shared" si="37"/>
        <v>OK</v>
      </c>
      <c r="R509">
        <v>1</v>
      </c>
      <c r="S509">
        <f t="shared" si="38"/>
        <v>0</v>
      </c>
      <c r="T509">
        <f t="shared" si="39"/>
        <v>0</v>
      </c>
    </row>
    <row r="510" spans="1:20">
      <c r="A510" t="s">
        <v>1956</v>
      </c>
      <c r="B510" s="3">
        <v>45791</v>
      </c>
      <c r="C510" t="s">
        <v>1957</v>
      </c>
      <c r="D510" t="s">
        <v>31</v>
      </c>
      <c r="E510">
        <v>1</v>
      </c>
      <c r="F510" s="4">
        <v>558.27</v>
      </c>
      <c r="G510" t="s">
        <v>1958</v>
      </c>
      <c r="H510" t="s">
        <v>33</v>
      </c>
      <c r="I510" t="s">
        <v>56</v>
      </c>
      <c r="J510" t="s">
        <v>1959</v>
      </c>
      <c r="K510">
        <v>1</v>
      </c>
      <c r="M510" t="s">
        <v>35</v>
      </c>
      <c r="N510" s="4">
        <v>558.27</v>
      </c>
      <c r="O510" s="19" t="str">
        <f t="shared" si="35"/>
        <v>May-2025</v>
      </c>
      <c r="P510">
        <f t="shared" si="36"/>
        <v>2025</v>
      </c>
      <c r="Q510" t="str">
        <f t="shared" si="37"/>
        <v>OK</v>
      </c>
      <c r="R510">
        <v>1</v>
      </c>
      <c r="S510">
        <f t="shared" si="38"/>
        <v>0</v>
      </c>
      <c r="T510">
        <f t="shared" si="39"/>
        <v>0</v>
      </c>
    </row>
    <row r="511" spans="1:20">
      <c r="A511" t="s">
        <v>1960</v>
      </c>
      <c r="B511" s="3">
        <v>44972</v>
      </c>
      <c r="C511" t="s">
        <v>1961</v>
      </c>
      <c r="D511" t="s">
        <v>64</v>
      </c>
      <c r="E511">
        <v>2</v>
      </c>
      <c r="F511" s="4">
        <v>425.03</v>
      </c>
      <c r="G511" t="s">
        <v>1962</v>
      </c>
      <c r="H511" t="s">
        <v>71</v>
      </c>
      <c r="I511" t="s">
        <v>49</v>
      </c>
      <c r="J511" t="s">
        <v>1963</v>
      </c>
      <c r="K511">
        <v>2</v>
      </c>
      <c r="L511" t="s">
        <v>87</v>
      </c>
      <c r="M511" t="s">
        <v>82</v>
      </c>
      <c r="N511" s="4">
        <v>850.06</v>
      </c>
      <c r="O511" s="19" t="str">
        <f t="shared" si="35"/>
        <v>Feb-2023</v>
      </c>
      <c r="P511">
        <f t="shared" si="36"/>
        <v>2023</v>
      </c>
      <c r="Q511" t="str">
        <f t="shared" si="37"/>
        <v>OK</v>
      </c>
      <c r="R511">
        <v>1</v>
      </c>
      <c r="S511">
        <f t="shared" si="38"/>
        <v>0</v>
      </c>
      <c r="T511">
        <f t="shared" si="39"/>
        <v>1</v>
      </c>
    </row>
    <row r="512" spans="1:20">
      <c r="A512" t="s">
        <v>1964</v>
      </c>
      <c r="B512" s="3">
        <v>45642</v>
      </c>
      <c r="C512" t="s">
        <v>1965</v>
      </c>
      <c r="D512" t="s">
        <v>54</v>
      </c>
      <c r="E512">
        <v>1</v>
      </c>
      <c r="F512" s="4">
        <v>376.76</v>
      </c>
      <c r="G512" t="s">
        <v>1966</v>
      </c>
      <c r="H512" t="s">
        <v>24</v>
      </c>
      <c r="I512" t="s">
        <v>56</v>
      </c>
      <c r="J512" t="s">
        <v>1967</v>
      </c>
      <c r="K512">
        <v>5</v>
      </c>
      <c r="L512" t="s">
        <v>27</v>
      </c>
      <c r="M512" t="s">
        <v>44</v>
      </c>
      <c r="N512" s="4">
        <v>376.76</v>
      </c>
      <c r="O512" s="19" t="str">
        <f t="shared" si="35"/>
        <v>Dec-2024</v>
      </c>
      <c r="P512">
        <f t="shared" si="36"/>
        <v>2024</v>
      </c>
      <c r="Q512" t="str">
        <f t="shared" si="37"/>
        <v>OK</v>
      </c>
      <c r="R512">
        <v>1</v>
      </c>
      <c r="S512">
        <f t="shared" si="38"/>
        <v>0</v>
      </c>
      <c r="T512">
        <f t="shared" si="39"/>
        <v>0</v>
      </c>
    </row>
    <row r="513" spans="1:20">
      <c r="A513" t="s">
        <v>1968</v>
      </c>
      <c r="B513" s="3">
        <v>45366</v>
      </c>
      <c r="C513" t="s">
        <v>1969</v>
      </c>
      <c r="D513" t="s">
        <v>22</v>
      </c>
      <c r="E513">
        <v>5</v>
      </c>
      <c r="F513" s="4">
        <v>575.24</v>
      </c>
      <c r="G513" t="s">
        <v>207</v>
      </c>
      <c r="H513" t="s">
        <v>71</v>
      </c>
      <c r="I513" t="s">
        <v>56</v>
      </c>
      <c r="J513" t="s">
        <v>1970</v>
      </c>
      <c r="K513">
        <v>7</v>
      </c>
      <c r="L513" t="s">
        <v>87</v>
      </c>
      <c r="M513" t="s">
        <v>44</v>
      </c>
      <c r="N513" s="4">
        <v>2876.2</v>
      </c>
      <c r="O513" s="19" t="str">
        <f t="shared" si="35"/>
        <v>Mar-2024</v>
      </c>
      <c r="P513">
        <f t="shared" si="36"/>
        <v>2024</v>
      </c>
      <c r="Q513" t="str">
        <f t="shared" si="37"/>
        <v>OK</v>
      </c>
      <c r="R513">
        <v>1</v>
      </c>
      <c r="S513">
        <f t="shared" si="38"/>
        <v>0</v>
      </c>
      <c r="T513">
        <f t="shared" si="39"/>
        <v>0</v>
      </c>
    </row>
    <row r="514" spans="1:20">
      <c r="A514" t="s">
        <v>1971</v>
      </c>
      <c r="B514" s="3">
        <v>45562</v>
      </c>
      <c r="C514" t="s">
        <v>1972</v>
      </c>
      <c r="D514" t="s">
        <v>79</v>
      </c>
      <c r="E514">
        <v>3</v>
      </c>
      <c r="F514" s="4">
        <v>568.02</v>
      </c>
      <c r="G514" t="s">
        <v>1196</v>
      </c>
      <c r="H514" t="s">
        <v>33</v>
      </c>
      <c r="I514" t="s">
        <v>95</v>
      </c>
      <c r="J514" t="s">
        <v>1973</v>
      </c>
      <c r="K514">
        <v>3</v>
      </c>
      <c r="L514" t="s">
        <v>43</v>
      </c>
      <c r="M514" t="s">
        <v>28</v>
      </c>
      <c r="N514" s="4">
        <v>1704.06</v>
      </c>
      <c r="O514" s="19" t="str">
        <f t="shared" ref="O514:O577" si="40">TEXT(B514,"mmm-yyyy")</f>
        <v>Sep-2024</v>
      </c>
      <c r="P514">
        <f t="shared" ref="P514:P577" si="41">YEAR(B514)</f>
        <v>2024</v>
      </c>
      <c r="Q514" t="str">
        <f t="shared" ref="Q514:Q577" si="42">IF(ABS(N514-(E514*F514))&lt;0.01,"OK","CHECK")</f>
        <v>OK</v>
      </c>
      <c r="R514">
        <v>1</v>
      </c>
      <c r="S514">
        <f t="shared" ref="S514:S577" si="43">IF(I514="Cancelled",1,0)</f>
        <v>0</v>
      </c>
      <c r="T514">
        <f t="shared" ref="T514:T577" si="44">IF(I514="Returned",1,0)</f>
        <v>0</v>
      </c>
    </row>
    <row r="515" spans="1:20">
      <c r="A515" t="s">
        <v>1974</v>
      </c>
      <c r="B515" s="3">
        <v>45697</v>
      </c>
      <c r="C515" t="s">
        <v>1975</v>
      </c>
      <c r="D515" t="s">
        <v>38</v>
      </c>
      <c r="E515">
        <v>3</v>
      </c>
      <c r="F515" s="4">
        <v>94.88</v>
      </c>
      <c r="G515" t="s">
        <v>432</v>
      </c>
      <c r="H515" t="s">
        <v>66</v>
      </c>
      <c r="I515" t="s">
        <v>25</v>
      </c>
      <c r="J515" t="s">
        <v>1976</v>
      </c>
      <c r="K515">
        <v>8</v>
      </c>
      <c r="M515" t="s">
        <v>35</v>
      </c>
      <c r="N515" s="4">
        <v>284.64</v>
      </c>
      <c r="O515" s="19" t="str">
        <f t="shared" si="40"/>
        <v>Feb-2025</v>
      </c>
      <c r="P515">
        <f t="shared" si="41"/>
        <v>2025</v>
      </c>
      <c r="Q515" t="str">
        <f t="shared" si="42"/>
        <v>OK</v>
      </c>
      <c r="R515">
        <v>1</v>
      </c>
      <c r="S515">
        <f t="shared" si="43"/>
        <v>0</v>
      </c>
      <c r="T515">
        <f t="shared" si="44"/>
        <v>0</v>
      </c>
    </row>
    <row r="516" spans="1:20">
      <c r="A516" t="s">
        <v>1977</v>
      </c>
      <c r="B516" s="3">
        <v>45032</v>
      </c>
      <c r="C516" t="s">
        <v>1978</v>
      </c>
      <c r="D516" t="s">
        <v>54</v>
      </c>
      <c r="E516">
        <v>3</v>
      </c>
      <c r="F516" s="4">
        <v>304.14999999999998</v>
      </c>
      <c r="G516" t="s">
        <v>1760</v>
      </c>
      <c r="H516" t="s">
        <v>66</v>
      </c>
      <c r="I516" t="s">
        <v>25</v>
      </c>
      <c r="J516" t="s">
        <v>1979</v>
      </c>
      <c r="K516">
        <v>3</v>
      </c>
      <c r="L516" t="s">
        <v>87</v>
      </c>
      <c r="M516" t="s">
        <v>28</v>
      </c>
      <c r="N516" s="4">
        <v>912.44999999999993</v>
      </c>
      <c r="O516" s="19" t="str">
        <f t="shared" si="40"/>
        <v>Apr-2023</v>
      </c>
      <c r="P516">
        <f t="shared" si="41"/>
        <v>2023</v>
      </c>
      <c r="Q516" t="str">
        <f t="shared" si="42"/>
        <v>OK</v>
      </c>
      <c r="R516">
        <v>1</v>
      </c>
      <c r="S516">
        <f t="shared" si="43"/>
        <v>0</v>
      </c>
      <c r="T516">
        <f t="shared" si="44"/>
        <v>0</v>
      </c>
    </row>
    <row r="517" spans="1:20">
      <c r="A517" t="s">
        <v>1980</v>
      </c>
      <c r="B517" s="3">
        <v>44999</v>
      </c>
      <c r="C517" t="s">
        <v>1981</v>
      </c>
      <c r="D517" t="s">
        <v>31</v>
      </c>
      <c r="E517">
        <v>3</v>
      </c>
      <c r="F517" s="4">
        <v>553.52</v>
      </c>
      <c r="G517" t="s">
        <v>1749</v>
      </c>
      <c r="H517" t="s">
        <v>66</v>
      </c>
      <c r="I517" t="s">
        <v>25</v>
      </c>
      <c r="J517" t="s">
        <v>1982</v>
      </c>
      <c r="K517">
        <v>4</v>
      </c>
      <c r="L517" t="s">
        <v>43</v>
      </c>
      <c r="M517" t="s">
        <v>51</v>
      </c>
      <c r="N517" s="4">
        <v>1660.56</v>
      </c>
      <c r="O517" s="19" t="str">
        <f t="shared" si="40"/>
        <v>Mar-2023</v>
      </c>
      <c r="P517">
        <f t="shared" si="41"/>
        <v>2023</v>
      </c>
      <c r="Q517" t="str">
        <f t="shared" si="42"/>
        <v>OK</v>
      </c>
      <c r="R517">
        <v>1</v>
      </c>
      <c r="S517">
        <f t="shared" si="43"/>
        <v>0</v>
      </c>
      <c r="T517">
        <f t="shared" si="44"/>
        <v>0</v>
      </c>
    </row>
    <row r="518" spans="1:20">
      <c r="A518" t="s">
        <v>1983</v>
      </c>
      <c r="B518" s="3">
        <v>45389</v>
      </c>
      <c r="C518" t="s">
        <v>1984</v>
      </c>
      <c r="D518" t="s">
        <v>22</v>
      </c>
      <c r="E518">
        <v>3</v>
      </c>
      <c r="F518" s="4">
        <v>166.99</v>
      </c>
      <c r="G518" t="s">
        <v>1178</v>
      </c>
      <c r="H518" t="s">
        <v>71</v>
      </c>
      <c r="I518" t="s">
        <v>49</v>
      </c>
      <c r="J518" t="s">
        <v>1985</v>
      </c>
      <c r="K518">
        <v>8</v>
      </c>
      <c r="M518" t="s">
        <v>51</v>
      </c>
      <c r="N518" s="4">
        <v>500.97</v>
      </c>
      <c r="O518" s="19" t="str">
        <f t="shared" si="40"/>
        <v>Apr-2024</v>
      </c>
      <c r="P518">
        <f t="shared" si="41"/>
        <v>2024</v>
      </c>
      <c r="Q518" t="str">
        <f t="shared" si="42"/>
        <v>OK</v>
      </c>
      <c r="R518">
        <v>1</v>
      </c>
      <c r="S518">
        <f t="shared" si="43"/>
        <v>0</v>
      </c>
      <c r="T518">
        <f t="shared" si="44"/>
        <v>1</v>
      </c>
    </row>
    <row r="519" spans="1:20">
      <c r="A519" t="s">
        <v>1986</v>
      </c>
      <c r="B519" s="3">
        <v>45391</v>
      </c>
      <c r="C519" t="s">
        <v>1987</v>
      </c>
      <c r="D519" t="s">
        <v>38</v>
      </c>
      <c r="E519">
        <v>4</v>
      </c>
      <c r="F519" s="4">
        <v>198.35</v>
      </c>
      <c r="G519" t="s">
        <v>1855</v>
      </c>
      <c r="H519" t="s">
        <v>71</v>
      </c>
      <c r="I519" t="s">
        <v>41</v>
      </c>
      <c r="J519" t="s">
        <v>1988</v>
      </c>
      <c r="K519">
        <v>7</v>
      </c>
      <c r="L519" t="s">
        <v>43</v>
      </c>
      <c r="M519" t="s">
        <v>82</v>
      </c>
      <c r="N519" s="4">
        <v>793.4</v>
      </c>
      <c r="O519" s="19" t="str">
        <f t="shared" si="40"/>
        <v>Apr-2024</v>
      </c>
      <c r="P519">
        <f t="shared" si="41"/>
        <v>2024</v>
      </c>
      <c r="Q519" t="str">
        <f t="shared" si="42"/>
        <v>OK</v>
      </c>
      <c r="R519">
        <v>1</v>
      </c>
      <c r="S519">
        <f t="shared" si="43"/>
        <v>1</v>
      </c>
      <c r="T519">
        <f t="shared" si="44"/>
        <v>0</v>
      </c>
    </row>
    <row r="520" spans="1:20">
      <c r="A520" t="s">
        <v>1989</v>
      </c>
      <c r="B520" s="3">
        <v>45821</v>
      </c>
      <c r="C520" t="s">
        <v>1990</v>
      </c>
      <c r="D520" t="s">
        <v>54</v>
      </c>
      <c r="E520">
        <v>4</v>
      </c>
      <c r="F520" s="4">
        <v>403.58</v>
      </c>
      <c r="G520" t="s">
        <v>1566</v>
      </c>
      <c r="H520" t="s">
        <v>33</v>
      </c>
      <c r="I520" t="s">
        <v>95</v>
      </c>
      <c r="J520" t="s">
        <v>1991</v>
      </c>
      <c r="K520">
        <v>9</v>
      </c>
      <c r="L520" t="s">
        <v>27</v>
      </c>
      <c r="M520" t="s">
        <v>35</v>
      </c>
      <c r="N520" s="4">
        <v>1614.32</v>
      </c>
      <c r="O520" s="19" t="str">
        <f t="shared" si="40"/>
        <v>Jun-2025</v>
      </c>
      <c r="P520">
        <f t="shared" si="41"/>
        <v>2025</v>
      </c>
      <c r="Q520" t="str">
        <f t="shared" si="42"/>
        <v>OK</v>
      </c>
      <c r="R520">
        <v>1</v>
      </c>
      <c r="S520">
        <f t="shared" si="43"/>
        <v>0</v>
      </c>
      <c r="T520">
        <f t="shared" si="44"/>
        <v>0</v>
      </c>
    </row>
    <row r="521" spans="1:20">
      <c r="A521" t="s">
        <v>1992</v>
      </c>
      <c r="B521" s="3">
        <v>45787</v>
      </c>
      <c r="C521" t="s">
        <v>1993</v>
      </c>
      <c r="D521" t="s">
        <v>64</v>
      </c>
      <c r="E521">
        <v>4</v>
      </c>
      <c r="F521" s="4">
        <v>464.29</v>
      </c>
      <c r="G521" t="s">
        <v>1994</v>
      </c>
      <c r="H521" t="s">
        <v>24</v>
      </c>
      <c r="I521" t="s">
        <v>49</v>
      </c>
      <c r="J521" t="s">
        <v>1995</v>
      </c>
      <c r="K521">
        <v>5</v>
      </c>
      <c r="L521" t="s">
        <v>27</v>
      </c>
      <c r="M521" t="s">
        <v>44</v>
      </c>
      <c r="N521" s="4">
        <v>1857.16</v>
      </c>
      <c r="O521" s="19" t="str">
        <f t="shared" si="40"/>
        <v>May-2025</v>
      </c>
      <c r="P521">
        <f t="shared" si="41"/>
        <v>2025</v>
      </c>
      <c r="Q521" t="str">
        <f t="shared" si="42"/>
        <v>OK</v>
      </c>
      <c r="R521">
        <v>1</v>
      </c>
      <c r="S521">
        <f t="shared" si="43"/>
        <v>0</v>
      </c>
      <c r="T521">
        <f t="shared" si="44"/>
        <v>1</v>
      </c>
    </row>
    <row r="522" spans="1:20">
      <c r="A522" t="s">
        <v>1996</v>
      </c>
      <c r="B522" s="3">
        <v>44995</v>
      </c>
      <c r="C522" t="s">
        <v>1997</v>
      </c>
      <c r="D522" t="s">
        <v>22</v>
      </c>
      <c r="E522">
        <v>3</v>
      </c>
      <c r="F522" s="4">
        <v>635.98</v>
      </c>
      <c r="G522" t="s">
        <v>1998</v>
      </c>
      <c r="H522" t="s">
        <v>71</v>
      </c>
      <c r="I522" t="s">
        <v>49</v>
      </c>
      <c r="J522" t="s">
        <v>1999</v>
      </c>
      <c r="K522">
        <v>5</v>
      </c>
      <c r="M522" t="s">
        <v>35</v>
      </c>
      <c r="N522" s="4">
        <v>1907.94</v>
      </c>
      <c r="O522" s="19" t="str">
        <f t="shared" si="40"/>
        <v>Mar-2023</v>
      </c>
      <c r="P522">
        <f t="shared" si="41"/>
        <v>2023</v>
      </c>
      <c r="Q522" t="str">
        <f t="shared" si="42"/>
        <v>OK</v>
      </c>
      <c r="R522">
        <v>1</v>
      </c>
      <c r="S522">
        <f t="shared" si="43"/>
        <v>0</v>
      </c>
      <c r="T522">
        <f t="shared" si="44"/>
        <v>1</v>
      </c>
    </row>
    <row r="523" spans="1:20">
      <c r="A523" t="s">
        <v>2000</v>
      </c>
      <c r="B523" s="3">
        <v>45347</v>
      </c>
      <c r="C523" t="s">
        <v>2001</v>
      </c>
      <c r="D523" t="s">
        <v>31</v>
      </c>
      <c r="E523">
        <v>1</v>
      </c>
      <c r="F523" s="4">
        <v>528.05999999999995</v>
      </c>
      <c r="G523" t="s">
        <v>2002</v>
      </c>
      <c r="H523" t="s">
        <v>40</v>
      </c>
      <c r="I523" t="s">
        <v>25</v>
      </c>
      <c r="J523" t="s">
        <v>2003</v>
      </c>
      <c r="K523">
        <v>2</v>
      </c>
      <c r="M523" t="s">
        <v>51</v>
      </c>
      <c r="N523" s="4">
        <v>528.05999999999995</v>
      </c>
      <c r="O523" s="19" t="str">
        <f t="shared" si="40"/>
        <v>Feb-2024</v>
      </c>
      <c r="P523">
        <f t="shared" si="41"/>
        <v>2024</v>
      </c>
      <c r="Q523" t="str">
        <f t="shared" si="42"/>
        <v>OK</v>
      </c>
      <c r="R523">
        <v>1</v>
      </c>
      <c r="S523">
        <f t="shared" si="43"/>
        <v>0</v>
      </c>
      <c r="T523">
        <f t="shared" si="44"/>
        <v>0</v>
      </c>
    </row>
    <row r="524" spans="1:20">
      <c r="A524" t="s">
        <v>2004</v>
      </c>
      <c r="B524" s="3">
        <v>45402</v>
      </c>
      <c r="C524" t="s">
        <v>2005</v>
      </c>
      <c r="D524" t="s">
        <v>47</v>
      </c>
      <c r="E524">
        <v>1</v>
      </c>
      <c r="F524" s="4">
        <v>515.32000000000005</v>
      </c>
      <c r="G524" t="s">
        <v>1127</v>
      </c>
      <c r="H524" t="s">
        <v>66</v>
      </c>
      <c r="I524" t="s">
        <v>41</v>
      </c>
      <c r="J524" t="s">
        <v>2006</v>
      </c>
      <c r="K524">
        <v>1</v>
      </c>
      <c r="L524" t="s">
        <v>43</v>
      </c>
      <c r="M524" t="s">
        <v>44</v>
      </c>
      <c r="N524" s="4">
        <v>515.32000000000005</v>
      </c>
      <c r="O524" s="19" t="str">
        <f t="shared" si="40"/>
        <v>Apr-2024</v>
      </c>
      <c r="P524">
        <f t="shared" si="41"/>
        <v>2024</v>
      </c>
      <c r="Q524" t="str">
        <f t="shared" si="42"/>
        <v>OK</v>
      </c>
      <c r="R524">
        <v>1</v>
      </c>
      <c r="S524">
        <f t="shared" si="43"/>
        <v>1</v>
      </c>
      <c r="T524">
        <f t="shared" si="44"/>
        <v>0</v>
      </c>
    </row>
    <row r="525" spans="1:20">
      <c r="A525" t="s">
        <v>2007</v>
      </c>
      <c r="B525" s="3">
        <v>45706</v>
      </c>
      <c r="C525" t="s">
        <v>2008</v>
      </c>
      <c r="D525" t="s">
        <v>79</v>
      </c>
      <c r="E525">
        <v>4</v>
      </c>
      <c r="F525" s="4">
        <v>657.79</v>
      </c>
      <c r="G525" t="s">
        <v>1626</v>
      </c>
      <c r="H525" t="s">
        <v>40</v>
      </c>
      <c r="I525" t="s">
        <v>49</v>
      </c>
      <c r="J525" t="s">
        <v>2009</v>
      </c>
      <c r="K525">
        <v>6</v>
      </c>
      <c r="L525" t="s">
        <v>87</v>
      </c>
      <c r="M525" t="s">
        <v>82</v>
      </c>
      <c r="N525" s="4">
        <v>2631.16</v>
      </c>
      <c r="O525" s="19" t="str">
        <f t="shared" si="40"/>
        <v>Feb-2025</v>
      </c>
      <c r="P525">
        <f t="shared" si="41"/>
        <v>2025</v>
      </c>
      <c r="Q525" t="str">
        <f t="shared" si="42"/>
        <v>OK</v>
      </c>
      <c r="R525">
        <v>1</v>
      </c>
      <c r="S525">
        <f t="shared" si="43"/>
        <v>0</v>
      </c>
      <c r="T525">
        <f t="shared" si="44"/>
        <v>1</v>
      </c>
    </row>
    <row r="526" spans="1:20">
      <c r="A526" t="s">
        <v>2010</v>
      </c>
      <c r="B526" s="3">
        <v>45224</v>
      </c>
      <c r="C526" t="s">
        <v>2011</v>
      </c>
      <c r="D526" t="s">
        <v>31</v>
      </c>
      <c r="E526">
        <v>1</v>
      </c>
      <c r="F526" s="4">
        <v>153</v>
      </c>
      <c r="G526" t="s">
        <v>357</v>
      </c>
      <c r="H526" t="s">
        <v>40</v>
      </c>
      <c r="I526" t="s">
        <v>49</v>
      </c>
      <c r="J526" t="s">
        <v>2012</v>
      </c>
      <c r="K526">
        <v>4</v>
      </c>
      <c r="M526" t="s">
        <v>35</v>
      </c>
      <c r="N526" s="4">
        <v>153</v>
      </c>
      <c r="O526" s="19" t="str">
        <f t="shared" si="40"/>
        <v>Oct-2023</v>
      </c>
      <c r="P526">
        <f t="shared" si="41"/>
        <v>2023</v>
      </c>
      <c r="Q526" t="str">
        <f t="shared" si="42"/>
        <v>OK</v>
      </c>
      <c r="R526">
        <v>1</v>
      </c>
      <c r="S526">
        <f t="shared" si="43"/>
        <v>0</v>
      </c>
      <c r="T526">
        <f t="shared" si="44"/>
        <v>1</v>
      </c>
    </row>
    <row r="527" spans="1:20">
      <c r="A527" t="s">
        <v>2013</v>
      </c>
      <c r="B527" s="3">
        <v>45263</v>
      </c>
      <c r="C527" t="s">
        <v>2014</v>
      </c>
      <c r="D527" t="s">
        <v>22</v>
      </c>
      <c r="E527">
        <v>1</v>
      </c>
      <c r="F527" s="4">
        <v>668.48</v>
      </c>
      <c r="G527" t="s">
        <v>1749</v>
      </c>
      <c r="H527" t="s">
        <v>24</v>
      </c>
      <c r="I527" t="s">
        <v>25</v>
      </c>
      <c r="J527" t="s">
        <v>2015</v>
      </c>
      <c r="K527">
        <v>1</v>
      </c>
      <c r="L527" t="s">
        <v>27</v>
      </c>
      <c r="M527" t="s">
        <v>44</v>
      </c>
      <c r="N527" s="4">
        <v>668.48</v>
      </c>
      <c r="O527" s="19" t="str">
        <f t="shared" si="40"/>
        <v>Dec-2023</v>
      </c>
      <c r="P527">
        <f t="shared" si="41"/>
        <v>2023</v>
      </c>
      <c r="Q527" t="str">
        <f t="shared" si="42"/>
        <v>OK</v>
      </c>
      <c r="R527">
        <v>1</v>
      </c>
      <c r="S527">
        <f t="shared" si="43"/>
        <v>0</v>
      </c>
      <c r="T527">
        <f t="shared" si="44"/>
        <v>0</v>
      </c>
    </row>
    <row r="528" spans="1:20">
      <c r="A528" t="s">
        <v>2016</v>
      </c>
      <c r="B528" s="3">
        <v>45351</v>
      </c>
      <c r="C528" t="s">
        <v>2017</v>
      </c>
      <c r="D528" t="s">
        <v>79</v>
      </c>
      <c r="E528">
        <v>2</v>
      </c>
      <c r="F528" s="4">
        <v>46.5</v>
      </c>
      <c r="G528" t="s">
        <v>413</v>
      </c>
      <c r="H528" t="s">
        <v>71</v>
      </c>
      <c r="I528" t="s">
        <v>49</v>
      </c>
      <c r="J528" t="s">
        <v>2018</v>
      </c>
      <c r="K528">
        <v>7</v>
      </c>
      <c r="L528" t="s">
        <v>87</v>
      </c>
      <c r="M528" t="s">
        <v>82</v>
      </c>
      <c r="N528" s="4">
        <v>93</v>
      </c>
      <c r="O528" s="19" t="str">
        <f t="shared" si="40"/>
        <v>Feb-2024</v>
      </c>
      <c r="P528">
        <f t="shared" si="41"/>
        <v>2024</v>
      </c>
      <c r="Q528" t="str">
        <f t="shared" si="42"/>
        <v>OK</v>
      </c>
      <c r="R528">
        <v>1</v>
      </c>
      <c r="S528">
        <f t="shared" si="43"/>
        <v>0</v>
      </c>
      <c r="T528">
        <f t="shared" si="44"/>
        <v>1</v>
      </c>
    </row>
    <row r="529" spans="1:20">
      <c r="A529" t="s">
        <v>2019</v>
      </c>
      <c r="B529" s="3">
        <v>45523</v>
      </c>
      <c r="C529" t="s">
        <v>2020</v>
      </c>
      <c r="D529" t="s">
        <v>47</v>
      </c>
      <c r="E529">
        <v>5</v>
      </c>
      <c r="F529" s="4">
        <v>653.47</v>
      </c>
      <c r="G529" t="s">
        <v>377</v>
      </c>
      <c r="H529" t="s">
        <v>40</v>
      </c>
      <c r="I529" t="s">
        <v>41</v>
      </c>
      <c r="J529" t="s">
        <v>2021</v>
      </c>
      <c r="K529">
        <v>10</v>
      </c>
      <c r="L529" t="s">
        <v>27</v>
      </c>
      <c r="M529" t="s">
        <v>35</v>
      </c>
      <c r="N529" s="4">
        <v>3267.35</v>
      </c>
      <c r="O529" s="19" t="str">
        <f t="shared" si="40"/>
        <v>Aug-2024</v>
      </c>
      <c r="P529">
        <f t="shared" si="41"/>
        <v>2024</v>
      </c>
      <c r="Q529" t="str">
        <f t="shared" si="42"/>
        <v>OK</v>
      </c>
      <c r="R529">
        <v>1</v>
      </c>
      <c r="S529">
        <f t="shared" si="43"/>
        <v>1</v>
      </c>
      <c r="T529">
        <f t="shared" si="44"/>
        <v>0</v>
      </c>
    </row>
    <row r="530" spans="1:20">
      <c r="A530" t="s">
        <v>2022</v>
      </c>
      <c r="B530" s="3">
        <v>45714</v>
      </c>
      <c r="C530" t="s">
        <v>2023</v>
      </c>
      <c r="D530" t="s">
        <v>47</v>
      </c>
      <c r="E530">
        <v>1</v>
      </c>
      <c r="F530" s="4">
        <v>628.89</v>
      </c>
      <c r="G530" t="s">
        <v>1764</v>
      </c>
      <c r="H530" t="s">
        <v>40</v>
      </c>
      <c r="I530" t="s">
        <v>49</v>
      </c>
      <c r="J530" t="s">
        <v>2024</v>
      </c>
      <c r="K530">
        <v>2</v>
      </c>
      <c r="L530" t="s">
        <v>27</v>
      </c>
      <c r="M530" t="s">
        <v>35</v>
      </c>
      <c r="N530" s="4">
        <v>628.89</v>
      </c>
      <c r="O530" s="19" t="str">
        <f t="shared" si="40"/>
        <v>Feb-2025</v>
      </c>
      <c r="P530">
        <f t="shared" si="41"/>
        <v>2025</v>
      </c>
      <c r="Q530" t="str">
        <f t="shared" si="42"/>
        <v>OK</v>
      </c>
      <c r="R530">
        <v>1</v>
      </c>
      <c r="S530">
        <f t="shared" si="43"/>
        <v>0</v>
      </c>
      <c r="T530">
        <f t="shared" si="44"/>
        <v>1</v>
      </c>
    </row>
    <row r="531" spans="1:20">
      <c r="A531" t="s">
        <v>2025</v>
      </c>
      <c r="B531" s="3">
        <v>45389</v>
      </c>
      <c r="C531" t="s">
        <v>2026</v>
      </c>
      <c r="D531" t="s">
        <v>38</v>
      </c>
      <c r="E531">
        <v>2</v>
      </c>
      <c r="F531" s="4">
        <v>675.1</v>
      </c>
      <c r="G531" t="s">
        <v>2027</v>
      </c>
      <c r="H531" t="s">
        <v>71</v>
      </c>
      <c r="I531" t="s">
        <v>95</v>
      </c>
      <c r="J531" t="s">
        <v>2028</v>
      </c>
      <c r="K531">
        <v>4</v>
      </c>
      <c r="L531" t="s">
        <v>43</v>
      </c>
      <c r="M531" t="s">
        <v>82</v>
      </c>
      <c r="N531" s="4">
        <v>1350.2</v>
      </c>
      <c r="O531" s="19" t="str">
        <f t="shared" si="40"/>
        <v>Apr-2024</v>
      </c>
      <c r="P531">
        <f t="shared" si="41"/>
        <v>2024</v>
      </c>
      <c r="Q531" t="str">
        <f t="shared" si="42"/>
        <v>OK</v>
      </c>
      <c r="R531">
        <v>1</v>
      </c>
      <c r="S531">
        <f t="shared" si="43"/>
        <v>0</v>
      </c>
      <c r="T531">
        <f t="shared" si="44"/>
        <v>0</v>
      </c>
    </row>
    <row r="532" spans="1:20">
      <c r="A532" t="s">
        <v>2029</v>
      </c>
      <c r="B532" s="3">
        <v>45491</v>
      </c>
      <c r="C532" t="s">
        <v>2030</v>
      </c>
      <c r="D532" t="s">
        <v>47</v>
      </c>
      <c r="E532">
        <v>4</v>
      </c>
      <c r="F532" s="4">
        <v>89.41</v>
      </c>
      <c r="G532" t="s">
        <v>2031</v>
      </c>
      <c r="H532" t="s">
        <v>33</v>
      </c>
      <c r="I532" t="s">
        <v>95</v>
      </c>
      <c r="J532" t="s">
        <v>2032</v>
      </c>
      <c r="K532">
        <v>9</v>
      </c>
      <c r="M532" t="s">
        <v>82</v>
      </c>
      <c r="N532" s="4">
        <v>357.64</v>
      </c>
      <c r="O532" s="19" t="str">
        <f t="shared" si="40"/>
        <v>Jul-2024</v>
      </c>
      <c r="P532">
        <f t="shared" si="41"/>
        <v>2024</v>
      </c>
      <c r="Q532" t="str">
        <f t="shared" si="42"/>
        <v>OK</v>
      </c>
      <c r="R532">
        <v>1</v>
      </c>
      <c r="S532">
        <f t="shared" si="43"/>
        <v>0</v>
      </c>
      <c r="T532">
        <f t="shared" si="44"/>
        <v>0</v>
      </c>
    </row>
    <row r="533" spans="1:20">
      <c r="A533" t="s">
        <v>2033</v>
      </c>
      <c r="B533" s="3">
        <v>45475</v>
      </c>
      <c r="C533" t="s">
        <v>2034</v>
      </c>
      <c r="D533" t="s">
        <v>79</v>
      </c>
      <c r="E533">
        <v>5</v>
      </c>
      <c r="F533" s="4">
        <v>320.01</v>
      </c>
      <c r="G533" t="s">
        <v>2035</v>
      </c>
      <c r="H533" t="s">
        <v>66</v>
      </c>
      <c r="I533" t="s">
        <v>56</v>
      </c>
      <c r="J533" t="s">
        <v>2036</v>
      </c>
      <c r="K533">
        <v>6</v>
      </c>
      <c r="M533" t="s">
        <v>35</v>
      </c>
      <c r="N533" s="4">
        <v>1600.05</v>
      </c>
      <c r="O533" s="19" t="str">
        <f t="shared" si="40"/>
        <v>Jul-2024</v>
      </c>
      <c r="P533">
        <f t="shared" si="41"/>
        <v>2024</v>
      </c>
      <c r="Q533" t="str">
        <f t="shared" si="42"/>
        <v>OK</v>
      </c>
      <c r="R533">
        <v>1</v>
      </c>
      <c r="S533">
        <f t="shared" si="43"/>
        <v>0</v>
      </c>
      <c r="T533">
        <f t="shared" si="44"/>
        <v>0</v>
      </c>
    </row>
    <row r="534" spans="1:20">
      <c r="A534" t="s">
        <v>2037</v>
      </c>
      <c r="B534" s="3">
        <v>45780</v>
      </c>
      <c r="C534" t="s">
        <v>2038</v>
      </c>
      <c r="D534" t="s">
        <v>64</v>
      </c>
      <c r="E534">
        <v>2</v>
      </c>
      <c r="F534" s="4">
        <v>41</v>
      </c>
      <c r="G534" t="s">
        <v>2039</v>
      </c>
      <c r="H534" t="s">
        <v>33</v>
      </c>
      <c r="I534" t="s">
        <v>56</v>
      </c>
      <c r="J534" t="s">
        <v>2040</v>
      </c>
      <c r="K534">
        <v>7</v>
      </c>
      <c r="M534" t="s">
        <v>44</v>
      </c>
      <c r="N534" s="4">
        <v>82</v>
      </c>
      <c r="O534" s="19" t="str">
        <f t="shared" si="40"/>
        <v>May-2025</v>
      </c>
      <c r="P534">
        <f t="shared" si="41"/>
        <v>2025</v>
      </c>
      <c r="Q534" t="str">
        <f t="shared" si="42"/>
        <v>OK</v>
      </c>
      <c r="R534">
        <v>1</v>
      </c>
      <c r="S534">
        <f t="shared" si="43"/>
        <v>0</v>
      </c>
      <c r="T534">
        <f t="shared" si="44"/>
        <v>0</v>
      </c>
    </row>
    <row r="535" spans="1:20">
      <c r="A535" t="s">
        <v>2041</v>
      </c>
      <c r="B535" s="3">
        <v>44990</v>
      </c>
      <c r="C535" t="s">
        <v>2042</v>
      </c>
      <c r="D535" t="s">
        <v>79</v>
      </c>
      <c r="E535">
        <v>1</v>
      </c>
      <c r="F535" s="4">
        <v>565.85</v>
      </c>
      <c r="G535" t="s">
        <v>307</v>
      </c>
      <c r="H535" t="s">
        <v>66</v>
      </c>
      <c r="I535" t="s">
        <v>49</v>
      </c>
      <c r="J535" t="s">
        <v>2043</v>
      </c>
      <c r="K535">
        <v>1</v>
      </c>
      <c r="L535" t="s">
        <v>43</v>
      </c>
      <c r="M535" t="s">
        <v>51</v>
      </c>
      <c r="N535" s="4">
        <v>565.85</v>
      </c>
      <c r="O535" s="19" t="str">
        <f t="shared" si="40"/>
        <v>Mar-2023</v>
      </c>
      <c r="P535">
        <f t="shared" si="41"/>
        <v>2023</v>
      </c>
      <c r="Q535" t="str">
        <f t="shared" si="42"/>
        <v>OK</v>
      </c>
      <c r="R535">
        <v>1</v>
      </c>
      <c r="S535">
        <f t="shared" si="43"/>
        <v>0</v>
      </c>
      <c r="T535">
        <f t="shared" si="44"/>
        <v>1</v>
      </c>
    </row>
    <row r="536" spans="1:20">
      <c r="A536" t="s">
        <v>2044</v>
      </c>
      <c r="B536" s="3">
        <v>45449</v>
      </c>
      <c r="C536" t="s">
        <v>2045</v>
      </c>
      <c r="D536" t="s">
        <v>47</v>
      </c>
      <c r="E536">
        <v>3</v>
      </c>
      <c r="F536" s="4">
        <v>648.59</v>
      </c>
      <c r="G536" t="s">
        <v>2046</v>
      </c>
      <c r="H536" t="s">
        <v>24</v>
      </c>
      <c r="I536" t="s">
        <v>41</v>
      </c>
      <c r="J536" t="s">
        <v>2047</v>
      </c>
      <c r="K536">
        <v>4</v>
      </c>
      <c r="L536" t="s">
        <v>27</v>
      </c>
      <c r="M536" t="s">
        <v>44</v>
      </c>
      <c r="N536" s="4">
        <v>1945.77</v>
      </c>
      <c r="O536" s="19" t="str">
        <f t="shared" si="40"/>
        <v>Jun-2024</v>
      </c>
      <c r="P536">
        <f t="shared" si="41"/>
        <v>2024</v>
      </c>
      <c r="Q536" t="str">
        <f t="shared" si="42"/>
        <v>OK</v>
      </c>
      <c r="R536">
        <v>1</v>
      </c>
      <c r="S536">
        <f t="shared" si="43"/>
        <v>1</v>
      </c>
      <c r="T536">
        <f t="shared" si="44"/>
        <v>0</v>
      </c>
    </row>
    <row r="537" spans="1:20">
      <c r="A537" t="s">
        <v>2048</v>
      </c>
      <c r="B537" s="3">
        <v>45497</v>
      </c>
      <c r="C537" t="s">
        <v>2049</v>
      </c>
      <c r="D537" t="s">
        <v>22</v>
      </c>
      <c r="E537">
        <v>3</v>
      </c>
      <c r="F537" s="4">
        <v>68.12</v>
      </c>
      <c r="G537" t="s">
        <v>729</v>
      </c>
      <c r="H537" t="s">
        <v>33</v>
      </c>
      <c r="I537" t="s">
        <v>41</v>
      </c>
      <c r="J537" t="s">
        <v>2050</v>
      </c>
      <c r="K537">
        <v>3</v>
      </c>
      <c r="L537" t="s">
        <v>43</v>
      </c>
      <c r="M537" t="s">
        <v>44</v>
      </c>
      <c r="N537" s="4">
        <v>204.36</v>
      </c>
      <c r="O537" s="19" t="str">
        <f t="shared" si="40"/>
        <v>Jul-2024</v>
      </c>
      <c r="P537">
        <f t="shared" si="41"/>
        <v>2024</v>
      </c>
      <c r="Q537" t="str">
        <f t="shared" si="42"/>
        <v>OK</v>
      </c>
      <c r="R537">
        <v>1</v>
      </c>
      <c r="S537">
        <f t="shared" si="43"/>
        <v>1</v>
      </c>
      <c r="T537">
        <f t="shared" si="44"/>
        <v>0</v>
      </c>
    </row>
    <row r="538" spans="1:20">
      <c r="A538" t="s">
        <v>2051</v>
      </c>
      <c r="B538" s="3">
        <v>45452</v>
      </c>
      <c r="C538" t="s">
        <v>2052</v>
      </c>
      <c r="D538" t="s">
        <v>47</v>
      </c>
      <c r="E538">
        <v>1</v>
      </c>
      <c r="F538" s="4">
        <v>616.1</v>
      </c>
      <c r="G538" t="s">
        <v>2053</v>
      </c>
      <c r="H538" t="s">
        <v>71</v>
      </c>
      <c r="I538" t="s">
        <v>49</v>
      </c>
      <c r="J538" t="s">
        <v>2054</v>
      </c>
      <c r="K538">
        <v>6</v>
      </c>
      <c r="M538" t="s">
        <v>44</v>
      </c>
      <c r="N538" s="4">
        <v>616.1</v>
      </c>
      <c r="O538" s="19" t="str">
        <f t="shared" si="40"/>
        <v>Jun-2024</v>
      </c>
      <c r="P538">
        <f t="shared" si="41"/>
        <v>2024</v>
      </c>
      <c r="Q538" t="str">
        <f t="shared" si="42"/>
        <v>OK</v>
      </c>
      <c r="R538">
        <v>1</v>
      </c>
      <c r="S538">
        <f t="shared" si="43"/>
        <v>0</v>
      </c>
      <c r="T538">
        <f t="shared" si="44"/>
        <v>1</v>
      </c>
    </row>
    <row r="539" spans="1:20">
      <c r="A539" t="s">
        <v>2055</v>
      </c>
      <c r="B539" s="3">
        <v>45739</v>
      </c>
      <c r="C539" t="s">
        <v>2056</v>
      </c>
      <c r="D539" t="s">
        <v>38</v>
      </c>
      <c r="E539">
        <v>3</v>
      </c>
      <c r="F539" s="4">
        <v>247.47</v>
      </c>
      <c r="G539" t="s">
        <v>303</v>
      </c>
      <c r="H539" t="s">
        <v>33</v>
      </c>
      <c r="I539" t="s">
        <v>56</v>
      </c>
      <c r="J539" t="s">
        <v>2057</v>
      </c>
      <c r="K539">
        <v>4</v>
      </c>
      <c r="L539" t="s">
        <v>27</v>
      </c>
      <c r="M539" t="s">
        <v>51</v>
      </c>
      <c r="N539" s="4">
        <v>742.41</v>
      </c>
      <c r="O539" s="19" t="str">
        <f t="shared" si="40"/>
        <v>Mar-2025</v>
      </c>
      <c r="P539">
        <f t="shared" si="41"/>
        <v>2025</v>
      </c>
      <c r="Q539" t="str">
        <f t="shared" si="42"/>
        <v>OK</v>
      </c>
      <c r="R539">
        <v>1</v>
      </c>
      <c r="S539">
        <f t="shared" si="43"/>
        <v>0</v>
      </c>
      <c r="T539">
        <f t="shared" si="44"/>
        <v>0</v>
      </c>
    </row>
    <row r="540" spans="1:20">
      <c r="A540" t="s">
        <v>2058</v>
      </c>
      <c r="B540" s="3">
        <v>45436</v>
      </c>
      <c r="C540" t="s">
        <v>2059</v>
      </c>
      <c r="D540" t="s">
        <v>31</v>
      </c>
      <c r="E540">
        <v>3</v>
      </c>
      <c r="F540" s="4">
        <v>490.74</v>
      </c>
      <c r="G540" t="s">
        <v>2060</v>
      </c>
      <c r="H540" t="s">
        <v>71</v>
      </c>
      <c r="I540" t="s">
        <v>25</v>
      </c>
      <c r="J540" t="s">
        <v>2061</v>
      </c>
      <c r="K540">
        <v>3</v>
      </c>
      <c r="L540" t="s">
        <v>87</v>
      </c>
      <c r="M540" t="s">
        <v>44</v>
      </c>
      <c r="N540" s="4">
        <v>1472.22</v>
      </c>
      <c r="O540" s="19" t="str">
        <f t="shared" si="40"/>
        <v>May-2024</v>
      </c>
      <c r="P540">
        <f t="shared" si="41"/>
        <v>2024</v>
      </c>
      <c r="Q540" t="str">
        <f t="shared" si="42"/>
        <v>OK</v>
      </c>
      <c r="R540">
        <v>1</v>
      </c>
      <c r="S540">
        <f t="shared" si="43"/>
        <v>0</v>
      </c>
      <c r="T540">
        <f t="shared" si="44"/>
        <v>0</v>
      </c>
    </row>
    <row r="541" spans="1:20">
      <c r="A541" t="s">
        <v>2062</v>
      </c>
      <c r="B541" s="3">
        <v>45706</v>
      </c>
      <c r="C541" t="s">
        <v>2063</v>
      </c>
      <c r="D541" t="s">
        <v>79</v>
      </c>
      <c r="E541">
        <v>3</v>
      </c>
      <c r="F541" s="4">
        <v>531.72</v>
      </c>
      <c r="G541" t="s">
        <v>2064</v>
      </c>
      <c r="H541" t="s">
        <v>66</v>
      </c>
      <c r="I541" t="s">
        <v>56</v>
      </c>
      <c r="J541" t="s">
        <v>2065</v>
      </c>
      <c r="K541">
        <v>7</v>
      </c>
      <c r="L541" t="s">
        <v>27</v>
      </c>
      <c r="M541" t="s">
        <v>82</v>
      </c>
      <c r="N541" s="4">
        <v>1595.16</v>
      </c>
      <c r="O541" s="19" t="str">
        <f t="shared" si="40"/>
        <v>Feb-2025</v>
      </c>
      <c r="P541">
        <f t="shared" si="41"/>
        <v>2025</v>
      </c>
      <c r="Q541" t="str">
        <f t="shared" si="42"/>
        <v>OK</v>
      </c>
      <c r="R541">
        <v>1</v>
      </c>
      <c r="S541">
        <f t="shared" si="43"/>
        <v>0</v>
      </c>
      <c r="T541">
        <f t="shared" si="44"/>
        <v>0</v>
      </c>
    </row>
    <row r="542" spans="1:20">
      <c r="A542" t="s">
        <v>2066</v>
      </c>
      <c r="B542" s="3">
        <v>45320</v>
      </c>
      <c r="C542" t="s">
        <v>2067</v>
      </c>
      <c r="D542" t="s">
        <v>64</v>
      </c>
      <c r="E542">
        <v>5</v>
      </c>
      <c r="F542" s="4">
        <v>648.65</v>
      </c>
      <c r="G542" t="s">
        <v>2068</v>
      </c>
      <c r="H542" t="s">
        <v>33</v>
      </c>
      <c r="I542" t="s">
        <v>95</v>
      </c>
      <c r="J542" t="s">
        <v>2069</v>
      </c>
      <c r="K542">
        <v>7</v>
      </c>
      <c r="M542" t="s">
        <v>35</v>
      </c>
      <c r="N542" s="4">
        <v>3243.25</v>
      </c>
      <c r="O542" s="19" t="str">
        <f t="shared" si="40"/>
        <v>Jan-2024</v>
      </c>
      <c r="P542">
        <f t="shared" si="41"/>
        <v>2024</v>
      </c>
      <c r="Q542" t="str">
        <f t="shared" si="42"/>
        <v>OK</v>
      </c>
      <c r="R542">
        <v>1</v>
      </c>
      <c r="S542">
        <f t="shared" si="43"/>
        <v>0</v>
      </c>
      <c r="T542">
        <f t="shared" si="44"/>
        <v>0</v>
      </c>
    </row>
    <row r="543" spans="1:20">
      <c r="A543" t="s">
        <v>2070</v>
      </c>
      <c r="B543" s="3">
        <v>45145</v>
      </c>
      <c r="C543" t="s">
        <v>2071</v>
      </c>
      <c r="D543" t="s">
        <v>54</v>
      </c>
      <c r="E543">
        <v>5</v>
      </c>
      <c r="F543" s="4">
        <v>456.06</v>
      </c>
      <c r="G543" t="s">
        <v>2072</v>
      </c>
      <c r="H543" t="s">
        <v>71</v>
      </c>
      <c r="I543" t="s">
        <v>95</v>
      </c>
      <c r="J543" t="s">
        <v>2073</v>
      </c>
      <c r="K543">
        <v>10</v>
      </c>
      <c r="M543" t="s">
        <v>28</v>
      </c>
      <c r="N543" s="4">
        <v>2280.3000000000002</v>
      </c>
      <c r="O543" s="19" t="str">
        <f t="shared" si="40"/>
        <v>Aug-2023</v>
      </c>
      <c r="P543">
        <f t="shared" si="41"/>
        <v>2023</v>
      </c>
      <c r="Q543" t="str">
        <f t="shared" si="42"/>
        <v>OK</v>
      </c>
      <c r="R543">
        <v>1</v>
      </c>
      <c r="S543">
        <f t="shared" si="43"/>
        <v>0</v>
      </c>
      <c r="T543">
        <f t="shared" si="44"/>
        <v>0</v>
      </c>
    </row>
    <row r="544" spans="1:20">
      <c r="A544" t="s">
        <v>2074</v>
      </c>
      <c r="B544" s="3">
        <v>45244</v>
      </c>
      <c r="C544" t="s">
        <v>2075</v>
      </c>
      <c r="D544" t="s">
        <v>38</v>
      </c>
      <c r="E544">
        <v>1</v>
      </c>
      <c r="F544" s="4">
        <v>17.98</v>
      </c>
      <c r="G544" t="s">
        <v>60</v>
      </c>
      <c r="H544" t="s">
        <v>71</v>
      </c>
      <c r="I544" t="s">
        <v>41</v>
      </c>
      <c r="J544" t="s">
        <v>2076</v>
      </c>
      <c r="K544">
        <v>6</v>
      </c>
      <c r="L544" t="s">
        <v>43</v>
      </c>
      <c r="M544" t="s">
        <v>44</v>
      </c>
      <c r="N544" s="4">
        <v>17.98</v>
      </c>
      <c r="O544" s="19" t="str">
        <f t="shared" si="40"/>
        <v>Nov-2023</v>
      </c>
      <c r="P544">
        <f t="shared" si="41"/>
        <v>2023</v>
      </c>
      <c r="Q544" t="str">
        <f t="shared" si="42"/>
        <v>OK</v>
      </c>
      <c r="R544">
        <v>1</v>
      </c>
      <c r="S544">
        <f t="shared" si="43"/>
        <v>1</v>
      </c>
      <c r="T544">
        <f t="shared" si="44"/>
        <v>0</v>
      </c>
    </row>
    <row r="545" spans="1:20">
      <c r="A545" t="s">
        <v>2077</v>
      </c>
      <c r="B545" s="3">
        <v>45360</v>
      </c>
      <c r="C545" t="s">
        <v>2078</v>
      </c>
      <c r="D545" t="s">
        <v>79</v>
      </c>
      <c r="E545">
        <v>5</v>
      </c>
      <c r="F545" s="4">
        <v>269.86</v>
      </c>
      <c r="G545" t="s">
        <v>737</v>
      </c>
      <c r="H545" t="s">
        <v>71</v>
      </c>
      <c r="I545" t="s">
        <v>25</v>
      </c>
      <c r="J545" t="s">
        <v>2079</v>
      </c>
      <c r="K545">
        <v>6</v>
      </c>
      <c r="L545" t="s">
        <v>87</v>
      </c>
      <c r="M545" t="s">
        <v>51</v>
      </c>
      <c r="N545" s="4">
        <v>1349.3</v>
      </c>
      <c r="O545" s="19" t="str">
        <f t="shared" si="40"/>
        <v>Mar-2024</v>
      </c>
      <c r="P545">
        <f t="shared" si="41"/>
        <v>2024</v>
      </c>
      <c r="Q545" t="str">
        <f t="shared" si="42"/>
        <v>OK</v>
      </c>
      <c r="R545">
        <v>1</v>
      </c>
      <c r="S545">
        <f t="shared" si="43"/>
        <v>0</v>
      </c>
      <c r="T545">
        <f t="shared" si="44"/>
        <v>0</v>
      </c>
    </row>
    <row r="546" spans="1:20">
      <c r="A546" t="s">
        <v>2080</v>
      </c>
      <c r="B546" s="3">
        <v>45361</v>
      </c>
      <c r="C546" t="s">
        <v>2081</v>
      </c>
      <c r="D546" t="s">
        <v>54</v>
      </c>
      <c r="E546">
        <v>5</v>
      </c>
      <c r="F546" s="4">
        <v>31.96</v>
      </c>
      <c r="G546" t="s">
        <v>1521</v>
      </c>
      <c r="H546" t="s">
        <v>40</v>
      </c>
      <c r="I546" t="s">
        <v>49</v>
      </c>
      <c r="J546" t="s">
        <v>2082</v>
      </c>
      <c r="K546">
        <v>5</v>
      </c>
      <c r="L546" t="s">
        <v>43</v>
      </c>
      <c r="M546" t="s">
        <v>35</v>
      </c>
      <c r="N546" s="4">
        <v>159.80000000000001</v>
      </c>
      <c r="O546" s="19" t="str">
        <f t="shared" si="40"/>
        <v>Mar-2024</v>
      </c>
      <c r="P546">
        <f t="shared" si="41"/>
        <v>2024</v>
      </c>
      <c r="Q546" t="str">
        <f t="shared" si="42"/>
        <v>OK</v>
      </c>
      <c r="R546">
        <v>1</v>
      </c>
      <c r="S546">
        <f t="shared" si="43"/>
        <v>0</v>
      </c>
      <c r="T546">
        <f t="shared" si="44"/>
        <v>1</v>
      </c>
    </row>
    <row r="547" spans="1:20">
      <c r="A547" t="s">
        <v>2083</v>
      </c>
      <c r="B547" s="3">
        <v>45279</v>
      </c>
      <c r="C547" t="s">
        <v>2084</v>
      </c>
      <c r="D547" t="s">
        <v>22</v>
      </c>
      <c r="E547">
        <v>2</v>
      </c>
      <c r="F547" s="4">
        <v>98.47</v>
      </c>
      <c r="G547" t="s">
        <v>2085</v>
      </c>
      <c r="H547" t="s">
        <v>71</v>
      </c>
      <c r="I547" t="s">
        <v>49</v>
      </c>
      <c r="J547" t="s">
        <v>2086</v>
      </c>
      <c r="K547">
        <v>3</v>
      </c>
      <c r="M547" t="s">
        <v>28</v>
      </c>
      <c r="N547" s="4">
        <v>196.94</v>
      </c>
      <c r="O547" s="19" t="str">
        <f t="shared" si="40"/>
        <v>Dec-2023</v>
      </c>
      <c r="P547">
        <f t="shared" si="41"/>
        <v>2023</v>
      </c>
      <c r="Q547" t="str">
        <f t="shared" si="42"/>
        <v>OK</v>
      </c>
      <c r="R547">
        <v>1</v>
      </c>
      <c r="S547">
        <f t="shared" si="43"/>
        <v>0</v>
      </c>
      <c r="T547">
        <f t="shared" si="44"/>
        <v>1</v>
      </c>
    </row>
    <row r="548" spans="1:20">
      <c r="A548" t="s">
        <v>2087</v>
      </c>
      <c r="B548" s="3">
        <v>45352</v>
      </c>
      <c r="C548" t="s">
        <v>2088</v>
      </c>
      <c r="D548" t="s">
        <v>22</v>
      </c>
      <c r="E548">
        <v>1</v>
      </c>
      <c r="F548" s="4">
        <v>158.68</v>
      </c>
      <c r="G548" t="s">
        <v>23</v>
      </c>
      <c r="H548" t="s">
        <v>40</v>
      </c>
      <c r="I548" t="s">
        <v>49</v>
      </c>
      <c r="J548" t="s">
        <v>2089</v>
      </c>
      <c r="K548">
        <v>6</v>
      </c>
      <c r="L548" t="s">
        <v>87</v>
      </c>
      <c r="M548" t="s">
        <v>28</v>
      </c>
      <c r="N548" s="4">
        <v>158.68</v>
      </c>
      <c r="O548" s="19" t="str">
        <f t="shared" si="40"/>
        <v>Mar-2024</v>
      </c>
      <c r="P548">
        <f t="shared" si="41"/>
        <v>2024</v>
      </c>
      <c r="Q548" t="str">
        <f t="shared" si="42"/>
        <v>OK</v>
      </c>
      <c r="R548">
        <v>1</v>
      </c>
      <c r="S548">
        <f t="shared" si="43"/>
        <v>0</v>
      </c>
      <c r="T548">
        <f t="shared" si="44"/>
        <v>1</v>
      </c>
    </row>
    <row r="549" spans="1:20">
      <c r="A549" t="s">
        <v>2090</v>
      </c>
      <c r="B549" s="3">
        <v>45158</v>
      </c>
      <c r="C549" t="s">
        <v>2091</v>
      </c>
      <c r="D549" t="s">
        <v>31</v>
      </c>
      <c r="E549">
        <v>1</v>
      </c>
      <c r="F549" s="4">
        <v>613.98</v>
      </c>
      <c r="G549" t="s">
        <v>2092</v>
      </c>
      <c r="H549" t="s">
        <v>33</v>
      </c>
      <c r="I549" t="s">
        <v>56</v>
      </c>
      <c r="J549" t="s">
        <v>2093</v>
      </c>
      <c r="K549">
        <v>4</v>
      </c>
      <c r="L549" t="s">
        <v>43</v>
      </c>
      <c r="M549" t="s">
        <v>51</v>
      </c>
      <c r="N549" s="4">
        <v>613.98</v>
      </c>
      <c r="O549" s="19" t="str">
        <f t="shared" si="40"/>
        <v>Aug-2023</v>
      </c>
      <c r="P549">
        <f t="shared" si="41"/>
        <v>2023</v>
      </c>
      <c r="Q549" t="str">
        <f t="shared" si="42"/>
        <v>OK</v>
      </c>
      <c r="R549">
        <v>1</v>
      </c>
      <c r="S549">
        <f t="shared" si="43"/>
        <v>0</v>
      </c>
      <c r="T549">
        <f t="shared" si="44"/>
        <v>0</v>
      </c>
    </row>
    <row r="550" spans="1:20">
      <c r="A550" t="s">
        <v>2094</v>
      </c>
      <c r="B550" s="3">
        <v>45296</v>
      </c>
      <c r="C550" t="s">
        <v>2095</v>
      </c>
      <c r="D550" t="s">
        <v>54</v>
      </c>
      <c r="E550">
        <v>3</v>
      </c>
      <c r="F550" s="4">
        <v>426.12</v>
      </c>
      <c r="G550" t="s">
        <v>428</v>
      </c>
      <c r="H550" t="s">
        <v>33</v>
      </c>
      <c r="I550" t="s">
        <v>56</v>
      </c>
      <c r="J550" t="s">
        <v>2096</v>
      </c>
      <c r="K550">
        <v>5</v>
      </c>
      <c r="L550" t="s">
        <v>87</v>
      </c>
      <c r="M550" t="s">
        <v>28</v>
      </c>
      <c r="N550" s="4">
        <v>1278.3599999999999</v>
      </c>
      <c r="O550" s="19" t="str">
        <f t="shared" si="40"/>
        <v>Jan-2024</v>
      </c>
      <c r="P550">
        <f t="shared" si="41"/>
        <v>2024</v>
      </c>
      <c r="Q550" t="str">
        <f t="shared" si="42"/>
        <v>OK</v>
      </c>
      <c r="R550">
        <v>1</v>
      </c>
      <c r="S550">
        <f t="shared" si="43"/>
        <v>0</v>
      </c>
      <c r="T550">
        <f t="shared" si="44"/>
        <v>0</v>
      </c>
    </row>
    <row r="551" spans="1:20">
      <c r="A551" t="s">
        <v>2097</v>
      </c>
      <c r="B551" s="3">
        <v>45713</v>
      </c>
      <c r="C551" t="s">
        <v>2098</v>
      </c>
      <c r="D551" t="s">
        <v>22</v>
      </c>
      <c r="E551">
        <v>4</v>
      </c>
      <c r="F551" s="4">
        <v>629.88</v>
      </c>
      <c r="G551" t="s">
        <v>2099</v>
      </c>
      <c r="H551" t="s">
        <v>24</v>
      </c>
      <c r="I551" t="s">
        <v>41</v>
      </c>
      <c r="J551" t="s">
        <v>2100</v>
      </c>
      <c r="K551">
        <v>8</v>
      </c>
      <c r="L551" t="s">
        <v>87</v>
      </c>
      <c r="M551" t="s">
        <v>28</v>
      </c>
      <c r="N551" s="4">
        <v>2519.52</v>
      </c>
      <c r="O551" s="19" t="str">
        <f t="shared" si="40"/>
        <v>Feb-2025</v>
      </c>
      <c r="P551">
        <f t="shared" si="41"/>
        <v>2025</v>
      </c>
      <c r="Q551" t="str">
        <f t="shared" si="42"/>
        <v>OK</v>
      </c>
      <c r="R551">
        <v>1</v>
      </c>
      <c r="S551">
        <f t="shared" si="43"/>
        <v>1</v>
      </c>
      <c r="T551">
        <f t="shared" si="44"/>
        <v>0</v>
      </c>
    </row>
    <row r="552" spans="1:20">
      <c r="A552" t="s">
        <v>2101</v>
      </c>
      <c r="B552" s="3">
        <v>45228</v>
      </c>
      <c r="C552" t="s">
        <v>2102</v>
      </c>
      <c r="D552" t="s">
        <v>64</v>
      </c>
      <c r="E552">
        <v>4</v>
      </c>
      <c r="F552" s="4">
        <v>228.91</v>
      </c>
      <c r="G552" t="s">
        <v>605</v>
      </c>
      <c r="H552" t="s">
        <v>71</v>
      </c>
      <c r="I552" t="s">
        <v>25</v>
      </c>
      <c r="J552" t="s">
        <v>2103</v>
      </c>
      <c r="K552">
        <v>4</v>
      </c>
      <c r="L552" t="s">
        <v>43</v>
      </c>
      <c r="M552" t="s">
        <v>82</v>
      </c>
      <c r="N552" s="4">
        <v>915.64</v>
      </c>
      <c r="O552" s="19" t="str">
        <f t="shared" si="40"/>
        <v>Oct-2023</v>
      </c>
      <c r="P552">
        <f t="shared" si="41"/>
        <v>2023</v>
      </c>
      <c r="Q552" t="str">
        <f t="shared" si="42"/>
        <v>OK</v>
      </c>
      <c r="R552">
        <v>1</v>
      </c>
      <c r="S552">
        <f t="shared" si="43"/>
        <v>0</v>
      </c>
      <c r="T552">
        <f t="shared" si="44"/>
        <v>0</v>
      </c>
    </row>
    <row r="553" spans="1:20">
      <c r="A553" t="s">
        <v>2104</v>
      </c>
      <c r="B553" s="3">
        <v>45064</v>
      </c>
      <c r="C553" t="s">
        <v>2105</v>
      </c>
      <c r="D553" t="s">
        <v>64</v>
      </c>
      <c r="E553">
        <v>1</v>
      </c>
      <c r="F553" s="4">
        <v>120.98</v>
      </c>
      <c r="G553" t="s">
        <v>543</v>
      </c>
      <c r="H553" t="s">
        <v>24</v>
      </c>
      <c r="I553" t="s">
        <v>56</v>
      </c>
      <c r="J553" t="s">
        <v>2106</v>
      </c>
      <c r="K553">
        <v>6</v>
      </c>
      <c r="L553" t="s">
        <v>87</v>
      </c>
      <c r="M553" t="s">
        <v>44</v>
      </c>
      <c r="N553" s="4">
        <v>120.98</v>
      </c>
      <c r="O553" s="19" t="str">
        <f t="shared" si="40"/>
        <v>May-2023</v>
      </c>
      <c r="P553">
        <f t="shared" si="41"/>
        <v>2023</v>
      </c>
      <c r="Q553" t="str">
        <f t="shared" si="42"/>
        <v>OK</v>
      </c>
      <c r="R553">
        <v>1</v>
      </c>
      <c r="S553">
        <f t="shared" si="43"/>
        <v>0</v>
      </c>
      <c r="T553">
        <f t="shared" si="44"/>
        <v>0</v>
      </c>
    </row>
    <row r="554" spans="1:20">
      <c r="A554" t="s">
        <v>2107</v>
      </c>
      <c r="B554" s="3">
        <v>45199</v>
      </c>
      <c r="C554" t="s">
        <v>2108</v>
      </c>
      <c r="D554" t="s">
        <v>47</v>
      </c>
      <c r="E554">
        <v>4</v>
      </c>
      <c r="F554" s="4">
        <v>425.18</v>
      </c>
      <c r="G554" t="s">
        <v>1962</v>
      </c>
      <c r="H554" t="s">
        <v>33</v>
      </c>
      <c r="I554" t="s">
        <v>49</v>
      </c>
      <c r="J554" t="s">
        <v>2109</v>
      </c>
      <c r="K554">
        <v>8</v>
      </c>
      <c r="L554" t="s">
        <v>87</v>
      </c>
      <c r="M554" t="s">
        <v>51</v>
      </c>
      <c r="N554" s="4">
        <v>1700.72</v>
      </c>
      <c r="O554" s="19" t="str">
        <f t="shared" si="40"/>
        <v>Sep-2023</v>
      </c>
      <c r="P554">
        <f t="shared" si="41"/>
        <v>2023</v>
      </c>
      <c r="Q554" t="str">
        <f t="shared" si="42"/>
        <v>OK</v>
      </c>
      <c r="R554">
        <v>1</v>
      </c>
      <c r="S554">
        <f t="shared" si="43"/>
        <v>0</v>
      </c>
      <c r="T554">
        <f t="shared" si="44"/>
        <v>1</v>
      </c>
    </row>
    <row r="555" spans="1:20">
      <c r="A555" t="s">
        <v>2110</v>
      </c>
      <c r="B555" s="3">
        <v>45161</v>
      </c>
      <c r="C555" t="s">
        <v>2111</v>
      </c>
      <c r="D555" t="s">
        <v>31</v>
      </c>
      <c r="E555">
        <v>2</v>
      </c>
      <c r="F555" s="4">
        <v>333.83</v>
      </c>
      <c r="G555" t="s">
        <v>2112</v>
      </c>
      <c r="H555" t="s">
        <v>66</v>
      </c>
      <c r="I555" t="s">
        <v>41</v>
      </c>
      <c r="J555" t="s">
        <v>2113</v>
      </c>
      <c r="K555">
        <v>4</v>
      </c>
      <c r="L555" t="s">
        <v>43</v>
      </c>
      <c r="M555" t="s">
        <v>35</v>
      </c>
      <c r="N555" s="4">
        <v>667.66</v>
      </c>
      <c r="O555" s="19" t="str">
        <f t="shared" si="40"/>
        <v>Aug-2023</v>
      </c>
      <c r="P555">
        <f t="shared" si="41"/>
        <v>2023</v>
      </c>
      <c r="Q555" t="str">
        <f t="shared" si="42"/>
        <v>OK</v>
      </c>
      <c r="R555">
        <v>1</v>
      </c>
      <c r="S555">
        <f t="shared" si="43"/>
        <v>1</v>
      </c>
      <c r="T555">
        <f t="shared" si="44"/>
        <v>0</v>
      </c>
    </row>
    <row r="556" spans="1:20">
      <c r="A556" t="s">
        <v>2114</v>
      </c>
      <c r="B556" s="3">
        <v>45807</v>
      </c>
      <c r="C556" t="s">
        <v>2115</v>
      </c>
      <c r="D556" t="s">
        <v>64</v>
      </c>
      <c r="E556">
        <v>2</v>
      </c>
      <c r="F556" s="4">
        <v>492.9</v>
      </c>
      <c r="G556" t="s">
        <v>943</v>
      </c>
      <c r="H556" t="s">
        <v>71</v>
      </c>
      <c r="I556" t="s">
        <v>49</v>
      </c>
      <c r="J556" t="s">
        <v>2116</v>
      </c>
      <c r="K556">
        <v>5</v>
      </c>
      <c r="L556" t="s">
        <v>43</v>
      </c>
      <c r="M556" t="s">
        <v>28</v>
      </c>
      <c r="N556" s="4">
        <v>985.8</v>
      </c>
      <c r="O556" s="19" t="str">
        <f t="shared" si="40"/>
        <v>May-2025</v>
      </c>
      <c r="P556">
        <f t="shared" si="41"/>
        <v>2025</v>
      </c>
      <c r="Q556" t="str">
        <f t="shared" si="42"/>
        <v>OK</v>
      </c>
      <c r="R556">
        <v>1</v>
      </c>
      <c r="S556">
        <f t="shared" si="43"/>
        <v>0</v>
      </c>
      <c r="T556">
        <f t="shared" si="44"/>
        <v>1</v>
      </c>
    </row>
    <row r="557" spans="1:20">
      <c r="A557" t="s">
        <v>2117</v>
      </c>
      <c r="B557" s="3">
        <v>44933</v>
      </c>
      <c r="C557" t="s">
        <v>2118</v>
      </c>
      <c r="D557" t="s">
        <v>38</v>
      </c>
      <c r="E557">
        <v>1</v>
      </c>
      <c r="F557" s="4">
        <v>92.04</v>
      </c>
      <c r="G557" t="s">
        <v>85</v>
      </c>
      <c r="H557" t="s">
        <v>71</v>
      </c>
      <c r="I557" t="s">
        <v>25</v>
      </c>
      <c r="J557" t="s">
        <v>2119</v>
      </c>
      <c r="K557">
        <v>2</v>
      </c>
      <c r="M557" t="s">
        <v>51</v>
      </c>
      <c r="N557" s="4">
        <v>92.04</v>
      </c>
      <c r="O557" s="19" t="str">
        <f t="shared" si="40"/>
        <v>Jan-2023</v>
      </c>
      <c r="P557">
        <f t="shared" si="41"/>
        <v>2023</v>
      </c>
      <c r="Q557" t="str">
        <f t="shared" si="42"/>
        <v>OK</v>
      </c>
      <c r="R557">
        <v>1</v>
      </c>
      <c r="S557">
        <f t="shared" si="43"/>
        <v>0</v>
      </c>
      <c r="T557">
        <f t="shared" si="44"/>
        <v>0</v>
      </c>
    </row>
    <row r="558" spans="1:20">
      <c r="A558" t="s">
        <v>2120</v>
      </c>
      <c r="B558" s="3">
        <v>44954</v>
      </c>
      <c r="C558" t="s">
        <v>2121</v>
      </c>
      <c r="D558" t="s">
        <v>64</v>
      </c>
      <c r="E558">
        <v>1</v>
      </c>
      <c r="F558" s="4">
        <v>654.27</v>
      </c>
      <c r="G558" t="s">
        <v>2122</v>
      </c>
      <c r="H558" t="s">
        <v>66</v>
      </c>
      <c r="I558" t="s">
        <v>95</v>
      </c>
      <c r="J558" t="s">
        <v>2123</v>
      </c>
      <c r="K558">
        <v>2</v>
      </c>
      <c r="L558" t="s">
        <v>27</v>
      </c>
      <c r="M558" t="s">
        <v>51</v>
      </c>
      <c r="N558" s="4">
        <v>654.27</v>
      </c>
      <c r="O558" s="19" t="str">
        <f t="shared" si="40"/>
        <v>Jan-2023</v>
      </c>
      <c r="P558">
        <f t="shared" si="41"/>
        <v>2023</v>
      </c>
      <c r="Q558" t="str">
        <f t="shared" si="42"/>
        <v>OK</v>
      </c>
      <c r="R558">
        <v>1</v>
      </c>
      <c r="S558">
        <f t="shared" si="43"/>
        <v>0</v>
      </c>
      <c r="T558">
        <f t="shared" si="44"/>
        <v>0</v>
      </c>
    </row>
    <row r="559" spans="1:20">
      <c r="A559" t="s">
        <v>2124</v>
      </c>
      <c r="B559" s="3">
        <v>45106</v>
      </c>
      <c r="C559" t="s">
        <v>2125</v>
      </c>
      <c r="D559" t="s">
        <v>38</v>
      </c>
      <c r="E559">
        <v>1</v>
      </c>
      <c r="F559" s="4">
        <v>56.2</v>
      </c>
      <c r="G559" t="s">
        <v>2126</v>
      </c>
      <c r="H559" t="s">
        <v>24</v>
      </c>
      <c r="I559" t="s">
        <v>95</v>
      </c>
      <c r="J559" t="s">
        <v>2127</v>
      </c>
      <c r="K559">
        <v>1</v>
      </c>
      <c r="L559" t="s">
        <v>87</v>
      </c>
      <c r="M559" t="s">
        <v>51</v>
      </c>
      <c r="N559" s="4">
        <v>56.2</v>
      </c>
      <c r="O559" s="19" t="str">
        <f t="shared" si="40"/>
        <v>Jun-2023</v>
      </c>
      <c r="P559">
        <f t="shared" si="41"/>
        <v>2023</v>
      </c>
      <c r="Q559" t="str">
        <f t="shared" si="42"/>
        <v>OK</v>
      </c>
      <c r="R559">
        <v>1</v>
      </c>
      <c r="S559">
        <f t="shared" si="43"/>
        <v>0</v>
      </c>
      <c r="T559">
        <f t="shared" si="44"/>
        <v>0</v>
      </c>
    </row>
    <row r="560" spans="1:20">
      <c r="A560" t="s">
        <v>2128</v>
      </c>
      <c r="B560" s="3">
        <v>45489</v>
      </c>
      <c r="C560" t="s">
        <v>2129</v>
      </c>
      <c r="D560" t="s">
        <v>31</v>
      </c>
      <c r="E560">
        <v>4</v>
      </c>
      <c r="F560" s="4">
        <v>628.12</v>
      </c>
      <c r="G560" t="s">
        <v>2130</v>
      </c>
      <c r="H560" t="s">
        <v>33</v>
      </c>
      <c r="I560" t="s">
        <v>56</v>
      </c>
      <c r="J560" t="s">
        <v>2131</v>
      </c>
      <c r="K560">
        <v>6</v>
      </c>
      <c r="L560" t="s">
        <v>87</v>
      </c>
      <c r="M560" t="s">
        <v>28</v>
      </c>
      <c r="N560" s="4">
        <v>2512.48</v>
      </c>
      <c r="O560" s="19" t="str">
        <f t="shared" si="40"/>
        <v>Jul-2024</v>
      </c>
      <c r="P560">
        <f t="shared" si="41"/>
        <v>2024</v>
      </c>
      <c r="Q560" t="str">
        <f t="shared" si="42"/>
        <v>OK</v>
      </c>
      <c r="R560">
        <v>1</v>
      </c>
      <c r="S560">
        <f t="shared" si="43"/>
        <v>0</v>
      </c>
      <c r="T560">
        <f t="shared" si="44"/>
        <v>0</v>
      </c>
    </row>
    <row r="561" spans="1:20">
      <c r="A561" t="s">
        <v>2132</v>
      </c>
      <c r="B561" s="3">
        <v>45397</v>
      </c>
      <c r="C561" t="s">
        <v>2133</v>
      </c>
      <c r="D561" t="s">
        <v>79</v>
      </c>
      <c r="E561">
        <v>3</v>
      </c>
      <c r="F561" s="4">
        <v>157.4</v>
      </c>
      <c r="G561" t="s">
        <v>1918</v>
      </c>
      <c r="H561" t="s">
        <v>24</v>
      </c>
      <c r="I561" t="s">
        <v>41</v>
      </c>
      <c r="J561" t="s">
        <v>2134</v>
      </c>
      <c r="K561">
        <v>7</v>
      </c>
      <c r="L561" t="s">
        <v>87</v>
      </c>
      <c r="M561" t="s">
        <v>44</v>
      </c>
      <c r="N561" s="4">
        <v>472.2</v>
      </c>
      <c r="O561" s="19" t="str">
        <f t="shared" si="40"/>
        <v>Apr-2024</v>
      </c>
      <c r="P561">
        <f t="shared" si="41"/>
        <v>2024</v>
      </c>
      <c r="Q561" t="str">
        <f t="shared" si="42"/>
        <v>OK</v>
      </c>
      <c r="R561">
        <v>1</v>
      </c>
      <c r="S561">
        <f t="shared" si="43"/>
        <v>1</v>
      </c>
      <c r="T561">
        <f t="shared" si="44"/>
        <v>0</v>
      </c>
    </row>
    <row r="562" spans="1:20">
      <c r="A562" t="s">
        <v>2135</v>
      </c>
      <c r="B562" s="3">
        <v>44957</v>
      </c>
      <c r="C562" t="s">
        <v>2136</v>
      </c>
      <c r="D562" t="s">
        <v>22</v>
      </c>
      <c r="E562">
        <v>4</v>
      </c>
      <c r="F562" s="4">
        <v>588.85</v>
      </c>
      <c r="G562" t="s">
        <v>2137</v>
      </c>
      <c r="H562" t="s">
        <v>66</v>
      </c>
      <c r="I562" t="s">
        <v>95</v>
      </c>
      <c r="J562" t="s">
        <v>2138</v>
      </c>
      <c r="K562">
        <v>7</v>
      </c>
      <c r="M562" t="s">
        <v>44</v>
      </c>
      <c r="N562" s="4">
        <v>2355.4</v>
      </c>
      <c r="O562" s="19" t="str">
        <f t="shared" si="40"/>
        <v>Jan-2023</v>
      </c>
      <c r="P562">
        <f t="shared" si="41"/>
        <v>2023</v>
      </c>
      <c r="Q562" t="str">
        <f t="shared" si="42"/>
        <v>OK</v>
      </c>
      <c r="R562">
        <v>1</v>
      </c>
      <c r="S562">
        <f t="shared" si="43"/>
        <v>0</v>
      </c>
      <c r="T562">
        <f t="shared" si="44"/>
        <v>0</v>
      </c>
    </row>
    <row r="563" spans="1:20">
      <c r="A563" t="s">
        <v>2139</v>
      </c>
      <c r="B563" s="3">
        <v>44957</v>
      </c>
      <c r="C563" t="s">
        <v>2140</v>
      </c>
      <c r="D563" t="s">
        <v>54</v>
      </c>
      <c r="E563">
        <v>2</v>
      </c>
      <c r="F563" s="4">
        <v>494.78</v>
      </c>
      <c r="G563" t="s">
        <v>2141</v>
      </c>
      <c r="H563" t="s">
        <v>33</v>
      </c>
      <c r="I563" t="s">
        <v>25</v>
      </c>
      <c r="J563" t="s">
        <v>2142</v>
      </c>
      <c r="K563">
        <v>2</v>
      </c>
      <c r="M563" t="s">
        <v>82</v>
      </c>
      <c r="N563" s="4">
        <v>989.56</v>
      </c>
      <c r="O563" s="19" t="str">
        <f t="shared" si="40"/>
        <v>Jan-2023</v>
      </c>
      <c r="P563">
        <f t="shared" si="41"/>
        <v>2023</v>
      </c>
      <c r="Q563" t="str">
        <f t="shared" si="42"/>
        <v>OK</v>
      </c>
      <c r="R563">
        <v>1</v>
      </c>
      <c r="S563">
        <f t="shared" si="43"/>
        <v>0</v>
      </c>
      <c r="T563">
        <f t="shared" si="44"/>
        <v>0</v>
      </c>
    </row>
    <row r="564" spans="1:20">
      <c r="A564" t="s">
        <v>2143</v>
      </c>
      <c r="B564" s="3">
        <v>45205</v>
      </c>
      <c r="C564" t="s">
        <v>2144</v>
      </c>
      <c r="D564" t="s">
        <v>64</v>
      </c>
      <c r="E564">
        <v>3</v>
      </c>
      <c r="F564" s="4">
        <v>663.93</v>
      </c>
      <c r="G564" t="s">
        <v>428</v>
      </c>
      <c r="H564" t="s">
        <v>66</v>
      </c>
      <c r="I564" t="s">
        <v>49</v>
      </c>
      <c r="J564" t="s">
        <v>2145</v>
      </c>
      <c r="K564">
        <v>6</v>
      </c>
      <c r="L564" t="s">
        <v>43</v>
      </c>
      <c r="M564" t="s">
        <v>44</v>
      </c>
      <c r="N564" s="4">
        <v>1991.79</v>
      </c>
      <c r="O564" s="19" t="str">
        <f t="shared" si="40"/>
        <v>Oct-2023</v>
      </c>
      <c r="P564">
        <f t="shared" si="41"/>
        <v>2023</v>
      </c>
      <c r="Q564" t="str">
        <f t="shared" si="42"/>
        <v>OK</v>
      </c>
      <c r="R564">
        <v>1</v>
      </c>
      <c r="S564">
        <f t="shared" si="43"/>
        <v>0</v>
      </c>
      <c r="T564">
        <f t="shared" si="44"/>
        <v>1</v>
      </c>
    </row>
    <row r="565" spans="1:20">
      <c r="A565" t="s">
        <v>2146</v>
      </c>
      <c r="B565" s="3">
        <v>45272</v>
      </c>
      <c r="C565" t="s">
        <v>2147</v>
      </c>
      <c r="D565" t="s">
        <v>64</v>
      </c>
      <c r="E565">
        <v>1</v>
      </c>
      <c r="F565" s="4">
        <v>132.68</v>
      </c>
      <c r="G565" t="s">
        <v>2148</v>
      </c>
      <c r="H565" t="s">
        <v>24</v>
      </c>
      <c r="I565" t="s">
        <v>49</v>
      </c>
      <c r="J565" t="s">
        <v>2149</v>
      </c>
      <c r="K565">
        <v>1</v>
      </c>
      <c r="L565" t="s">
        <v>27</v>
      </c>
      <c r="M565" t="s">
        <v>35</v>
      </c>
      <c r="N565" s="4">
        <v>132.68</v>
      </c>
      <c r="O565" s="19" t="str">
        <f t="shared" si="40"/>
        <v>Dec-2023</v>
      </c>
      <c r="P565">
        <f t="shared" si="41"/>
        <v>2023</v>
      </c>
      <c r="Q565" t="str">
        <f t="shared" si="42"/>
        <v>OK</v>
      </c>
      <c r="R565">
        <v>1</v>
      </c>
      <c r="S565">
        <f t="shared" si="43"/>
        <v>0</v>
      </c>
      <c r="T565">
        <f t="shared" si="44"/>
        <v>1</v>
      </c>
    </row>
    <row r="566" spans="1:20">
      <c r="A566" t="s">
        <v>2150</v>
      </c>
      <c r="B566" s="3">
        <v>45755</v>
      </c>
      <c r="C566" t="s">
        <v>2151</v>
      </c>
      <c r="D566" t="s">
        <v>79</v>
      </c>
      <c r="E566">
        <v>5</v>
      </c>
      <c r="F566" s="4">
        <v>364.28</v>
      </c>
      <c r="G566" t="s">
        <v>2152</v>
      </c>
      <c r="H566" t="s">
        <v>40</v>
      </c>
      <c r="I566" t="s">
        <v>41</v>
      </c>
      <c r="J566" t="s">
        <v>2153</v>
      </c>
      <c r="K566">
        <v>5</v>
      </c>
      <c r="L566" t="s">
        <v>87</v>
      </c>
      <c r="M566" t="s">
        <v>82</v>
      </c>
      <c r="N566" s="4">
        <v>1821.4</v>
      </c>
      <c r="O566" s="19" t="str">
        <f t="shared" si="40"/>
        <v>Apr-2025</v>
      </c>
      <c r="P566">
        <f t="shared" si="41"/>
        <v>2025</v>
      </c>
      <c r="Q566" t="str">
        <f t="shared" si="42"/>
        <v>OK</v>
      </c>
      <c r="R566">
        <v>1</v>
      </c>
      <c r="S566">
        <f t="shared" si="43"/>
        <v>1</v>
      </c>
      <c r="T566">
        <f t="shared" si="44"/>
        <v>0</v>
      </c>
    </row>
    <row r="567" spans="1:20">
      <c r="A567" t="s">
        <v>2154</v>
      </c>
      <c r="B567" s="3">
        <v>45060</v>
      </c>
      <c r="C567" t="s">
        <v>2155</v>
      </c>
      <c r="D567" t="s">
        <v>38</v>
      </c>
      <c r="E567">
        <v>5</v>
      </c>
      <c r="F567" s="4">
        <v>307.98</v>
      </c>
      <c r="G567" t="s">
        <v>1796</v>
      </c>
      <c r="H567" t="s">
        <v>33</v>
      </c>
      <c r="I567" t="s">
        <v>95</v>
      </c>
      <c r="J567" t="s">
        <v>2156</v>
      </c>
      <c r="K567">
        <v>10</v>
      </c>
      <c r="M567" t="s">
        <v>51</v>
      </c>
      <c r="N567" s="4">
        <v>1539.9</v>
      </c>
      <c r="O567" s="19" t="str">
        <f t="shared" si="40"/>
        <v>May-2023</v>
      </c>
      <c r="P567">
        <f t="shared" si="41"/>
        <v>2023</v>
      </c>
      <c r="Q567" t="str">
        <f t="shared" si="42"/>
        <v>OK</v>
      </c>
      <c r="R567">
        <v>1</v>
      </c>
      <c r="S567">
        <f t="shared" si="43"/>
        <v>0</v>
      </c>
      <c r="T567">
        <f t="shared" si="44"/>
        <v>0</v>
      </c>
    </row>
    <row r="568" spans="1:20">
      <c r="A568" t="s">
        <v>2157</v>
      </c>
      <c r="B568" s="3">
        <v>45400</v>
      </c>
      <c r="C568" t="s">
        <v>2158</v>
      </c>
      <c r="D568" t="s">
        <v>31</v>
      </c>
      <c r="E568">
        <v>4</v>
      </c>
      <c r="F568" s="4">
        <v>162.71</v>
      </c>
      <c r="G568" t="s">
        <v>2159</v>
      </c>
      <c r="H568" t="s">
        <v>71</v>
      </c>
      <c r="I568" t="s">
        <v>41</v>
      </c>
      <c r="J568" t="s">
        <v>2160</v>
      </c>
      <c r="K568">
        <v>7</v>
      </c>
      <c r="L568" t="s">
        <v>43</v>
      </c>
      <c r="M568" t="s">
        <v>44</v>
      </c>
      <c r="N568" s="4">
        <v>650.84</v>
      </c>
      <c r="O568" s="19" t="str">
        <f t="shared" si="40"/>
        <v>Apr-2024</v>
      </c>
      <c r="P568">
        <f t="shared" si="41"/>
        <v>2024</v>
      </c>
      <c r="Q568" t="str">
        <f t="shared" si="42"/>
        <v>OK</v>
      </c>
      <c r="R568">
        <v>1</v>
      </c>
      <c r="S568">
        <f t="shared" si="43"/>
        <v>1</v>
      </c>
      <c r="T568">
        <f t="shared" si="44"/>
        <v>0</v>
      </c>
    </row>
    <row r="569" spans="1:20">
      <c r="A569" t="s">
        <v>2161</v>
      </c>
      <c r="B569" s="3">
        <v>45565</v>
      </c>
      <c r="C569" t="s">
        <v>2162</v>
      </c>
      <c r="D569" t="s">
        <v>47</v>
      </c>
      <c r="E569">
        <v>5</v>
      </c>
      <c r="F569" s="4">
        <v>492.94</v>
      </c>
      <c r="G569" t="s">
        <v>1049</v>
      </c>
      <c r="H569" t="s">
        <v>71</v>
      </c>
      <c r="I569" t="s">
        <v>25</v>
      </c>
      <c r="J569" t="s">
        <v>2163</v>
      </c>
      <c r="K569">
        <v>10</v>
      </c>
      <c r="L569" t="s">
        <v>43</v>
      </c>
      <c r="M569" t="s">
        <v>44</v>
      </c>
      <c r="N569" s="4">
        <v>2464.6999999999998</v>
      </c>
      <c r="O569" s="19" t="str">
        <f t="shared" si="40"/>
        <v>Sep-2024</v>
      </c>
      <c r="P569">
        <f t="shared" si="41"/>
        <v>2024</v>
      </c>
      <c r="Q569" t="str">
        <f t="shared" si="42"/>
        <v>OK</v>
      </c>
      <c r="R569">
        <v>1</v>
      </c>
      <c r="S569">
        <f t="shared" si="43"/>
        <v>0</v>
      </c>
      <c r="T569">
        <f t="shared" si="44"/>
        <v>0</v>
      </c>
    </row>
    <row r="570" spans="1:20">
      <c r="A570" t="s">
        <v>2164</v>
      </c>
      <c r="B570" s="3">
        <v>44995</v>
      </c>
      <c r="C570" t="s">
        <v>2165</v>
      </c>
      <c r="D570" t="s">
        <v>64</v>
      </c>
      <c r="E570">
        <v>2</v>
      </c>
      <c r="F570" s="4">
        <v>343.99</v>
      </c>
      <c r="G570" t="s">
        <v>1437</v>
      </c>
      <c r="H570" t="s">
        <v>33</v>
      </c>
      <c r="I570" t="s">
        <v>56</v>
      </c>
      <c r="J570" t="s">
        <v>2166</v>
      </c>
      <c r="K570">
        <v>4</v>
      </c>
      <c r="M570" t="s">
        <v>82</v>
      </c>
      <c r="N570" s="4">
        <v>687.98</v>
      </c>
      <c r="O570" s="19" t="str">
        <f t="shared" si="40"/>
        <v>Mar-2023</v>
      </c>
      <c r="P570">
        <f t="shared" si="41"/>
        <v>2023</v>
      </c>
      <c r="Q570" t="str">
        <f t="shared" si="42"/>
        <v>OK</v>
      </c>
      <c r="R570">
        <v>1</v>
      </c>
      <c r="S570">
        <f t="shared" si="43"/>
        <v>0</v>
      </c>
      <c r="T570">
        <f t="shared" si="44"/>
        <v>0</v>
      </c>
    </row>
    <row r="571" spans="1:20">
      <c r="A571" t="s">
        <v>2167</v>
      </c>
      <c r="B571" s="3">
        <v>45738</v>
      </c>
      <c r="C571" t="s">
        <v>2168</v>
      </c>
      <c r="D571" t="s">
        <v>79</v>
      </c>
      <c r="E571">
        <v>5</v>
      </c>
      <c r="F571" s="4">
        <v>250.68</v>
      </c>
      <c r="G571" t="s">
        <v>1821</v>
      </c>
      <c r="H571" t="s">
        <v>71</v>
      </c>
      <c r="I571" t="s">
        <v>25</v>
      </c>
      <c r="J571" t="s">
        <v>2169</v>
      </c>
      <c r="K571">
        <v>8</v>
      </c>
      <c r="L571" t="s">
        <v>27</v>
      </c>
      <c r="M571" t="s">
        <v>28</v>
      </c>
      <c r="N571" s="4">
        <v>1253.4000000000001</v>
      </c>
      <c r="O571" s="19" t="str">
        <f t="shared" si="40"/>
        <v>Mar-2025</v>
      </c>
      <c r="P571">
        <f t="shared" si="41"/>
        <v>2025</v>
      </c>
      <c r="Q571" t="str">
        <f t="shared" si="42"/>
        <v>OK</v>
      </c>
      <c r="R571">
        <v>1</v>
      </c>
      <c r="S571">
        <f t="shared" si="43"/>
        <v>0</v>
      </c>
      <c r="T571">
        <f t="shared" si="44"/>
        <v>0</v>
      </c>
    </row>
    <row r="572" spans="1:20">
      <c r="A572" t="s">
        <v>2170</v>
      </c>
      <c r="B572" s="3">
        <v>45653</v>
      </c>
      <c r="C572" t="s">
        <v>2171</v>
      </c>
      <c r="D572" t="s">
        <v>79</v>
      </c>
      <c r="E572">
        <v>2</v>
      </c>
      <c r="F572" s="4">
        <v>362.14</v>
      </c>
      <c r="G572" t="s">
        <v>500</v>
      </c>
      <c r="H572" t="s">
        <v>24</v>
      </c>
      <c r="I572" t="s">
        <v>95</v>
      </c>
      <c r="J572" t="s">
        <v>2172</v>
      </c>
      <c r="K572">
        <v>2</v>
      </c>
      <c r="L572" t="s">
        <v>27</v>
      </c>
      <c r="M572" t="s">
        <v>28</v>
      </c>
      <c r="N572" s="4">
        <v>724.28</v>
      </c>
      <c r="O572" s="19" t="str">
        <f t="shared" si="40"/>
        <v>Dec-2024</v>
      </c>
      <c r="P572">
        <f t="shared" si="41"/>
        <v>2024</v>
      </c>
      <c r="Q572" t="str">
        <f t="shared" si="42"/>
        <v>OK</v>
      </c>
      <c r="R572">
        <v>1</v>
      </c>
      <c r="S572">
        <f t="shared" si="43"/>
        <v>0</v>
      </c>
      <c r="T572">
        <f t="shared" si="44"/>
        <v>0</v>
      </c>
    </row>
    <row r="573" spans="1:20">
      <c r="A573" t="s">
        <v>2173</v>
      </c>
      <c r="B573" s="3">
        <v>45619</v>
      </c>
      <c r="C573" t="s">
        <v>2174</v>
      </c>
      <c r="D573" t="s">
        <v>38</v>
      </c>
      <c r="E573">
        <v>1</v>
      </c>
      <c r="F573" s="4">
        <v>214.08</v>
      </c>
      <c r="G573" t="s">
        <v>1844</v>
      </c>
      <c r="H573" t="s">
        <v>66</v>
      </c>
      <c r="I573" t="s">
        <v>49</v>
      </c>
      <c r="J573" t="s">
        <v>2175</v>
      </c>
      <c r="K573">
        <v>2</v>
      </c>
      <c r="L573" t="s">
        <v>87</v>
      </c>
      <c r="M573" t="s">
        <v>82</v>
      </c>
      <c r="N573" s="4">
        <v>214.08</v>
      </c>
      <c r="O573" s="19" t="str">
        <f t="shared" si="40"/>
        <v>Nov-2024</v>
      </c>
      <c r="P573">
        <f t="shared" si="41"/>
        <v>2024</v>
      </c>
      <c r="Q573" t="str">
        <f t="shared" si="42"/>
        <v>OK</v>
      </c>
      <c r="R573">
        <v>1</v>
      </c>
      <c r="S573">
        <f t="shared" si="43"/>
        <v>0</v>
      </c>
      <c r="T573">
        <f t="shared" si="44"/>
        <v>1</v>
      </c>
    </row>
    <row r="574" spans="1:20">
      <c r="A574" t="s">
        <v>2176</v>
      </c>
      <c r="B574" s="3">
        <v>45241</v>
      </c>
      <c r="C574" t="s">
        <v>2177</v>
      </c>
      <c r="D574" t="s">
        <v>54</v>
      </c>
      <c r="E574">
        <v>1</v>
      </c>
      <c r="F574" s="4">
        <v>70.319999999999993</v>
      </c>
      <c r="G574" t="s">
        <v>1487</v>
      </c>
      <c r="H574" t="s">
        <v>71</v>
      </c>
      <c r="I574" t="s">
        <v>49</v>
      </c>
      <c r="J574" t="s">
        <v>2178</v>
      </c>
      <c r="K574">
        <v>4</v>
      </c>
      <c r="L574" t="s">
        <v>87</v>
      </c>
      <c r="M574" t="s">
        <v>51</v>
      </c>
      <c r="N574" s="4">
        <v>70.319999999999993</v>
      </c>
      <c r="O574" s="19" t="str">
        <f t="shared" si="40"/>
        <v>Nov-2023</v>
      </c>
      <c r="P574">
        <f t="shared" si="41"/>
        <v>2023</v>
      </c>
      <c r="Q574" t="str">
        <f t="shared" si="42"/>
        <v>OK</v>
      </c>
      <c r="R574">
        <v>1</v>
      </c>
      <c r="S574">
        <f t="shared" si="43"/>
        <v>0</v>
      </c>
      <c r="T574">
        <f t="shared" si="44"/>
        <v>1</v>
      </c>
    </row>
    <row r="575" spans="1:20">
      <c r="A575" t="s">
        <v>2179</v>
      </c>
      <c r="B575" s="3">
        <v>44951</v>
      </c>
      <c r="C575" t="s">
        <v>2180</v>
      </c>
      <c r="D575" t="s">
        <v>47</v>
      </c>
      <c r="E575">
        <v>5</v>
      </c>
      <c r="F575" s="4">
        <v>421.42</v>
      </c>
      <c r="G575" t="s">
        <v>472</v>
      </c>
      <c r="H575" t="s">
        <v>24</v>
      </c>
      <c r="I575" t="s">
        <v>41</v>
      </c>
      <c r="J575" t="s">
        <v>2181</v>
      </c>
      <c r="K575">
        <v>7</v>
      </c>
      <c r="M575" t="s">
        <v>28</v>
      </c>
      <c r="N575" s="4">
        <v>2107.1</v>
      </c>
      <c r="O575" s="19" t="str">
        <f t="shared" si="40"/>
        <v>Jan-2023</v>
      </c>
      <c r="P575">
        <f t="shared" si="41"/>
        <v>2023</v>
      </c>
      <c r="Q575" t="str">
        <f t="shared" si="42"/>
        <v>OK</v>
      </c>
      <c r="R575">
        <v>1</v>
      </c>
      <c r="S575">
        <f t="shared" si="43"/>
        <v>1</v>
      </c>
      <c r="T575">
        <f t="shared" si="44"/>
        <v>0</v>
      </c>
    </row>
    <row r="576" spans="1:20">
      <c r="A576" t="s">
        <v>2182</v>
      </c>
      <c r="B576" s="3">
        <v>45315</v>
      </c>
      <c r="C576" t="s">
        <v>2183</v>
      </c>
      <c r="D576" t="s">
        <v>47</v>
      </c>
      <c r="E576">
        <v>5</v>
      </c>
      <c r="F576" s="4">
        <v>384.69</v>
      </c>
      <c r="G576" t="s">
        <v>48</v>
      </c>
      <c r="H576" t="s">
        <v>40</v>
      </c>
      <c r="I576" t="s">
        <v>95</v>
      </c>
      <c r="J576" t="s">
        <v>2184</v>
      </c>
      <c r="K576">
        <v>6</v>
      </c>
      <c r="L576" t="s">
        <v>43</v>
      </c>
      <c r="M576" t="s">
        <v>44</v>
      </c>
      <c r="N576" s="4">
        <v>1923.45</v>
      </c>
      <c r="O576" s="19" t="str">
        <f t="shared" si="40"/>
        <v>Jan-2024</v>
      </c>
      <c r="P576">
        <f t="shared" si="41"/>
        <v>2024</v>
      </c>
      <c r="Q576" t="str">
        <f t="shared" si="42"/>
        <v>OK</v>
      </c>
      <c r="R576">
        <v>1</v>
      </c>
      <c r="S576">
        <f t="shared" si="43"/>
        <v>0</v>
      </c>
      <c r="T576">
        <f t="shared" si="44"/>
        <v>0</v>
      </c>
    </row>
    <row r="577" spans="1:20">
      <c r="A577" t="s">
        <v>2185</v>
      </c>
      <c r="B577" s="3">
        <v>45084</v>
      </c>
      <c r="C577" t="s">
        <v>2186</v>
      </c>
      <c r="D577" t="s">
        <v>47</v>
      </c>
      <c r="E577">
        <v>5</v>
      </c>
      <c r="F577" s="4">
        <v>448.15</v>
      </c>
      <c r="G577" t="s">
        <v>2187</v>
      </c>
      <c r="H577" t="s">
        <v>66</v>
      </c>
      <c r="I577" t="s">
        <v>49</v>
      </c>
      <c r="J577" t="s">
        <v>2188</v>
      </c>
      <c r="K577">
        <v>7</v>
      </c>
      <c r="L577" t="s">
        <v>27</v>
      </c>
      <c r="M577" t="s">
        <v>82</v>
      </c>
      <c r="N577" s="4">
        <v>2240.75</v>
      </c>
      <c r="O577" s="19" t="str">
        <f t="shared" si="40"/>
        <v>Jun-2023</v>
      </c>
      <c r="P577">
        <f t="shared" si="41"/>
        <v>2023</v>
      </c>
      <c r="Q577" t="str">
        <f t="shared" si="42"/>
        <v>OK</v>
      </c>
      <c r="R577">
        <v>1</v>
      </c>
      <c r="S577">
        <f t="shared" si="43"/>
        <v>0</v>
      </c>
      <c r="T577">
        <f t="shared" si="44"/>
        <v>1</v>
      </c>
    </row>
    <row r="578" spans="1:20">
      <c r="A578" t="s">
        <v>2189</v>
      </c>
      <c r="B578" s="3">
        <v>45441</v>
      </c>
      <c r="C578" t="s">
        <v>2190</v>
      </c>
      <c r="D578" t="s">
        <v>64</v>
      </c>
      <c r="E578">
        <v>5</v>
      </c>
      <c r="F578" s="4">
        <v>79.08</v>
      </c>
      <c r="G578" t="s">
        <v>1421</v>
      </c>
      <c r="H578" t="s">
        <v>71</v>
      </c>
      <c r="I578" t="s">
        <v>95</v>
      </c>
      <c r="J578" t="s">
        <v>2191</v>
      </c>
      <c r="K578">
        <v>8</v>
      </c>
      <c r="M578" t="s">
        <v>51</v>
      </c>
      <c r="N578" s="4">
        <v>395.4</v>
      </c>
      <c r="O578" s="19" t="str">
        <f t="shared" ref="O578:O641" si="45">TEXT(B578,"mmm-yyyy")</f>
        <v>May-2024</v>
      </c>
      <c r="P578">
        <f t="shared" ref="P578:P641" si="46">YEAR(B578)</f>
        <v>2024</v>
      </c>
      <c r="Q578" t="str">
        <f t="shared" ref="Q578:Q641" si="47">IF(ABS(N578-(E578*F578))&lt;0.01,"OK","CHECK")</f>
        <v>OK</v>
      </c>
      <c r="R578">
        <v>1</v>
      </c>
      <c r="S578">
        <f t="shared" ref="S578:S641" si="48">IF(I578="Cancelled",1,0)</f>
        <v>0</v>
      </c>
      <c r="T578">
        <f t="shared" ref="T578:T641" si="49">IF(I578="Returned",1,0)</f>
        <v>0</v>
      </c>
    </row>
    <row r="579" spans="1:20">
      <c r="A579" t="s">
        <v>2192</v>
      </c>
      <c r="B579" s="3">
        <v>44948</v>
      </c>
      <c r="C579" t="s">
        <v>2193</v>
      </c>
      <c r="D579" t="s">
        <v>38</v>
      </c>
      <c r="E579">
        <v>4</v>
      </c>
      <c r="F579" s="4">
        <v>185.41</v>
      </c>
      <c r="G579" t="s">
        <v>377</v>
      </c>
      <c r="H579" t="s">
        <v>33</v>
      </c>
      <c r="I579" t="s">
        <v>49</v>
      </c>
      <c r="J579" t="s">
        <v>2194</v>
      </c>
      <c r="K579">
        <v>9</v>
      </c>
      <c r="L579" t="s">
        <v>87</v>
      </c>
      <c r="M579" t="s">
        <v>82</v>
      </c>
      <c r="N579" s="4">
        <v>741.64</v>
      </c>
      <c r="O579" s="19" t="str">
        <f t="shared" si="45"/>
        <v>Jan-2023</v>
      </c>
      <c r="P579">
        <f t="shared" si="46"/>
        <v>2023</v>
      </c>
      <c r="Q579" t="str">
        <f t="shared" si="47"/>
        <v>OK</v>
      </c>
      <c r="R579">
        <v>1</v>
      </c>
      <c r="S579">
        <f t="shared" si="48"/>
        <v>0</v>
      </c>
      <c r="T579">
        <f t="shared" si="49"/>
        <v>1</v>
      </c>
    </row>
    <row r="580" spans="1:20">
      <c r="A580" t="s">
        <v>2195</v>
      </c>
      <c r="B580" s="3">
        <v>45575</v>
      </c>
      <c r="C580" t="s">
        <v>2196</v>
      </c>
      <c r="D580" t="s">
        <v>22</v>
      </c>
      <c r="E580">
        <v>5</v>
      </c>
      <c r="F580" s="4">
        <v>566.07000000000005</v>
      </c>
      <c r="G580" t="s">
        <v>127</v>
      </c>
      <c r="H580" t="s">
        <v>40</v>
      </c>
      <c r="I580" t="s">
        <v>56</v>
      </c>
      <c r="J580" t="s">
        <v>2197</v>
      </c>
      <c r="K580">
        <v>6</v>
      </c>
      <c r="L580" t="s">
        <v>27</v>
      </c>
      <c r="M580" t="s">
        <v>28</v>
      </c>
      <c r="N580" s="4">
        <v>2830.35</v>
      </c>
      <c r="O580" s="19" t="str">
        <f t="shared" si="45"/>
        <v>Oct-2024</v>
      </c>
      <c r="P580">
        <f t="shared" si="46"/>
        <v>2024</v>
      </c>
      <c r="Q580" t="str">
        <f t="shared" si="47"/>
        <v>OK</v>
      </c>
      <c r="R580">
        <v>1</v>
      </c>
      <c r="S580">
        <f t="shared" si="48"/>
        <v>0</v>
      </c>
      <c r="T580">
        <f t="shared" si="49"/>
        <v>0</v>
      </c>
    </row>
    <row r="581" spans="1:20">
      <c r="A581" t="s">
        <v>2198</v>
      </c>
      <c r="B581" s="3">
        <v>45081</v>
      </c>
      <c r="C581" t="s">
        <v>2199</v>
      </c>
      <c r="D581" t="s">
        <v>38</v>
      </c>
      <c r="E581">
        <v>2</v>
      </c>
      <c r="F581" s="4">
        <v>187.88</v>
      </c>
      <c r="G581" t="s">
        <v>1273</v>
      </c>
      <c r="H581" t="s">
        <v>33</v>
      </c>
      <c r="I581" t="s">
        <v>25</v>
      </c>
      <c r="J581" t="s">
        <v>2200</v>
      </c>
      <c r="K581">
        <v>4</v>
      </c>
      <c r="L581" t="s">
        <v>87</v>
      </c>
      <c r="M581" t="s">
        <v>51</v>
      </c>
      <c r="N581" s="4">
        <v>375.76</v>
      </c>
      <c r="O581" s="19" t="str">
        <f t="shared" si="45"/>
        <v>Jun-2023</v>
      </c>
      <c r="P581">
        <f t="shared" si="46"/>
        <v>2023</v>
      </c>
      <c r="Q581" t="str">
        <f t="shared" si="47"/>
        <v>OK</v>
      </c>
      <c r="R581">
        <v>1</v>
      </c>
      <c r="S581">
        <f t="shared" si="48"/>
        <v>0</v>
      </c>
      <c r="T581">
        <f t="shared" si="49"/>
        <v>0</v>
      </c>
    </row>
    <row r="582" spans="1:20">
      <c r="A582" t="s">
        <v>2201</v>
      </c>
      <c r="B582" s="3">
        <v>45244</v>
      </c>
      <c r="C582" t="s">
        <v>2202</v>
      </c>
      <c r="D582" t="s">
        <v>22</v>
      </c>
      <c r="E582">
        <v>2</v>
      </c>
      <c r="F582" s="4">
        <v>255.99</v>
      </c>
      <c r="G582" t="s">
        <v>2203</v>
      </c>
      <c r="H582" t="s">
        <v>40</v>
      </c>
      <c r="I582" t="s">
        <v>56</v>
      </c>
      <c r="J582" t="s">
        <v>2204</v>
      </c>
      <c r="K582">
        <v>4</v>
      </c>
      <c r="L582" t="s">
        <v>27</v>
      </c>
      <c r="M582" t="s">
        <v>28</v>
      </c>
      <c r="N582" s="4">
        <v>511.98</v>
      </c>
      <c r="O582" s="19" t="str">
        <f t="shared" si="45"/>
        <v>Nov-2023</v>
      </c>
      <c r="P582">
        <f t="shared" si="46"/>
        <v>2023</v>
      </c>
      <c r="Q582" t="str">
        <f t="shared" si="47"/>
        <v>OK</v>
      </c>
      <c r="R582">
        <v>1</v>
      </c>
      <c r="S582">
        <f t="shared" si="48"/>
        <v>0</v>
      </c>
      <c r="T582">
        <f t="shared" si="49"/>
        <v>0</v>
      </c>
    </row>
    <row r="583" spans="1:20">
      <c r="A583" t="s">
        <v>2205</v>
      </c>
      <c r="B583" s="3">
        <v>45607</v>
      </c>
      <c r="C583" t="s">
        <v>2206</v>
      </c>
      <c r="D583" t="s">
        <v>64</v>
      </c>
      <c r="E583">
        <v>1</v>
      </c>
      <c r="F583" s="4">
        <v>627.34</v>
      </c>
      <c r="G583" t="s">
        <v>107</v>
      </c>
      <c r="H583" t="s">
        <v>33</v>
      </c>
      <c r="I583" t="s">
        <v>56</v>
      </c>
      <c r="J583" t="s">
        <v>2207</v>
      </c>
      <c r="K583">
        <v>1</v>
      </c>
      <c r="M583" t="s">
        <v>35</v>
      </c>
      <c r="N583" s="4">
        <v>627.34</v>
      </c>
      <c r="O583" s="19" t="str">
        <f t="shared" si="45"/>
        <v>Nov-2024</v>
      </c>
      <c r="P583">
        <f t="shared" si="46"/>
        <v>2024</v>
      </c>
      <c r="Q583" t="str">
        <f t="shared" si="47"/>
        <v>OK</v>
      </c>
      <c r="R583">
        <v>1</v>
      </c>
      <c r="S583">
        <f t="shared" si="48"/>
        <v>0</v>
      </c>
      <c r="T583">
        <f t="shared" si="49"/>
        <v>0</v>
      </c>
    </row>
    <row r="584" spans="1:20">
      <c r="A584" t="s">
        <v>2208</v>
      </c>
      <c r="B584" s="3">
        <v>45341</v>
      </c>
      <c r="C584" t="s">
        <v>2209</v>
      </c>
      <c r="D584" t="s">
        <v>38</v>
      </c>
      <c r="E584">
        <v>3</v>
      </c>
      <c r="F584" s="4">
        <v>474.14</v>
      </c>
      <c r="G584" t="s">
        <v>1531</v>
      </c>
      <c r="H584" t="s">
        <v>66</v>
      </c>
      <c r="I584" t="s">
        <v>25</v>
      </c>
      <c r="J584" t="s">
        <v>2210</v>
      </c>
      <c r="K584">
        <v>8</v>
      </c>
      <c r="L584" t="s">
        <v>87</v>
      </c>
      <c r="M584" t="s">
        <v>82</v>
      </c>
      <c r="N584" s="4">
        <v>1422.42</v>
      </c>
      <c r="O584" s="19" t="str">
        <f t="shared" si="45"/>
        <v>Feb-2024</v>
      </c>
      <c r="P584">
        <f t="shared" si="46"/>
        <v>2024</v>
      </c>
      <c r="Q584" t="str">
        <f t="shared" si="47"/>
        <v>OK</v>
      </c>
      <c r="R584">
        <v>1</v>
      </c>
      <c r="S584">
        <f t="shared" si="48"/>
        <v>0</v>
      </c>
      <c r="T584">
        <f t="shared" si="49"/>
        <v>0</v>
      </c>
    </row>
    <row r="585" spans="1:20">
      <c r="A585" t="s">
        <v>2211</v>
      </c>
      <c r="B585" s="3">
        <v>45823</v>
      </c>
      <c r="C585" t="s">
        <v>2212</v>
      </c>
      <c r="D585" t="s">
        <v>47</v>
      </c>
      <c r="E585">
        <v>3</v>
      </c>
      <c r="F585" s="4">
        <v>154.37</v>
      </c>
      <c r="G585" t="s">
        <v>171</v>
      </c>
      <c r="H585" t="s">
        <v>66</v>
      </c>
      <c r="I585" t="s">
        <v>56</v>
      </c>
      <c r="J585" t="s">
        <v>2213</v>
      </c>
      <c r="K585">
        <v>4</v>
      </c>
      <c r="M585" t="s">
        <v>28</v>
      </c>
      <c r="N585" s="4">
        <v>463.11</v>
      </c>
      <c r="O585" s="19" t="str">
        <f t="shared" si="45"/>
        <v>Jun-2025</v>
      </c>
      <c r="P585">
        <f t="shared" si="46"/>
        <v>2025</v>
      </c>
      <c r="Q585" t="str">
        <f t="shared" si="47"/>
        <v>OK</v>
      </c>
      <c r="R585">
        <v>1</v>
      </c>
      <c r="S585">
        <f t="shared" si="48"/>
        <v>0</v>
      </c>
      <c r="T585">
        <f t="shared" si="49"/>
        <v>0</v>
      </c>
    </row>
    <row r="586" spans="1:20">
      <c r="A586" t="s">
        <v>2214</v>
      </c>
      <c r="B586" s="3">
        <v>45737</v>
      </c>
      <c r="C586" t="s">
        <v>2215</v>
      </c>
      <c r="D586" t="s">
        <v>47</v>
      </c>
      <c r="E586">
        <v>4</v>
      </c>
      <c r="F586" s="4">
        <v>145.05000000000001</v>
      </c>
      <c r="G586" t="s">
        <v>2216</v>
      </c>
      <c r="H586" t="s">
        <v>33</v>
      </c>
      <c r="I586" t="s">
        <v>56</v>
      </c>
      <c r="J586" t="s">
        <v>2217</v>
      </c>
      <c r="K586">
        <v>6</v>
      </c>
      <c r="L586" t="s">
        <v>27</v>
      </c>
      <c r="M586" t="s">
        <v>82</v>
      </c>
      <c r="N586" s="4">
        <v>580.20000000000005</v>
      </c>
      <c r="O586" s="19" t="str">
        <f t="shared" si="45"/>
        <v>Mar-2025</v>
      </c>
      <c r="P586">
        <f t="shared" si="46"/>
        <v>2025</v>
      </c>
      <c r="Q586" t="str">
        <f t="shared" si="47"/>
        <v>OK</v>
      </c>
      <c r="R586">
        <v>1</v>
      </c>
      <c r="S586">
        <f t="shared" si="48"/>
        <v>0</v>
      </c>
      <c r="T586">
        <f t="shared" si="49"/>
        <v>0</v>
      </c>
    </row>
    <row r="587" spans="1:20">
      <c r="A587" t="s">
        <v>2218</v>
      </c>
      <c r="B587" s="3">
        <v>45158</v>
      </c>
      <c r="C587" t="s">
        <v>2219</v>
      </c>
      <c r="D587" t="s">
        <v>38</v>
      </c>
      <c r="E587">
        <v>4</v>
      </c>
      <c r="F587" s="4">
        <v>67.08</v>
      </c>
      <c r="G587" t="s">
        <v>1414</v>
      </c>
      <c r="H587" t="s">
        <v>71</v>
      </c>
      <c r="I587" t="s">
        <v>49</v>
      </c>
      <c r="J587" t="s">
        <v>2220</v>
      </c>
      <c r="K587">
        <v>8</v>
      </c>
      <c r="L587" t="s">
        <v>87</v>
      </c>
      <c r="M587" t="s">
        <v>82</v>
      </c>
      <c r="N587" s="4">
        <v>268.32</v>
      </c>
      <c r="O587" s="19" t="str">
        <f t="shared" si="45"/>
        <v>Aug-2023</v>
      </c>
      <c r="P587">
        <f t="shared" si="46"/>
        <v>2023</v>
      </c>
      <c r="Q587" t="str">
        <f t="shared" si="47"/>
        <v>OK</v>
      </c>
      <c r="R587">
        <v>1</v>
      </c>
      <c r="S587">
        <f t="shared" si="48"/>
        <v>0</v>
      </c>
      <c r="T587">
        <f t="shared" si="49"/>
        <v>1</v>
      </c>
    </row>
    <row r="588" spans="1:20">
      <c r="A588" t="s">
        <v>2221</v>
      </c>
      <c r="B588" s="3">
        <v>45606</v>
      </c>
      <c r="C588" t="s">
        <v>2222</v>
      </c>
      <c r="D588" t="s">
        <v>22</v>
      </c>
      <c r="E588">
        <v>1</v>
      </c>
      <c r="F588" s="4">
        <v>522.08000000000004</v>
      </c>
      <c r="G588" t="s">
        <v>2223</v>
      </c>
      <c r="H588" t="s">
        <v>66</v>
      </c>
      <c r="I588" t="s">
        <v>49</v>
      </c>
      <c r="J588" t="s">
        <v>2224</v>
      </c>
      <c r="K588">
        <v>5</v>
      </c>
      <c r="L588" t="s">
        <v>43</v>
      </c>
      <c r="M588" t="s">
        <v>35</v>
      </c>
      <c r="N588" s="4">
        <v>522.08000000000004</v>
      </c>
      <c r="O588" s="19" t="str">
        <f t="shared" si="45"/>
        <v>Nov-2024</v>
      </c>
      <c r="P588">
        <f t="shared" si="46"/>
        <v>2024</v>
      </c>
      <c r="Q588" t="str">
        <f t="shared" si="47"/>
        <v>OK</v>
      </c>
      <c r="R588">
        <v>1</v>
      </c>
      <c r="S588">
        <f t="shared" si="48"/>
        <v>0</v>
      </c>
      <c r="T588">
        <f t="shared" si="49"/>
        <v>1</v>
      </c>
    </row>
    <row r="589" spans="1:20">
      <c r="A589" t="s">
        <v>2225</v>
      </c>
      <c r="B589" s="3">
        <v>45089</v>
      </c>
      <c r="C589" t="s">
        <v>2226</v>
      </c>
      <c r="D589" t="s">
        <v>22</v>
      </c>
      <c r="E589">
        <v>5</v>
      </c>
      <c r="F589" s="4">
        <v>514.6</v>
      </c>
      <c r="G589" t="s">
        <v>2227</v>
      </c>
      <c r="H589" t="s">
        <v>66</v>
      </c>
      <c r="I589" t="s">
        <v>56</v>
      </c>
      <c r="J589" t="s">
        <v>2228</v>
      </c>
      <c r="K589">
        <v>10</v>
      </c>
      <c r="L589" t="s">
        <v>43</v>
      </c>
      <c r="M589" t="s">
        <v>28</v>
      </c>
      <c r="N589" s="4">
        <v>2573</v>
      </c>
      <c r="O589" s="19" t="str">
        <f t="shared" si="45"/>
        <v>Jun-2023</v>
      </c>
      <c r="P589">
        <f t="shared" si="46"/>
        <v>2023</v>
      </c>
      <c r="Q589" t="str">
        <f t="shared" si="47"/>
        <v>OK</v>
      </c>
      <c r="R589">
        <v>1</v>
      </c>
      <c r="S589">
        <f t="shared" si="48"/>
        <v>0</v>
      </c>
      <c r="T589">
        <f t="shared" si="49"/>
        <v>0</v>
      </c>
    </row>
    <row r="590" spans="1:20">
      <c r="A590" t="s">
        <v>2229</v>
      </c>
      <c r="B590" s="3">
        <v>45636</v>
      </c>
      <c r="C590" t="s">
        <v>2230</v>
      </c>
      <c r="D590" t="s">
        <v>22</v>
      </c>
      <c r="E590">
        <v>4</v>
      </c>
      <c r="F590" s="4">
        <v>577.82000000000005</v>
      </c>
      <c r="G590" t="s">
        <v>279</v>
      </c>
      <c r="H590" t="s">
        <v>40</v>
      </c>
      <c r="I590" t="s">
        <v>56</v>
      </c>
      <c r="J590" t="s">
        <v>2231</v>
      </c>
      <c r="K590">
        <v>9</v>
      </c>
      <c r="M590" t="s">
        <v>82</v>
      </c>
      <c r="N590" s="4">
        <v>2311.2800000000002</v>
      </c>
      <c r="O590" s="19" t="str">
        <f t="shared" si="45"/>
        <v>Dec-2024</v>
      </c>
      <c r="P590">
        <f t="shared" si="46"/>
        <v>2024</v>
      </c>
      <c r="Q590" t="str">
        <f t="shared" si="47"/>
        <v>OK</v>
      </c>
      <c r="R590">
        <v>1</v>
      </c>
      <c r="S590">
        <f t="shared" si="48"/>
        <v>0</v>
      </c>
      <c r="T590">
        <f t="shared" si="49"/>
        <v>0</v>
      </c>
    </row>
    <row r="591" spans="1:20">
      <c r="A591" t="s">
        <v>2232</v>
      </c>
      <c r="B591" s="3">
        <v>45698</v>
      </c>
      <c r="C591" t="s">
        <v>2233</v>
      </c>
      <c r="D591" t="s">
        <v>64</v>
      </c>
      <c r="E591">
        <v>2</v>
      </c>
      <c r="F591" s="4">
        <v>500.8</v>
      </c>
      <c r="G591" t="s">
        <v>2234</v>
      </c>
      <c r="H591" t="s">
        <v>71</v>
      </c>
      <c r="I591" t="s">
        <v>56</v>
      </c>
      <c r="J591" t="s">
        <v>2235</v>
      </c>
      <c r="K591">
        <v>3</v>
      </c>
      <c r="L591" t="s">
        <v>43</v>
      </c>
      <c r="M591" t="s">
        <v>35</v>
      </c>
      <c r="N591" s="4">
        <v>1001.6</v>
      </c>
      <c r="O591" s="19" t="str">
        <f t="shared" si="45"/>
        <v>Feb-2025</v>
      </c>
      <c r="P591">
        <f t="shared" si="46"/>
        <v>2025</v>
      </c>
      <c r="Q591" t="str">
        <f t="shared" si="47"/>
        <v>OK</v>
      </c>
      <c r="R591">
        <v>1</v>
      </c>
      <c r="S591">
        <f t="shared" si="48"/>
        <v>0</v>
      </c>
      <c r="T591">
        <f t="shared" si="49"/>
        <v>0</v>
      </c>
    </row>
    <row r="592" spans="1:20">
      <c r="A592" t="s">
        <v>2236</v>
      </c>
      <c r="B592" s="3">
        <v>45179</v>
      </c>
      <c r="C592" t="s">
        <v>2237</v>
      </c>
      <c r="D592" t="s">
        <v>54</v>
      </c>
      <c r="E592">
        <v>2</v>
      </c>
      <c r="F592" s="4">
        <v>461.13</v>
      </c>
      <c r="G592" t="s">
        <v>2238</v>
      </c>
      <c r="H592" t="s">
        <v>66</v>
      </c>
      <c r="I592" t="s">
        <v>49</v>
      </c>
      <c r="J592" t="s">
        <v>2239</v>
      </c>
      <c r="K592">
        <v>4</v>
      </c>
      <c r="M592" t="s">
        <v>44</v>
      </c>
      <c r="N592" s="4">
        <v>922.26</v>
      </c>
      <c r="O592" s="19" t="str">
        <f t="shared" si="45"/>
        <v>Sep-2023</v>
      </c>
      <c r="P592">
        <f t="shared" si="46"/>
        <v>2023</v>
      </c>
      <c r="Q592" t="str">
        <f t="shared" si="47"/>
        <v>OK</v>
      </c>
      <c r="R592">
        <v>1</v>
      </c>
      <c r="S592">
        <f t="shared" si="48"/>
        <v>0</v>
      </c>
      <c r="T592">
        <f t="shared" si="49"/>
        <v>1</v>
      </c>
    </row>
    <row r="593" spans="1:20">
      <c r="A593" t="s">
        <v>2240</v>
      </c>
      <c r="B593" s="3">
        <v>45614</v>
      </c>
      <c r="C593" t="s">
        <v>2241</v>
      </c>
      <c r="D593" t="s">
        <v>64</v>
      </c>
      <c r="E593">
        <v>1</v>
      </c>
      <c r="F593" s="4">
        <v>605.28</v>
      </c>
      <c r="G593" t="s">
        <v>2242</v>
      </c>
      <c r="H593" t="s">
        <v>66</v>
      </c>
      <c r="I593" t="s">
        <v>25</v>
      </c>
      <c r="J593" t="s">
        <v>2243</v>
      </c>
      <c r="K593">
        <v>3</v>
      </c>
      <c r="L593" t="s">
        <v>43</v>
      </c>
      <c r="M593" t="s">
        <v>35</v>
      </c>
      <c r="N593" s="4">
        <v>605.28</v>
      </c>
      <c r="O593" s="19" t="str">
        <f t="shared" si="45"/>
        <v>Nov-2024</v>
      </c>
      <c r="P593">
        <f t="shared" si="46"/>
        <v>2024</v>
      </c>
      <c r="Q593" t="str">
        <f t="shared" si="47"/>
        <v>OK</v>
      </c>
      <c r="R593">
        <v>1</v>
      </c>
      <c r="S593">
        <f t="shared" si="48"/>
        <v>0</v>
      </c>
      <c r="T593">
        <f t="shared" si="49"/>
        <v>0</v>
      </c>
    </row>
    <row r="594" spans="1:20">
      <c r="A594" t="s">
        <v>2244</v>
      </c>
      <c r="B594" s="3">
        <v>45405</v>
      </c>
      <c r="C594" t="s">
        <v>2245</v>
      </c>
      <c r="D594" t="s">
        <v>31</v>
      </c>
      <c r="E594">
        <v>3</v>
      </c>
      <c r="F594" s="4">
        <v>204.27</v>
      </c>
      <c r="G594" t="s">
        <v>2027</v>
      </c>
      <c r="H594" t="s">
        <v>33</v>
      </c>
      <c r="I594" t="s">
        <v>49</v>
      </c>
      <c r="J594" t="s">
        <v>2246</v>
      </c>
      <c r="K594">
        <v>4</v>
      </c>
      <c r="M594" t="s">
        <v>82</v>
      </c>
      <c r="N594" s="4">
        <v>612.81000000000006</v>
      </c>
      <c r="O594" s="19" t="str">
        <f t="shared" si="45"/>
        <v>Apr-2024</v>
      </c>
      <c r="P594">
        <f t="shared" si="46"/>
        <v>2024</v>
      </c>
      <c r="Q594" t="str">
        <f t="shared" si="47"/>
        <v>OK</v>
      </c>
      <c r="R594">
        <v>1</v>
      </c>
      <c r="S594">
        <f t="shared" si="48"/>
        <v>0</v>
      </c>
      <c r="T594">
        <f t="shared" si="49"/>
        <v>1</v>
      </c>
    </row>
    <row r="595" spans="1:20">
      <c r="A595" t="s">
        <v>2247</v>
      </c>
      <c r="B595" s="3">
        <v>45140</v>
      </c>
      <c r="C595" t="s">
        <v>2248</v>
      </c>
      <c r="D595" t="s">
        <v>22</v>
      </c>
      <c r="E595">
        <v>1</v>
      </c>
      <c r="F595" s="4">
        <v>489.8</v>
      </c>
      <c r="G595" t="s">
        <v>571</v>
      </c>
      <c r="H595" t="s">
        <v>66</v>
      </c>
      <c r="I595" t="s">
        <v>25</v>
      </c>
      <c r="J595" t="s">
        <v>2249</v>
      </c>
      <c r="K595">
        <v>4</v>
      </c>
      <c r="L595" t="s">
        <v>43</v>
      </c>
      <c r="M595" t="s">
        <v>51</v>
      </c>
      <c r="N595" s="4">
        <v>489.8</v>
      </c>
      <c r="O595" s="19" t="str">
        <f t="shared" si="45"/>
        <v>Aug-2023</v>
      </c>
      <c r="P595">
        <f t="shared" si="46"/>
        <v>2023</v>
      </c>
      <c r="Q595" t="str">
        <f t="shared" si="47"/>
        <v>OK</v>
      </c>
      <c r="R595">
        <v>1</v>
      </c>
      <c r="S595">
        <f t="shared" si="48"/>
        <v>0</v>
      </c>
      <c r="T595">
        <f t="shared" si="49"/>
        <v>0</v>
      </c>
    </row>
    <row r="596" spans="1:20">
      <c r="A596" t="s">
        <v>2250</v>
      </c>
      <c r="B596" s="3">
        <v>45343</v>
      </c>
      <c r="C596" t="s">
        <v>2251</v>
      </c>
      <c r="D596" t="s">
        <v>31</v>
      </c>
      <c r="E596">
        <v>5</v>
      </c>
      <c r="F596" s="4">
        <v>72.64</v>
      </c>
      <c r="G596" t="s">
        <v>586</v>
      </c>
      <c r="H596" t="s">
        <v>40</v>
      </c>
      <c r="I596" t="s">
        <v>41</v>
      </c>
      <c r="J596" t="s">
        <v>2252</v>
      </c>
      <c r="K596">
        <v>7</v>
      </c>
      <c r="M596" t="s">
        <v>44</v>
      </c>
      <c r="N596" s="4">
        <v>363.2</v>
      </c>
      <c r="O596" s="19" t="str">
        <f t="shared" si="45"/>
        <v>Feb-2024</v>
      </c>
      <c r="P596">
        <f t="shared" si="46"/>
        <v>2024</v>
      </c>
      <c r="Q596" t="str">
        <f t="shared" si="47"/>
        <v>OK</v>
      </c>
      <c r="R596">
        <v>1</v>
      </c>
      <c r="S596">
        <f t="shared" si="48"/>
        <v>1</v>
      </c>
      <c r="T596">
        <f t="shared" si="49"/>
        <v>0</v>
      </c>
    </row>
    <row r="597" spans="1:20">
      <c r="A597" t="s">
        <v>2253</v>
      </c>
      <c r="B597" s="3">
        <v>45667</v>
      </c>
      <c r="C597" t="s">
        <v>2254</v>
      </c>
      <c r="D597" t="s">
        <v>54</v>
      </c>
      <c r="E597">
        <v>2</v>
      </c>
      <c r="F597" s="4">
        <v>385.16</v>
      </c>
      <c r="G597" t="s">
        <v>2255</v>
      </c>
      <c r="H597" t="s">
        <v>33</v>
      </c>
      <c r="I597" t="s">
        <v>95</v>
      </c>
      <c r="J597" t="s">
        <v>2256</v>
      </c>
      <c r="K597">
        <v>7</v>
      </c>
      <c r="L597" t="s">
        <v>27</v>
      </c>
      <c r="M597" t="s">
        <v>44</v>
      </c>
      <c r="N597" s="4">
        <v>770.32</v>
      </c>
      <c r="O597" s="19" t="str">
        <f t="shared" si="45"/>
        <v>Jan-2025</v>
      </c>
      <c r="P597">
        <f t="shared" si="46"/>
        <v>2025</v>
      </c>
      <c r="Q597" t="str">
        <f t="shared" si="47"/>
        <v>OK</v>
      </c>
      <c r="R597">
        <v>1</v>
      </c>
      <c r="S597">
        <f t="shared" si="48"/>
        <v>0</v>
      </c>
      <c r="T597">
        <f t="shared" si="49"/>
        <v>0</v>
      </c>
    </row>
    <row r="598" spans="1:20">
      <c r="A598" t="s">
        <v>2257</v>
      </c>
      <c r="B598" s="3">
        <v>45089</v>
      </c>
      <c r="C598" t="s">
        <v>2258</v>
      </c>
      <c r="D598" t="s">
        <v>79</v>
      </c>
      <c r="E598">
        <v>3</v>
      </c>
      <c r="F598" s="4">
        <v>606.41</v>
      </c>
      <c r="G598" t="s">
        <v>2259</v>
      </c>
      <c r="H598" t="s">
        <v>24</v>
      </c>
      <c r="I598" t="s">
        <v>49</v>
      </c>
      <c r="J598" t="s">
        <v>2260</v>
      </c>
      <c r="K598">
        <v>7</v>
      </c>
      <c r="L598" t="s">
        <v>43</v>
      </c>
      <c r="M598" t="s">
        <v>51</v>
      </c>
      <c r="N598" s="4">
        <v>1819.23</v>
      </c>
      <c r="O598" s="19" t="str">
        <f t="shared" si="45"/>
        <v>Jun-2023</v>
      </c>
      <c r="P598">
        <f t="shared" si="46"/>
        <v>2023</v>
      </c>
      <c r="Q598" t="str">
        <f t="shared" si="47"/>
        <v>OK</v>
      </c>
      <c r="R598">
        <v>1</v>
      </c>
      <c r="S598">
        <f t="shared" si="48"/>
        <v>0</v>
      </c>
      <c r="T598">
        <f t="shared" si="49"/>
        <v>1</v>
      </c>
    </row>
    <row r="599" spans="1:20">
      <c r="A599" t="s">
        <v>2261</v>
      </c>
      <c r="B599" s="3">
        <v>45621</v>
      </c>
      <c r="C599" t="s">
        <v>2262</v>
      </c>
      <c r="D599" t="s">
        <v>79</v>
      </c>
      <c r="E599">
        <v>2</v>
      </c>
      <c r="F599" s="4">
        <v>211.82</v>
      </c>
      <c r="G599" t="s">
        <v>2263</v>
      </c>
      <c r="H599" t="s">
        <v>66</v>
      </c>
      <c r="I599" t="s">
        <v>41</v>
      </c>
      <c r="J599" t="s">
        <v>2264</v>
      </c>
      <c r="K599">
        <v>4</v>
      </c>
      <c r="L599" t="s">
        <v>87</v>
      </c>
      <c r="M599" t="s">
        <v>44</v>
      </c>
      <c r="N599" s="4">
        <v>423.64</v>
      </c>
      <c r="O599" s="19" t="str">
        <f t="shared" si="45"/>
        <v>Nov-2024</v>
      </c>
      <c r="P599">
        <f t="shared" si="46"/>
        <v>2024</v>
      </c>
      <c r="Q599" t="str">
        <f t="shared" si="47"/>
        <v>OK</v>
      </c>
      <c r="R599">
        <v>1</v>
      </c>
      <c r="S599">
        <f t="shared" si="48"/>
        <v>1</v>
      </c>
      <c r="T599">
        <f t="shared" si="49"/>
        <v>0</v>
      </c>
    </row>
    <row r="600" spans="1:20">
      <c r="A600" t="s">
        <v>2265</v>
      </c>
      <c r="B600" s="3">
        <v>45408</v>
      </c>
      <c r="C600" t="s">
        <v>2266</v>
      </c>
      <c r="D600" t="s">
        <v>79</v>
      </c>
      <c r="E600">
        <v>5</v>
      </c>
      <c r="F600" s="4">
        <v>495.35</v>
      </c>
      <c r="G600" t="s">
        <v>1350</v>
      </c>
      <c r="H600" t="s">
        <v>40</v>
      </c>
      <c r="I600" t="s">
        <v>95</v>
      </c>
      <c r="J600" t="s">
        <v>2267</v>
      </c>
      <c r="K600">
        <v>5</v>
      </c>
      <c r="M600" t="s">
        <v>51</v>
      </c>
      <c r="N600" s="4">
        <v>2476.75</v>
      </c>
      <c r="O600" s="19" t="str">
        <f t="shared" si="45"/>
        <v>Apr-2024</v>
      </c>
      <c r="P600">
        <f t="shared" si="46"/>
        <v>2024</v>
      </c>
      <c r="Q600" t="str">
        <f t="shared" si="47"/>
        <v>OK</v>
      </c>
      <c r="R600">
        <v>1</v>
      </c>
      <c r="S600">
        <f t="shared" si="48"/>
        <v>0</v>
      </c>
      <c r="T600">
        <f t="shared" si="49"/>
        <v>0</v>
      </c>
    </row>
    <row r="601" spans="1:20">
      <c r="A601" t="s">
        <v>2268</v>
      </c>
      <c r="B601" s="3">
        <v>45107</v>
      </c>
      <c r="C601" t="s">
        <v>2269</v>
      </c>
      <c r="D601" t="s">
        <v>47</v>
      </c>
      <c r="E601">
        <v>3</v>
      </c>
      <c r="F601" s="4">
        <v>556.99</v>
      </c>
      <c r="G601" t="s">
        <v>1615</v>
      </c>
      <c r="H601" t="s">
        <v>33</v>
      </c>
      <c r="I601" t="s">
        <v>41</v>
      </c>
      <c r="J601" t="s">
        <v>2270</v>
      </c>
      <c r="K601">
        <v>4</v>
      </c>
      <c r="L601" t="s">
        <v>43</v>
      </c>
      <c r="M601" t="s">
        <v>51</v>
      </c>
      <c r="N601" s="4">
        <v>1670.97</v>
      </c>
      <c r="O601" s="19" t="str">
        <f t="shared" si="45"/>
        <v>Jun-2023</v>
      </c>
      <c r="P601">
        <f t="shared" si="46"/>
        <v>2023</v>
      </c>
      <c r="Q601" t="str">
        <f t="shared" si="47"/>
        <v>OK</v>
      </c>
      <c r="R601">
        <v>1</v>
      </c>
      <c r="S601">
        <f t="shared" si="48"/>
        <v>1</v>
      </c>
      <c r="T601">
        <f t="shared" si="49"/>
        <v>0</v>
      </c>
    </row>
    <row r="602" spans="1:20">
      <c r="A602" t="s">
        <v>2271</v>
      </c>
      <c r="B602" s="3">
        <v>45072</v>
      </c>
      <c r="C602" t="s">
        <v>2272</v>
      </c>
      <c r="D602" t="s">
        <v>54</v>
      </c>
      <c r="E602">
        <v>1</v>
      </c>
      <c r="F602" s="4">
        <v>72.31</v>
      </c>
      <c r="G602" t="s">
        <v>1053</v>
      </c>
      <c r="H602" t="s">
        <v>66</v>
      </c>
      <c r="I602" t="s">
        <v>41</v>
      </c>
      <c r="J602" t="s">
        <v>2273</v>
      </c>
      <c r="K602">
        <v>1</v>
      </c>
      <c r="L602" t="s">
        <v>43</v>
      </c>
      <c r="M602" t="s">
        <v>51</v>
      </c>
      <c r="N602" s="4">
        <v>72.31</v>
      </c>
      <c r="O602" s="19" t="str">
        <f t="shared" si="45"/>
        <v>May-2023</v>
      </c>
      <c r="P602">
        <f t="shared" si="46"/>
        <v>2023</v>
      </c>
      <c r="Q602" t="str">
        <f t="shared" si="47"/>
        <v>OK</v>
      </c>
      <c r="R602">
        <v>1</v>
      </c>
      <c r="S602">
        <f t="shared" si="48"/>
        <v>1</v>
      </c>
      <c r="T602">
        <f t="shared" si="49"/>
        <v>0</v>
      </c>
    </row>
    <row r="603" spans="1:20">
      <c r="A603" t="s">
        <v>2274</v>
      </c>
      <c r="B603" s="3">
        <v>45201</v>
      </c>
      <c r="C603" t="s">
        <v>2275</v>
      </c>
      <c r="D603" t="s">
        <v>22</v>
      </c>
      <c r="E603">
        <v>5</v>
      </c>
      <c r="F603" s="4">
        <v>24.82</v>
      </c>
      <c r="G603" t="s">
        <v>2276</v>
      </c>
      <c r="H603" t="s">
        <v>40</v>
      </c>
      <c r="I603" t="s">
        <v>25</v>
      </c>
      <c r="J603" t="s">
        <v>2277</v>
      </c>
      <c r="K603">
        <v>10</v>
      </c>
      <c r="M603" t="s">
        <v>35</v>
      </c>
      <c r="N603" s="4">
        <v>124.1</v>
      </c>
      <c r="O603" s="19" t="str">
        <f t="shared" si="45"/>
        <v>Oct-2023</v>
      </c>
      <c r="P603">
        <f t="shared" si="46"/>
        <v>2023</v>
      </c>
      <c r="Q603" t="str">
        <f t="shared" si="47"/>
        <v>OK</v>
      </c>
      <c r="R603">
        <v>1</v>
      </c>
      <c r="S603">
        <f t="shared" si="48"/>
        <v>0</v>
      </c>
      <c r="T603">
        <f t="shared" si="49"/>
        <v>0</v>
      </c>
    </row>
    <row r="604" spans="1:20">
      <c r="A604" t="s">
        <v>2278</v>
      </c>
      <c r="B604" s="3">
        <v>45356</v>
      </c>
      <c r="C604" t="s">
        <v>1864</v>
      </c>
      <c r="D604" t="s">
        <v>38</v>
      </c>
      <c r="E604">
        <v>4</v>
      </c>
      <c r="F604" s="4">
        <v>26.04</v>
      </c>
      <c r="G604" t="s">
        <v>1868</v>
      </c>
      <c r="H604" t="s">
        <v>33</v>
      </c>
      <c r="I604" t="s">
        <v>95</v>
      </c>
      <c r="J604" t="s">
        <v>2279</v>
      </c>
      <c r="K604">
        <v>5</v>
      </c>
      <c r="L604" t="s">
        <v>27</v>
      </c>
      <c r="M604" t="s">
        <v>28</v>
      </c>
      <c r="N604" s="4">
        <v>104.16</v>
      </c>
      <c r="O604" s="19" t="str">
        <f t="shared" si="45"/>
        <v>Mar-2024</v>
      </c>
      <c r="P604">
        <f t="shared" si="46"/>
        <v>2024</v>
      </c>
      <c r="Q604" t="str">
        <f t="shared" si="47"/>
        <v>OK</v>
      </c>
      <c r="R604">
        <v>1</v>
      </c>
      <c r="S604">
        <f t="shared" si="48"/>
        <v>0</v>
      </c>
      <c r="T604">
        <f t="shared" si="49"/>
        <v>0</v>
      </c>
    </row>
    <row r="605" spans="1:20">
      <c r="A605" t="s">
        <v>2280</v>
      </c>
      <c r="B605" s="3">
        <v>45569</v>
      </c>
      <c r="C605" t="s">
        <v>2281</v>
      </c>
      <c r="D605" t="s">
        <v>38</v>
      </c>
      <c r="E605">
        <v>1</v>
      </c>
      <c r="F605" s="4">
        <v>657.07</v>
      </c>
      <c r="G605" t="s">
        <v>2282</v>
      </c>
      <c r="H605" t="s">
        <v>71</v>
      </c>
      <c r="I605" t="s">
        <v>95</v>
      </c>
      <c r="J605" t="s">
        <v>2283</v>
      </c>
      <c r="K605">
        <v>4</v>
      </c>
      <c r="L605" t="s">
        <v>27</v>
      </c>
      <c r="M605" t="s">
        <v>82</v>
      </c>
      <c r="N605" s="4">
        <v>657.07</v>
      </c>
      <c r="O605" s="19" t="str">
        <f t="shared" si="45"/>
        <v>Oct-2024</v>
      </c>
      <c r="P605">
        <f t="shared" si="46"/>
        <v>2024</v>
      </c>
      <c r="Q605" t="str">
        <f t="shared" si="47"/>
        <v>OK</v>
      </c>
      <c r="R605">
        <v>1</v>
      </c>
      <c r="S605">
        <f t="shared" si="48"/>
        <v>0</v>
      </c>
      <c r="T605">
        <f t="shared" si="49"/>
        <v>0</v>
      </c>
    </row>
    <row r="606" spans="1:20">
      <c r="A606" t="s">
        <v>2284</v>
      </c>
      <c r="B606" s="3">
        <v>45830</v>
      </c>
      <c r="C606" t="s">
        <v>2285</v>
      </c>
      <c r="D606" t="s">
        <v>47</v>
      </c>
      <c r="E606">
        <v>3</v>
      </c>
      <c r="F606" s="4">
        <v>32.619999999999997</v>
      </c>
      <c r="G606" t="s">
        <v>1189</v>
      </c>
      <c r="H606" t="s">
        <v>24</v>
      </c>
      <c r="I606" t="s">
        <v>56</v>
      </c>
      <c r="J606" t="s">
        <v>2286</v>
      </c>
      <c r="K606">
        <v>6</v>
      </c>
      <c r="M606" t="s">
        <v>51</v>
      </c>
      <c r="N606" s="4">
        <v>97.859999999999985</v>
      </c>
      <c r="O606" s="19" t="str">
        <f t="shared" si="45"/>
        <v>Jun-2025</v>
      </c>
      <c r="P606">
        <f t="shared" si="46"/>
        <v>2025</v>
      </c>
      <c r="Q606" t="str">
        <f t="shared" si="47"/>
        <v>OK</v>
      </c>
      <c r="R606">
        <v>1</v>
      </c>
      <c r="S606">
        <f t="shared" si="48"/>
        <v>0</v>
      </c>
      <c r="T606">
        <f t="shared" si="49"/>
        <v>0</v>
      </c>
    </row>
    <row r="607" spans="1:20">
      <c r="A607" t="s">
        <v>2287</v>
      </c>
      <c r="B607" s="3">
        <v>45422</v>
      </c>
      <c r="C607" t="s">
        <v>2288</v>
      </c>
      <c r="D607" t="s">
        <v>22</v>
      </c>
      <c r="E607">
        <v>2</v>
      </c>
      <c r="F607" s="4">
        <v>228.91</v>
      </c>
      <c r="G607" t="s">
        <v>2289</v>
      </c>
      <c r="H607" t="s">
        <v>24</v>
      </c>
      <c r="I607" t="s">
        <v>25</v>
      </c>
      <c r="J607" t="s">
        <v>2290</v>
      </c>
      <c r="K607">
        <v>4</v>
      </c>
      <c r="L607" t="s">
        <v>27</v>
      </c>
      <c r="M607" t="s">
        <v>35</v>
      </c>
      <c r="N607" s="4">
        <v>457.82</v>
      </c>
      <c r="O607" s="19" t="str">
        <f t="shared" si="45"/>
        <v>May-2024</v>
      </c>
      <c r="P607">
        <f t="shared" si="46"/>
        <v>2024</v>
      </c>
      <c r="Q607" t="str">
        <f t="shared" si="47"/>
        <v>OK</v>
      </c>
      <c r="R607">
        <v>1</v>
      </c>
      <c r="S607">
        <f t="shared" si="48"/>
        <v>0</v>
      </c>
      <c r="T607">
        <f t="shared" si="49"/>
        <v>0</v>
      </c>
    </row>
    <row r="608" spans="1:20">
      <c r="A608" t="s">
        <v>2291</v>
      </c>
      <c r="B608" s="3">
        <v>45602</v>
      </c>
      <c r="C608" t="s">
        <v>2292</v>
      </c>
      <c r="D608" t="s">
        <v>64</v>
      </c>
      <c r="E608">
        <v>3</v>
      </c>
      <c r="F608" s="4">
        <v>274.75</v>
      </c>
      <c r="G608" t="s">
        <v>962</v>
      </c>
      <c r="H608" t="s">
        <v>71</v>
      </c>
      <c r="I608" t="s">
        <v>41</v>
      </c>
      <c r="J608" t="s">
        <v>2293</v>
      </c>
      <c r="K608">
        <v>3</v>
      </c>
      <c r="L608" t="s">
        <v>27</v>
      </c>
      <c r="M608" t="s">
        <v>82</v>
      </c>
      <c r="N608" s="4">
        <v>824.25</v>
      </c>
      <c r="O608" s="19" t="str">
        <f t="shared" si="45"/>
        <v>Nov-2024</v>
      </c>
      <c r="P608">
        <f t="shared" si="46"/>
        <v>2024</v>
      </c>
      <c r="Q608" t="str">
        <f t="shared" si="47"/>
        <v>OK</v>
      </c>
      <c r="R608">
        <v>1</v>
      </c>
      <c r="S608">
        <f t="shared" si="48"/>
        <v>1</v>
      </c>
      <c r="T608">
        <f t="shared" si="49"/>
        <v>0</v>
      </c>
    </row>
    <row r="609" spans="1:20">
      <c r="A609" t="s">
        <v>2294</v>
      </c>
      <c r="B609" s="3">
        <v>45808</v>
      </c>
      <c r="C609" t="s">
        <v>2295</v>
      </c>
      <c r="D609" t="s">
        <v>54</v>
      </c>
      <c r="E609">
        <v>4</v>
      </c>
      <c r="F609" s="4">
        <v>634.04999999999995</v>
      </c>
      <c r="G609" t="s">
        <v>2296</v>
      </c>
      <c r="H609" t="s">
        <v>71</v>
      </c>
      <c r="I609" t="s">
        <v>25</v>
      </c>
      <c r="J609" t="s">
        <v>2297</v>
      </c>
      <c r="K609">
        <v>6</v>
      </c>
      <c r="L609" t="s">
        <v>27</v>
      </c>
      <c r="M609" t="s">
        <v>82</v>
      </c>
      <c r="N609" s="4">
        <v>2536.1999999999998</v>
      </c>
      <c r="O609" s="19" t="str">
        <f t="shared" si="45"/>
        <v>May-2025</v>
      </c>
      <c r="P609">
        <f t="shared" si="46"/>
        <v>2025</v>
      </c>
      <c r="Q609" t="str">
        <f t="shared" si="47"/>
        <v>OK</v>
      </c>
      <c r="R609">
        <v>1</v>
      </c>
      <c r="S609">
        <f t="shared" si="48"/>
        <v>0</v>
      </c>
      <c r="T609">
        <f t="shared" si="49"/>
        <v>0</v>
      </c>
    </row>
    <row r="610" spans="1:20">
      <c r="A610" t="s">
        <v>2298</v>
      </c>
      <c r="B610" s="3">
        <v>45497</v>
      </c>
      <c r="C610" t="s">
        <v>2299</v>
      </c>
      <c r="D610" t="s">
        <v>64</v>
      </c>
      <c r="E610">
        <v>5</v>
      </c>
      <c r="F610" s="4">
        <v>543.16</v>
      </c>
      <c r="G610" t="s">
        <v>2300</v>
      </c>
      <c r="H610" t="s">
        <v>33</v>
      </c>
      <c r="I610" t="s">
        <v>41</v>
      </c>
      <c r="J610" t="s">
        <v>2301</v>
      </c>
      <c r="K610">
        <v>6</v>
      </c>
      <c r="L610" t="s">
        <v>27</v>
      </c>
      <c r="M610" t="s">
        <v>28</v>
      </c>
      <c r="N610" s="4">
        <v>2715.8</v>
      </c>
      <c r="O610" s="19" t="str">
        <f t="shared" si="45"/>
        <v>Jul-2024</v>
      </c>
      <c r="P610">
        <f t="shared" si="46"/>
        <v>2024</v>
      </c>
      <c r="Q610" t="str">
        <f t="shared" si="47"/>
        <v>OK</v>
      </c>
      <c r="R610">
        <v>1</v>
      </c>
      <c r="S610">
        <f t="shared" si="48"/>
        <v>1</v>
      </c>
      <c r="T610">
        <f t="shared" si="49"/>
        <v>0</v>
      </c>
    </row>
    <row r="611" spans="1:20">
      <c r="A611" t="s">
        <v>2302</v>
      </c>
      <c r="B611" s="3">
        <v>45684</v>
      </c>
      <c r="C611" t="s">
        <v>2303</v>
      </c>
      <c r="D611" t="s">
        <v>47</v>
      </c>
      <c r="E611">
        <v>3</v>
      </c>
      <c r="F611" s="4">
        <v>449.13</v>
      </c>
      <c r="G611" t="s">
        <v>2304</v>
      </c>
      <c r="H611" t="s">
        <v>71</v>
      </c>
      <c r="I611" t="s">
        <v>49</v>
      </c>
      <c r="J611" t="s">
        <v>2305</v>
      </c>
      <c r="K611">
        <v>5</v>
      </c>
      <c r="L611" t="s">
        <v>87</v>
      </c>
      <c r="M611" t="s">
        <v>35</v>
      </c>
      <c r="N611" s="4">
        <v>1347.39</v>
      </c>
      <c r="O611" s="19" t="str">
        <f t="shared" si="45"/>
        <v>Jan-2025</v>
      </c>
      <c r="P611">
        <f t="shared" si="46"/>
        <v>2025</v>
      </c>
      <c r="Q611" t="str">
        <f t="shared" si="47"/>
        <v>OK</v>
      </c>
      <c r="R611">
        <v>1</v>
      </c>
      <c r="S611">
        <f t="shared" si="48"/>
        <v>0</v>
      </c>
      <c r="T611">
        <f t="shared" si="49"/>
        <v>1</v>
      </c>
    </row>
    <row r="612" spans="1:20">
      <c r="A612" t="s">
        <v>2306</v>
      </c>
      <c r="B612" s="3">
        <v>45459</v>
      </c>
      <c r="C612" t="s">
        <v>2307</v>
      </c>
      <c r="D612" t="s">
        <v>79</v>
      </c>
      <c r="E612">
        <v>5</v>
      </c>
      <c r="F612" s="4">
        <v>389.62</v>
      </c>
      <c r="G612" t="s">
        <v>259</v>
      </c>
      <c r="H612" t="s">
        <v>71</v>
      </c>
      <c r="I612" t="s">
        <v>49</v>
      </c>
      <c r="J612" t="s">
        <v>2308</v>
      </c>
      <c r="K612">
        <v>7</v>
      </c>
      <c r="L612" t="s">
        <v>43</v>
      </c>
      <c r="M612" t="s">
        <v>51</v>
      </c>
      <c r="N612" s="4">
        <v>1948.1</v>
      </c>
      <c r="O612" s="19" t="str">
        <f t="shared" si="45"/>
        <v>Jun-2024</v>
      </c>
      <c r="P612">
        <f t="shared" si="46"/>
        <v>2024</v>
      </c>
      <c r="Q612" t="str">
        <f t="shared" si="47"/>
        <v>OK</v>
      </c>
      <c r="R612">
        <v>1</v>
      </c>
      <c r="S612">
        <f t="shared" si="48"/>
        <v>0</v>
      </c>
      <c r="T612">
        <f t="shared" si="49"/>
        <v>1</v>
      </c>
    </row>
    <row r="613" spans="1:20">
      <c r="A613" t="s">
        <v>2309</v>
      </c>
      <c r="B613" s="3">
        <v>45037</v>
      </c>
      <c r="C613" t="s">
        <v>2310</v>
      </c>
      <c r="D613" t="s">
        <v>79</v>
      </c>
      <c r="E613">
        <v>1</v>
      </c>
      <c r="F613" s="4">
        <v>305.17</v>
      </c>
      <c r="G613" t="s">
        <v>2263</v>
      </c>
      <c r="H613" t="s">
        <v>66</v>
      </c>
      <c r="I613" t="s">
        <v>49</v>
      </c>
      <c r="J613" t="s">
        <v>2311</v>
      </c>
      <c r="K613">
        <v>3</v>
      </c>
      <c r="L613" t="s">
        <v>87</v>
      </c>
      <c r="M613" t="s">
        <v>35</v>
      </c>
      <c r="N613" s="4">
        <v>305.17</v>
      </c>
      <c r="O613" s="19" t="str">
        <f t="shared" si="45"/>
        <v>Apr-2023</v>
      </c>
      <c r="P613">
        <f t="shared" si="46"/>
        <v>2023</v>
      </c>
      <c r="Q613" t="str">
        <f t="shared" si="47"/>
        <v>OK</v>
      </c>
      <c r="R613">
        <v>1</v>
      </c>
      <c r="S613">
        <f t="shared" si="48"/>
        <v>0</v>
      </c>
      <c r="T613">
        <f t="shared" si="49"/>
        <v>1</v>
      </c>
    </row>
    <row r="614" spans="1:20">
      <c r="A614" t="s">
        <v>2312</v>
      </c>
      <c r="B614" s="3">
        <v>45079</v>
      </c>
      <c r="C614" t="s">
        <v>2313</v>
      </c>
      <c r="D614" t="s">
        <v>47</v>
      </c>
      <c r="E614">
        <v>3</v>
      </c>
      <c r="F614" s="4">
        <v>445.12</v>
      </c>
      <c r="G614" t="s">
        <v>1266</v>
      </c>
      <c r="H614" t="s">
        <v>66</v>
      </c>
      <c r="I614" t="s">
        <v>41</v>
      </c>
      <c r="J614" t="s">
        <v>2314</v>
      </c>
      <c r="K614">
        <v>8</v>
      </c>
      <c r="M614" t="s">
        <v>82</v>
      </c>
      <c r="N614" s="4">
        <v>1335.36</v>
      </c>
      <c r="O614" s="19" t="str">
        <f t="shared" si="45"/>
        <v>Jun-2023</v>
      </c>
      <c r="P614">
        <f t="shared" si="46"/>
        <v>2023</v>
      </c>
      <c r="Q614" t="str">
        <f t="shared" si="47"/>
        <v>OK</v>
      </c>
      <c r="R614">
        <v>1</v>
      </c>
      <c r="S614">
        <f t="shared" si="48"/>
        <v>1</v>
      </c>
      <c r="T614">
        <f t="shared" si="49"/>
        <v>0</v>
      </c>
    </row>
    <row r="615" spans="1:20">
      <c r="A615" t="s">
        <v>2315</v>
      </c>
      <c r="B615" s="3">
        <v>45645</v>
      </c>
      <c r="C615" t="s">
        <v>2316</v>
      </c>
      <c r="D615" t="s">
        <v>64</v>
      </c>
      <c r="E615">
        <v>2</v>
      </c>
      <c r="F615" s="4">
        <v>230.36</v>
      </c>
      <c r="G615" t="s">
        <v>2317</v>
      </c>
      <c r="H615" t="s">
        <v>33</v>
      </c>
      <c r="I615" t="s">
        <v>49</v>
      </c>
      <c r="J615" t="s">
        <v>2318</v>
      </c>
      <c r="K615">
        <v>4</v>
      </c>
      <c r="L615" t="s">
        <v>87</v>
      </c>
      <c r="M615" t="s">
        <v>44</v>
      </c>
      <c r="N615" s="4">
        <v>460.72</v>
      </c>
      <c r="O615" s="19" t="str">
        <f t="shared" si="45"/>
        <v>Dec-2024</v>
      </c>
      <c r="P615">
        <f t="shared" si="46"/>
        <v>2024</v>
      </c>
      <c r="Q615" t="str">
        <f t="shared" si="47"/>
        <v>OK</v>
      </c>
      <c r="R615">
        <v>1</v>
      </c>
      <c r="S615">
        <f t="shared" si="48"/>
        <v>0</v>
      </c>
      <c r="T615">
        <f t="shared" si="49"/>
        <v>1</v>
      </c>
    </row>
    <row r="616" spans="1:20">
      <c r="A616" t="s">
        <v>2319</v>
      </c>
      <c r="B616" s="3">
        <v>45359</v>
      </c>
      <c r="C616" t="s">
        <v>2320</v>
      </c>
      <c r="D616" t="s">
        <v>31</v>
      </c>
      <c r="E616">
        <v>1</v>
      </c>
      <c r="F616" s="4">
        <v>96.81</v>
      </c>
      <c r="G616" t="s">
        <v>512</v>
      </c>
      <c r="H616" t="s">
        <v>66</v>
      </c>
      <c r="I616" t="s">
        <v>41</v>
      </c>
      <c r="J616" t="s">
        <v>2321</v>
      </c>
      <c r="K616">
        <v>3</v>
      </c>
      <c r="M616" t="s">
        <v>35</v>
      </c>
      <c r="N616" s="4">
        <v>96.81</v>
      </c>
      <c r="O616" s="19" t="str">
        <f t="shared" si="45"/>
        <v>Mar-2024</v>
      </c>
      <c r="P616">
        <f t="shared" si="46"/>
        <v>2024</v>
      </c>
      <c r="Q616" t="str">
        <f t="shared" si="47"/>
        <v>OK</v>
      </c>
      <c r="R616">
        <v>1</v>
      </c>
      <c r="S616">
        <f t="shared" si="48"/>
        <v>1</v>
      </c>
      <c r="T616">
        <f t="shared" si="49"/>
        <v>0</v>
      </c>
    </row>
    <row r="617" spans="1:20">
      <c r="A617" t="s">
        <v>2322</v>
      </c>
      <c r="B617" s="3">
        <v>45723</v>
      </c>
      <c r="C617" t="s">
        <v>2323</v>
      </c>
      <c r="D617" t="s">
        <v>22</v>
      </c>
      <c r="E617">
        <v>5</v>
      </c>
      <c r="F617" s="4">
        <v>460.14</v>
      </c>
      <c r="G617" t="s">
        <v>1189</v>
      </c>
      <c r="H617" t="s">
        <v>40</v>
      </c>
      <c r="I617" t="s">
        <v>49</v>
      </c>
      <c r="J617" t="s">
        <v>2324</v>
      </c>
      <c r="K617">
        <v>10</v>
      </c>
      <c r="L617" t="s">
        <v>87</v>
      </c>
      <c r="M617" t="s">
        <v>51</v>
      </c>
      <c r="N617" s="4">
        <v>2300.6999999999998</v>
      </c>
      <c r="O617" s="19" t="str">
        <f t="shared" si="45"/>
        <v>Mar-2025</v>
      </c>
      <c r="P617">
        <f t="shared" si="46"/>
        <v>2025</v>
      </c>
      <c r="Q617" t="str">
        <f t="shared" si="47"/>
        <v>OK</v>
      </c>
      <c r="R617">
        <v>1</v>
      </c>
      <c r="S617">
        <f t="shared" si="48"/>
        <v>0</v>
      </c>
      <c r="T617">
        <f t="shared" si="49"/>
        <v>1</v>
      </c>
    </row>
    <row r="618" spans="1:20">
      <c r="A618" t="s">
        <v>2325</v>
      </c>
      <c r="B618" s="3">
        <v>45582</v>
      </c>
      <c r="C618" t="s">
        <v>2326</v>
      </c>
      <c r="D618" t="s">
        <v>38</v>
      </c>
      <c r="E618">
        <v>3</v>
      </c>
      <c r="F618" s="4">
        <v>601.6</v>
      </c>
      <c r="G618" t="s">
        <v>2327</v>
      </c>
      <c r="H618" t="s">
        <v>40</v>
      </c>
      <c r="I618" t="s">
        <v>41</v>
      </c>
      <c r="J618" t="s">
        <v>2328</v>
      </c>
      <c r="K618">
        <v>7</v>
      </c>
      <c r="L618" t="s">
        <v>27</v>
      </c>
      <c r="M618" t="s">
        <v>51</v>
      </c>
      <c r="N618" s="4">
        <v>1804.8</v>
      </c>
      <c r="O618" s="19" t="str">
        <f t="shared" si="45"/>
        <v>Oct-2024</v>
      </c>
      <c r="P618">
        <f t="shared" si="46"/>
        <v>2024</v>
      </c>
      <c r="Q618" t="str">
        <f t="shared" si="47"/>
        <v>OK</v>
      </c>
      <c r="R618">
        <v>1</v>
      </c>
      <c r="S618">
        <f t="shared" si="48"/>
        <v>1</v>
      </c>
      <c r="T618">
        <f t="shared" si="49"/>
        <v>0</v>
      </c>
    </row>
    <row r="619" spans="1:20">
      <c r="A619" t="s">
        <v>2329</v>
      </c>
      <c r="B619" s="3">
        <v>45330</v>
      </c>
      <c r="C619" t="s">
        <v>2330</v>
      </c>
      <c r="D619" t="s">
        <v>38</v>
      </c>
      <c r="E619">
        <v>3</v>
      </c>
      <c r="F619" s="4">
        <v>184.47</v>
      </c>
      <c r="G619" t="s">
        <v>2331</v>
      </c>
      <c r="H619" t="s">
        <v>33</v>
      </c>
      <c r="I619" t="s">
        <v>41</v>
      </c>
      <c r="J619" t="s">
        <v>2332</v>
      </c>
      <c r="K619">
        <v>4</v>
      </c>
      <c r="M619" t="s">
        <v>35</v>
      </c>
      <c r="N619" s="4">
        <v>553.41</v>
      </c>
      <c r="O619" s="19" t="str">
        <f t="shared" si="45"/>
        <v>Feb-2024</v>
      </c>
      <c r="P619">
        <f t="shared" si="46"/>
        <v>2024</v>
      </c>
      <c r="Q619" t="str">
        <f t="shared" si="47"/>
        <v>OK</v>
      </c>
      <c r="R619">
        <v>1</v>
      </c>
      <c r="S619">
        <f t="shared" si="48"/>
        <v>1</v>
      </c>
      <c r="T619">
        <f t="shared" si="49"/>
        <v>0</v>
      </c>
    </row>
    <row r="620" spans="1:20">
      <c r="A620" t="s">
        <v>2333</v>
      </c>
      <c r="B620" s="3">
        <v>45538</v>
      </c>
      <c r="C620" t="s">
        <v>2334</v>
      </c>
      <c r="D620" t="s">
        <v>38</v>
      </c>
      <c r="E620">
        <v>1</v>
      </c>
      <c r="F620" s="4">
        <v>411.34</v>
      </c>
      <c r="G620" t="s">
        <v>2335</v>
      </c>
      <c r="H620" t="s">
        <v>24</v>
      </c>
      <c r="I620" t="s">
        <v>49</v>
      </c>
      <c r="J620" t="s">
        <v>2336</v>
      </c>
      <c r="K620">
        <v>5</v>
      </c>
      <c r="M620" t="s">
        <v>28</v>
      </c>
      <c r="N620" s="4">
        <v>411.34</v>
      </c>
      <c r="O620" s="19" t="str">
        <f t="shared" si="45"/>
        <v>Sep-2024</v>
      </c>
      <c r="P620">
        <f t="shared" si="46"/>
        <v>2024</v>
      </c>
      <c r="Q620" t="str">
        <f t="shared" si="47"/>
        <v>OK</v>
      </c>
      <c r="R620">
        <v>1</v>
      </c>
      <c r="S620">
        <f t="shared" si="48"/>
        <v>0</v>
      </c>
      <c r="T620">
        <f t="shared" si="49"/>
        <v>1</v>
      </c>
    </row>
    <row r="621" spans="1:20">
      <c r="A621" t="s">
        <v>2337</v>
      </c>
      <c r="B621" s="3">
        <v>45489</v>
      </c>
      <c r="C621" t="s">
        <v>2338</v>
      </c>
      <c r="D621" t="s">
        <v>64</v>
      </c>
      <c r="E621">
        <v>1</v>
      </c>
      <c r="F621" s="4">
        <v>532.89</v>
      </c>
      <c r="G621" t="s">
        <v>1875</v>
      </c>
      <c r="H621" t="s">
        <v>66</v>
      </c>
      <c r="I621" t="s">
        <v>95</v>
      </c>
      <c r="J621" t="s">
        <v>2339</v>
      </c>
      <c r="K621">
        <v>2</v>
      </c>
      <c r="M621" t="s">
        <v>35</v>
      </c>
      <c r="N621" s="4">
        <v>532.89</v>
      </c>
      <c r="O621" s="19" t="str">
        <f t="shared" si="45"/>
        <v>Jul-2024</v>
      </c>
      <c r="P621">
        <f t="shared" si="46"/>
        <v>2024</v>
      </c>
      <c r="Q621" t="str">
        <f t="shared" si="47"/>
        <v>OK</v>
      </c>
      <c r="R621">
        <v>1</v>
      </c>
      <c r="S621">
        <f t="shared" si="48"/>
        <v>0</v>
      </c>
      <c r="T621">
        <f t="shared" si="49"/>
        <v>0</v>
      </c>
    </row>
    <row r="622" spans="1:20">
      <c r="A622" t="s">
        <v>2340</v>
      </c>
      <c r="B622" s="3">
        <v>45378</v>
      </c>
      <c r="C622" t="s">
        <v>2341</v>
      </c>
      <c r="D622" t="s">
        <v>38</v>
      </c>
      <c r="E622">
        <v>3</v>
      </c>
      <c r="F622" s="4">
        <v>136.34</v>
      </c>
      <c r="G622" t="s">
        <v>2342</v>
      </c>
      <c r="H622" t="s">
        <v>24</v>
      </c>
      <c r="I622" t="s">
        <v>49</v>
      </c>
      <c r="J622" t="s">
        <v>2343</v>
      </c>
      <c r="K622">
        <v>8</v>
      </c>
      <c r="L622" t="s">
        <v>27</v>
      </c>
      <c r="M622" t="s">
        <v>35</v>
      </c>
      <c r="N622" s="4">
        <v>409.02</v>
      </c>
      <c r="O622" s="19" t="str">
        <f t="shared" si="45"/>
        <v>Mar-2024</v>
      </c>
      <c r="P622">
        <f t="shared" si="46"/>
        <v>2024</v>
      </c>
      <c r="Q622" t="str">
        <f t="shared" si="47"/>
        <v>OK</v>
      </c>
      <c r="R622">
        <v>1</v>
      </c>
      <c r="S622">
        <f t="shared" si="48"/>
        <v>0</v>
      </c>
      <c r="T622">
        <f t="shared" si="49"/>
        <v>1</v>
      </c>
    </row>
    <row r="623" spans="1:20">
      <c r="A623" t="s">
        <v>2344</v>
      </c>
      <c r="B623" s="3">
        <v>45221</v>
      </c>
      <c r="C623" t="s">
        <v>2345</v>
      </c>
      <c r="D623" t="s">
        <v>31</v>
      </c>
      <c r="E623">
        <v>5</v>
      </c>
      <c r="F623" s="4">
        <v>476.01</v>
      </c>
      <c r="G623" t="s">
        <v>353</v>
      </c>
      <c r="H623" t="s">
        <v>40</v>
      </c>
      <c r="I623" t="s">
        <v>56</v>
      </c>
      <c r="J623" t="s">
        <v>2346</v>
      </c>
      <c r="K623">
        <v>7</v>
      </c>
      <c r="L623" t="s">
        <v>87</v>
      </c>
      <c r="M623" t="s">
        <v>82</v>
      </c>
      <c r="N623" s="4">
        <v>2380.0500000000002</v>
      </c>
      <c r="O623" s="19" t="str">
        <f t="shared" si="45"/>
        <v>Oct-2023</v>
      </c>
      <c r="P623">
        <f t="shared" si="46"/>
        <v>2023</v>
      </c>
      <c r="Q623" t="str">
        <f t="shared" si="47"/>
        <v>OK</v>
      </c>
      <c r="R623">
        <v>1</v>
      </c>
      <c r="S623">
        <f t="shared" si="48"/>
        <v>0</v>
      </c>
      <c r="T623">
        <f t="shared" si="49"/>
        <v>0</v>
      </c>
    </row>
    <row r="624" spans="1:20">
      <c r="A624" t="s">
        <v>2347</v>
      </c>
      <c r="B624" s="3">
        <v>45598</v>
      </c>
      <c r="C624" t="s">
        <v>2348</v>
      </c>
      <c r="D624" t="s">
        <v>79</v>
      </c>
      <c r="E624">
        <v>5</v>
      </c>
      <c r="F624" s="4">
        <v>236.38</v>
      </c>
      <c r="G624" t="s">
        <v>187</v>
      </c>
      <c r="H624" t="s">
        <v>40</v>
      </c>
      <c r="I624" t="s">
        <v>49</v>
      </c>
      <c r="J624" t="s">
        <v>2349</v>
      </c>
      <c r="K624">
        <v>7</v>
      </c>
      <c r="M624" t="s">
        <v>51</v>
      </c>
      <c r="N624" s="4">
        <v>1181.9000000000001</v>
      </c>
      <c r="O624" s="19" t="str">
        <f t="shared" si="45"/>
        <v>Nov-2024</v>
      </c>
      <c r="P624">
        <f t="shared" si="46"/>
        <v>2024</v>
      </c>
      <c r="Q624" t="str">
        <f t="shared" si="47"/>
        <v>OK</v>
      </c>
      <c r="R624">
        <v>1</v>
      </c>
      <c r="S624">
        <f t="shared" si="48"/>
        <v>0</v>
      </c>
      <c r="T624">
        <f t="shared" si="49"/>
        <v>1</v>
      </c>
    </row>
    <row r="625" spans="1:20">
      <c r="A625" t="s">
        <v>2350</v>
      </c>
      <c r="B625" s="3">
        <v>45093</v>
      </c>
      <c r="C625" t="s">
        <v>2351</v>
      </c>
      <c r="D625" t="s">
        <v>54</v>
      </c>
      <c r="E625">
        <v>3</v>
      </c>
      <c r="F625" s="4">
        <v>396</v>
      </c>
      <c r="G625" t="s">
        <v>2352</v>
      </c>
      <c r="H625" t="s">
        <v>66</v>
      </c>
      <c r="I625" t="s">
        <v>41</v>
      </c>
      <c r="J625" t="s">
        <v>2353</v>
      </c>
      <c r="K625">
        <v>4</v>
      </c>
      <c r="L625" t="s">
        <v>43</v>
      </c>
      <c r="M625" t="s">
        <v>28</v>
      </c>
      <c r="N625" s="4">
        <v>1188</v>
      </c>
      <c r="O625" s="19" t="str">
        <f t="shared" si="45"/>
        <v>Jun-2023</v>
      </c>
      <c r="P625">
        <f t="shared" si="46"/>
        <v>2023</v>
      </c>
      <c r="Q625" t="str">
        <f t="shared" si="47"/>
        <v>OK</v>
      </c>
      <c r="R625">
        <v>1</v>
      </c>
      <c r="S625">
        <f t="shared" si="48"/>
        <v>1</v>
      </c>
      <c r="T625">
        <f t="shared" si="49"/>
        <v>0</v>
      </c>
    </row>
    <row r="626" spans="1:20">
      <c r="A626" t="s">
        <v>2354</v>
      </c>
      <c r="B626" s="3">
        <v>45307</v>
      </c>
      <c r="C626" t="s">
        <v>2355</v>
      </c>
      <c r="D626" t="s">
        <v>38</v>
      </c>
      <c r="E626">
        <v>5</v>
      </c>
      <c r="F626" s="4">
        <v>341.96</v>
      </c>
      <c r="G626" t="s">
        <v>1421</v>
      </c>
      <c r="H626" t="s">
        <v>24</v>
      </c>
      <c r="I626" t="s">
        <v>56</v>
      </c>
      <c r="J626" t="s">
        <v>2356</v>
      </c>
      <c r="K626">
        <v>6</v>
      </c>
      <c r="M626" t="s">
        <v>44</v>
      </c>
      <c r="N626" s="4">
        <v>1709.8</v>
      </c>
      <c r="O626" s="19" t="str">
        <f t="shared" si="45"/>
        <v>Jan-2024</v>
      </c>
      <c r="P626">
        <f t="shared" si="46"/>
        <v>2024</v>
      </c>
      <c r="Q626" t="str">
        <f t="shared" si="47"/>
        <v>OK</v>
      </c>
      <c r="R626">
        <v>1</v>
      </c>
      <c r="S626">
        <f t="shared" si="48"/>
        <v>0</v>
      </c>
      <c r="T626">
        <f t="shared" si="49"/>
        <v>0</v>
      </c>
    </row>
    <row r="627" spans="1:20">
      <c r="A627" t="s">
        <v>2357</v>
      </c>
      <c r="B627" s="3">
        <v>45193</v>
      </c>
      <c r="C627" t="s">
        <v>2358</v>
      </c>
      <c r="D627" t="s">
        <v>38</v>
      </c>
      <c r="E627">
        <v>1</v>
      </c>
      <c r="F627" s="4">
        <v>672.89</v>
      </c>
      <c r="G627" t="s">
        <v>2359</v>
      </c>
      <c r="H627" t="s">
        <v>40</v>
      </c>
      <c r="I627" t="s">
        <v>95</v>
      </c>
      <c r="J627" t="s">
        <v>2360</v>
      </c>
      <c r="K627">
        <v>1</v>
      </c>
      <c r="L627" t="s">
        <v>87</v>
      </c>
      <c r="M627" t="s">
        <v>44</v>
      </c>
      <c r="N627" s="4">
        <v>672.89</v>
      </c>
      <c r="O627" s="19" t="str">
        <f t="shared" si="45"/>
        <v>Sep-2023</v>
      </c>
      <c r="P627">
        <f t="shared" si="46"/>
        <v>2023</v>
      </c>
      <c r="Q627" t="str">
        <f t="shared" si="47"/>
        <v>OK</v>
      </c>
      <c r="R627">
        <v>1</v>
      </c>
      <c r="S627">
        <f t="shared" si="48"/>
        <v>0</v>
      </c>
      <c r="T627">
        <f t="shared" si="49"/>
        <v>0</v>
      </c>
    </row>
    <row r="628" spans="1:20">
      <c r="A628" t="s">
        <v>2361</v>
      </c>
      <c r="B628" s="3">
        <v>45352</v>
      </c>
      <c r="C628" t="s">
        <v>2362</v>
      </c>
      <c r="D628" t="s">
        <v>38</v>
      </c>
      <c r="E628">
        <v>2</v>
      </c>
      <c r="F628" s="4">
        <v>657.48</v>
      </c>
      <c r="G628" t="s">
        <v>1645</v>
      </c>
      <c r="H628" t="s">
        <v>33</v>
      </c>
      <c r="I628" t="s">
        <v>25</v>
      </c>
      <c r="J628" t="s">
        <v>2363</v>
      </c>
      <c r="K628">
        <v>5</v>
      </c>
      <c r="L628" t="s">
        <v>27</v>
      </c>
      <c r="M628" t="s">
        <v>35</v>
      </c>
      <c r="N628" s="4">
        <v>1314.96</v>
      </c>
      <c r="O628" s="19" t="str">
        <f t="shared" si="45"/>
        <v>Mar-2024</v>
      </c>
      <c r="P628">
        <f t="shared" si="46"/>
        <v>2024</v>
      </c>
      <c r="Q628" t="str">
        <f t="shared" si="47"/>
        <v>OK</v>
      </c>
      <c r="R628">
        <v>1</v>
      </c>
      <c r="S628">
        <f t="shared" si="48"/>
        <v>0</v>
      </c>
      <c r="T628">
        <f t="shared" si="49"/>
        <v>0</v>
      </c>
    </row>
    <row r="629" spans="1:20">
      <c r="A629" t="s">
        <v>2364</v>
      </c>
      <c r="B629" s="3">
        <v>45144</v>
      </c>
      <c r="C629" t="s">
        <v>2365</v>
      </c>
      <c r="D629" t="s">
        <v>47</v>
      </c>
      <c r="E629">
        <v>3</v>
      </c>
      <c r="F629" s="4">
        <v>498.68</v>
      </c>
      <c r="G629" t="s">
        <v>2072</v>
      </c>
      <c r="H629" t="s">
        <v>33</v>
      </c>
      <c r="I629" t="s">
        <v>49</v>
      </c>
      <c r="J629" t="s">
        <v>2366</v>
      </c>
      <c r="K629">
        <v>4</v>
      </c>
      <c r="L629" t="s">
        <v>43</v>
      </c>
      <c r="M629" t="s">
        <v>44</v>
      </c>
      <c r="N629" s="4">
        <v>1496.04</v>
      </c>
      <c r="O629" s="19" t="str">
        <f t="shared" si="45"/>
        <v>Aug-2023</v>
      </c>
      <c r="P629">
        <f t="shared" si="46"/>
        <v>2023</v>
      </c>
      <c r="Q629" t="str">
        <f t="shared" si="47"/>
        <v>OK</v>
      </c>
      <c r="R629">
        <v>1</v>
      </c>
      <c r="S629">
        <f t="shared" si="48"/>
        <v>0</v>
      </c>
      <c r="T629">
        <f t="shared" si="49"/>
        <v>1</v>
      </c>
    </row>
    <row r="630" spans="1:20">
      <c r="A630" t="s">
        <v>2367</v>
      </c>
      <c r="B630" s="3">
        <v>45011</v>
      </c>
      <c r="C630" t="s">
        <v>2368</v>
      </c>
      <c r="D630" t="s">
        <v>54</v>
      </c>
      <c r="E630">
        <v>5</v>
      </c>
      <c r="F630" s="4">
        <v>558.63</v>
      </c>
      <c r="G630" t="s">
        <v>2369</v>
      </c>
      <c r="H630" t="s">
        <v>71</v>
      </c>
      <c r="I630" t="s">
        <v>95</v>
      </c>
      <c r="J630" t="s">
        <v>2370</v>
      </c>
      <c r="K630">
        <v>8</v>
      </c>
      <c r="L630" t="s">
        <v>43</v>
      </c>
      <c r="M630" t="s">
        <v>35</v>
      </c>
      <c r="N630" s="4">
        <v>2793.15</v>
      </c>
      <c r="O630" s="19" t="str">
        <f t="shared" si="45"/>
        <v>Mar-2023</v>
      </c>
      <c r="P630">
        <f t="shared" si="46"/>
        <v>2023</v>
      </c>
      <c r="Q630" t="str">
        <f t="shared" si="47"/>
        <v>OK</v>
      </c>
      <c r="R630">
        <v>1</v>
      </c>
      <c r="S630">
        <f t="shared" si="48"/>
        <v>0</v>
      </c>
      <c r="T630">
        <f t="shared" si="49"/>
        <v>0</v>
      </c>
    </row>
    <row r="631" spans="1:20">
      <c r="A631" t="s">
        <v>2371</v>
      </c>
      <c r="B631" s="3">
        <v>45114</v>
      </c>
      <c r="C631" t="s">
        <v>2372</v>
      </c>
      <c r="D631" t="s">
        <v>31</v>
      </c>
      <c r="E631">
        <v>3</v>
      </c>
      <c r="F631" s="4">
        <v>19.73</v>
      </c>
      <c r="G631" t="s">
        <v>2373</v>
      </c>
      <c r="H631" t="s">
        <v>33</v>
      </c>
      <c r="I631" t="s">
        <v>95</v>
      </c>
      <c r="J631" t="s">
        <v>2374</v>
      </c>
      <c r="K631">
        <v>3</v>
      </c>
      <c r="M631" t="s">
        <v>35</v>
      </c>
      <c r="N631" s="4">
        <v>59.19</v>
      </c>
      <c r="O631" s="19" t="str">
        <f t="shared" si="45"/>
        <v>Jul-2023</v>
      </c>
      <c r="P631">
        <f t="shared" si="46"/>
        <v>2023</v>
      </c>
      <c r="Q631" t="str">
        <f t="shared" si="47"/>
        <v>OK</v>
      </c>
      <c r="R631">
        <v>1</v>
      </c>
      <c r="S631">
        <f t="shared" si="48"/>
        <v>0</v>
      </c>
      <c r="T631">
        <f t="shared" si="49"/>
        <v>0</v>
      </c>
    </row>
    <row r="632" spans="1:20">
      <c r="A632" t="s">
        <v>2375</v>
      </c>
      <c r="B632" s="3">
        <v>45100</v>
      </c>
      <c r="C632" t="s">
        <v>2376</v>
      </c>
      <c r="D632" t="s">
        <v>22</v>
      </c>
      <c r="E632">
        <v>5</v>
      </c>
      <c r="F632" s="4">
        <v>248.84</v>
      </c>
      <c r="G632" t="s">
        <v>2377</v>
      </c>
      <c r="H632" t="s">
        <v>24</v>
      </c>
      <c r="I632" t="s">
        <v>41</v>
      </c>
      <c r="J632" t="s">
        <v>2378</v>
      </c>
      <c r="K632">
        <v>10</v>
      </c>
      <c r="M632" t="s">
        <v>28</v>
      </c>
      <c r="N632" s="4">
        <v>1244.2</v>
      </c>
      <c r="O632" s="19" t="str">
        <f t="shared" si="45"/>
        <v>Jun-2023</v>
      </c>
      <c r="P632">
        <f t="shared" si="46"/>
        <v>2023</v>
      </c>
      <c r="Q632" t="str">
        <f t="shared" si="47"/>
        <v>OK</v>
      </c>
      <c r="R632">
        <v>1</v>
      </c>
      <c r="S632">
        <f t="shared" si="48"/>
        <v>1</v>
      </c>
      <c r="T632">
        <f t="shared" si="49"/>
        <v>0</v>
      </c>
    </row>
    <row r="633" spans="1:20">
      <c r="A633" t="s">
        <v>2379</v>
      </c>
      <c r="B633" s="3">
        <v>45535</v>
      </c>
      <c r="C633" t="s">
        <v>2380</v>
      </c>
      <c r="D633" t="s">
        <v>47</v>
      </c>
      <c r="E633">
        <v>3</v>
      </c>
      <c r="F633" s="4">
        <v>46.11</v>
      </c>
      <c r="G633" t="s">
        <v>1107</v>
      </c>
      <c r="H633" t="s">
        <v>66</v>
      </c>
      <c r="I633" t="s">
        <v>49</v>
      </c>
      <c r="J633" t="s">
        <v>2381</v>
      </c>
      <c r="K633">
        <v>5</v>
      </c>
      <c r="L633" t="s">
        <v>87</v>
      </c>
      <c r="M633" t="s">
        <v>35</v>
      </c>
      <c r="N633" s="4">
        <v>138.33000000000001</v>
      </c>
      <c r="O633" s="19" t="str">
        <f t="shared" si="45"/>
        <v>Aug-2024</v>
      </c>
      <c r="P633">
        <f t="shared" si="46"/>
        <v>2024</v>
      </c>
      <c r="Q633" t="str">
        <f t="shared" si="47"/>
        <v>OK</v>
      </c>
      <c r="R633">
        <v>1</v>
      </c>
      <c r="S633">
        <f t="shared" si="48"/>
        <v>0</v>
      </c>
      <c r="T633">
        <f t="shared" si="49"/>
        <v>1</v>
      </c>
    </row>
    <row r="634" spans="1:20">
      <c r="A634" t="s">
        <v>2382</v>
      </c>
      <c r="B634" s="3">
        <v>45048</v>
      </c>
      <c r="C634" t="s">
        <v>2383</v>
      </c>
      <c r="D634" t="s">
        <v>64</v>
      </c>
      <c r="E634">
        <v>5</v>
      </c>
      <c r="F634" s="4">
        <v>678.16</v>
      </c>
      <c r="G634" t="s">
        <v>1034</v>
      </c>
      <c r="H634" t="s">
        <v>66</v>
      </c>
      <c r="I634" t="s">
        <v>56</v>
      </c>
      <c r="J634" t="s">
        <v>2384</v>
      </c>
      <c r="K634">
        <v>7</v>
      </c>
      <c r="L634" t="s">
        <v>87</v>
      </c>
      <c r="M634" t="s">
        <v>51</v>
      </c>
      <c r="N634" s="4">
        <v>3390.8</v>
      </c>
      <c r="O634" s="19" t="str">
        <f t="shared" si="45"/>
        <v>May-2023</v>
      </c>
      <c r="P634">
        <f t="shared" si="46"/>
        <v>2023</v>
      </c>
      <c r="Q634" t="str">
        <f t="shared" si="47"/>
        <v>OK</v>
      </c>
      <c r="R634">
        <v>1</v>
      </c>
      <c r="S634">
        <f t="shared" si="48"/>
        <v>0</v>
      </c>
      <c r="T634">
        <f t="shared" si="49"/>
        <v>0</v>
      </c>
    </row>
    <row r="635" spans="1:20">
      <c r="A635" t="s">
        <v>2385</v>
      </c>
      <c r="B635" s="3">
        <v>45392</v>
      </c>
      <c r="C635" t="s">
        <v>2386</v>
      </c>
      <c r="D635" t="s">
        <v>64</v>
      </c>
      <c r="E635">
        <v>5</v>
      </c>
      <c r="F635" s="4">
        <v>601.72</v>
      </c>
      <c r="G635" t="s">
        <v>1544</v>
      </c>
      <c r="H635" t="s">
        <v>66</v>
      </c>
      <c r="I635" t="s">
        <v>41</v>
      </c>
      <c r="J635" t="s">
        <v>2387</v>
      </c>
      <c r="K635">
        <v>5</v>
      </c>
      <c r="L635" t="s">
        <v>87</v>
      </c>
      <c r="M635" t="s">
        <v>28</v>
      </c>
      <c r="N635" s="4">
        <v>3008.6</v>
      </c>
      <c r="O635" s="19" t="str">
        <f t="shared" si="45"/>
        <v>Apr-2024</v>
      </c>
      <c r="P635">
        <f t="shared" si="46"/>
        <v>2024</v>
      </c>
      <c r="Q635" t="str">
        <f t="shared" si="47"/>
        <v>OK</v>
      </c>
      <c r="R635">
        <v>1</v>
      </c>
      <c r="S635">
        <f t="shared" si="48"/>
        <v>1</v>
      </c>
      <c r="T635">
        <f t="shared" si="49"/>
        <v>0</v>
      </c>
    </row>
    <row r="636" spans="1:20">
      <c r="A636" t="s">
        <v>2388</v>
      </c>
      <c r="B636" s="3">
        <v>45407</v>
      </c>
      <c r="C636" t="s">
        <v>2389</v>
      </c>
      <c r="D636" t="s">
        <v>54</v>
      </c>
      <c r="E636">
        <v>2</v>
      </c>
      <c r="F636" s="4">
        <v>259.32</v>
      </c>
      <c r="G636" t="s">
        <v>2390</v>
      </c>
      <c r="H636" t="s">
        <v>66</v>
      </c>
      <c r="I636" t="s">
        <v>56</v>
      </c>
      <c r="J636" t="s">
        <v>2391</v>
      </c>
      <c r="K636">
        <v>2</v>
      </c>
      <c r="L636" t="s">
        <v>87</v>
      </c>
      <c r="M636" t="s">
        <v>35</v>
      </c>
      <c r="N636" s="4">
        <v>518.64</v>
      </c>
      <c r="O636" s="19" t="str">
        <f t="shared" si="45"/>
        <v>Apr-2024</v>
      </c>
      <c r="P636">
        <f t="shared" si="46"/>
        <v>2024</v>
      </c>
      <c r="Q636" t="str">
        <f t="shared" si="47"/>
        <v>OK</v>
      </c>
      <c r="R636">
        <v>1</v>
      </c>
      <c r="S636">
        <f t="shared" si="48"/>
        <v>0</v>
      </c>
      <c r="T636">
        <f t="shared" si="49"/>
        <v>0</v>
      </c>
    </row>
    <row r="637" spans="1:20">
      <c r="A637" t="s">
        <v>2392</v>
      </c>
      <c r="B637" s="3">
        <v>45273</v>
      </c>
      <c r="C637" t="s">
        <v>2393</v>
      </c>
      <c r="D637" t="s">
        <v>47</v>
      </c>
      <c r="E637">
        <v>3</v>
      </c>
      <c r="F637" s="4">
        <v>63.68</v>
      </c>
      <c r="G637" t="s">
        <v>248</v>
      </c>
      <c r="H637" t="s">
        <v>71</v>
      </c>
      <c r="I637" t="s">
        <v>49</v>
      </c>
      <c r="J637" t="s">
        <v>2394</v>
      </c>
      <c r="K637">
        <v>6</v>
      </c>
      <c r="M637" t="s">
        <v>51</v>
      </c>
      <c r="N637" s="4">
        <v>191.04</v>
      </c>
      <c r="O637" s="19" t="str">
        <f t="shared" si="45"/>
        <v>Dec-2023</v>
      </c>
      <c r="P637">
        <f t="shared" si="46"/>
        <v>2023</v>
      </c>
      <c r="Q637" t="str">
        <f t="shared" si="47"/>
        <v>OK</v>
      </c>
      <c r="R637">
        <v>1</v>
      </c>
      <c r="S637">
        <f t="shared" si="48"/>
        <v>0</v>
      </c>
      <c r="T637">
        <f t="shared" si="49"/>
        <v>1</v>
      </c>
    </row>
    <row r="638" spans="1:20">
      <c r="A638" t="s">
        <v>2395</v>
      </c>
      <c r="B638" s="3">
        <v>45204</v>
      </c>
      <c r="C638" t="s">
        <v>2396</v>
      </c>
      <c r="D638" t="s">
        <v>64</v>
      </c>
      <c r="E638">
        <v>4</v>
      </c>
      <c r="F638" s="4">
        <v>371.07</v>
      </c>
      <c r="G638" t="s">
        <v>714</v>
      </c>
      <c r="H638" t="s">
        <v>71</v>
      </c>
      <c r="I638" t="s">
        <v>41</v>
      </c>
      <c r="J638" t="s">
        <v>2397</v>
      </c>
      <c r="K638">
        <v>7</v>
      </c>
      <c r="L638" t="s">
        <v>87</v>
      </c>
      <c r="M638" t="s">
        <v>51</v>
      </c>
      <c r="N638" s="4">
        <v>1484.28</v>
      </c>
      <c r="O638" s="19" t="str">
        <f t="shared" si="45"/>
        <v>Oct-2023</v>
      </c>
      <c r="P638">
        <f t="shared" si="46"/>
        <v>2023</v>
      </c>
      <c r="Q638" t="str">
        <f t="shared" si="47"/>
        <v>OK</v>
      </c>
      <c r="R638">
        <v>1</v>
      </c>
      <c r="S638">
        <f t="shared" si="48"/>
        <v>1</v>
      </c>
      <c r="T638">
        <f t="shared" si="49"/>
        <v>0</v>
      </c>
    </row>
    <row r="639" spans="1:20">
      <c r="A639" t="s">
        <v>2398</v>
      </c>
      <c r="B639" s="3">
        <v>45564</v>
      </c>
      <c r="C639" t="s">
        <v>2399</v>
      </c>
      <c r="D639" t="s">
        <v>47</v>
      </c>
      <c r="E639">
        <v>4</v>
      </c>
      <c r="F639" s="4">
        <v>306.35000000000002</v>
      </c>
      <c r="G639" t="s">
        <v>2400</v>
      </c>
      <c r="H639" t="s">
        <v>66</v>
      </c>
      <c r="I639" t="s">
        <v>25</v>
      </c>
      <c r="J639" t="s">
        <v>2401</v>
      </c>
      <c r="K639">
        <v>7</v>
      </c>
      <c r="L639" t="s">
        <v>87</v>
      </c>
      <c r="M639" t="s">
        <v>35</v>
      </c>
      <c r="N639" s="4">
        <v>1225.4000000000001</v>
      </c>
      <c r="O639" s="19" t="str">
        <f t="shared" si="45"/>
        <v>Sep-2024</v>
      </c>
      <c r="P639">
        <f t="shared" si="46"/>
        <v>2024</v>
      </c>
      <c r="Q639" t="str">
        <f t="shared" si="47"/>
        <v>OK</v>
      </c>
      <c r="R639">
        <v>1</v>
      </c>
      <c r="S639">
        <f t="shared" si="48"/>
        <v>0</v>
      </c>
      <c r="T639">
        <f t="shared" si="49"/>
        <v>0</v>
      </c>
    </row>
    <row r="640" spans="1:20">
      <c r="A640" t="s">
        <v>2402</v>
      </c>
      <c r="B640" s="3">
        <v>45214</v>
      </c>
      <c r="C640" t="s">
        <v>2403</v>
      </c>
      <c r="D640" t="s">
        <v>38</v>
      </c>
      <c r="E640">
        <v>4</v>
      </c>
      <c r="F640" s="4">
        <v>578.27</v>
      </c>
      <c r="G640" t="s">
        <v>2404</v>
      </c>
      <c r="H640" t="s">
        <v>33</v>
      </c>
      <c r="I640" t="s">
        <v>56</v>
      </c>
      <c r="J640" t="s">
        <v>2405</v>
      </c>
      <c r="K640">
        <v>9</v>
      </c>
      <c r="L640" t="s">
        <v>87</v>
      </c>
      <c r="M640" t="s">
        <v>44</v>
      </c>
      <c r="N640" s="4">
        <v>2313.08</v>
      </c>
      <c r="O640" s="19" t="str">
        <f t="shared" si="45"/>
        <v>Oct-2023</v>
      </c>
      <c r="P640">
        <f t="shared" si="46"/>
        <v>2023</v>
      </c>
      <c r="Q640" t="str">
        <f t="shared" si="47"/>
        <v>OK</v>
      </c>
      <c r="R640">
        <v>1</v>
      </c>
      <c r="S640">
        <f t="shared" si="48"/>
        <v>0</v>
      </c>
      <c r="T640">
        <f t="shared" si="49"/>
        <v>0</v>
      </c>
    </row>
    <row r="641" spans="1:20">
      <c r="A641" t="s">
        <v>2406</v>
      </c>
      <c r="B641" s="3">
        <v>44946</v>
      </c>
      <c r="C641" t="s">
        <v>2407</v>
      </c>
      <c r="D641" t="s">
        <v>47</v>
      </c>
      <c r="E641">
        <v>1</v>
      </c>
      <c r="F641" s="4">
        <v>529.19000000000005</v>
      </c>
      <c r="G641" t="s">
        <v>1804</v>
      </c>
      <c r="H641" t="s">
        <v>71</v>
      </c>
      <c r="I641" t="s">
        <v>41</v>
      </c>
      <c r="J641" t="s">
        <v>2408</v>
      </c>
      <c r="K641">
        <v>5</v>
      </c>
      <c r="M641" t="s">
        <v>35</v>
      </c>
      <c r="N641" s="4">
        <v>529.19000000000005</v>
      </c>
      <c r="O641" s="19" t="str">
        <f t="shared" si="45"/>
        <v>Jan-2023</v>
      </c>
      <c r="P641">
        <f t="shared" si="46"/>
        <v>2023</v>
      </c>
      <c r="Q641" t="str">
        <f t="shared" si="47"/>
        <v>OK</v>
      </c>
      <c r="R641">
        <v>1</v>
      </c>
      <c r="S641">
        <f t="shared" si="48"/>
        <v>1</v>
      </c>
      <c r="T641">
        <f t="shared" si="49"/>
        <v>0</v>
      </c>
    </row>
    <row r="642" spans="1:20">
      <c r="A642" t="s">
        <v>2409</v>
      </c>
      <c r="B642" s="3">
        <v>45349</v>
      </c>
      <c r="C642" t="s">
        <v>2410</v>
      </c>
      <c r="D642" t="s">
        <v>47</v>
      </c>
      <c r="E642">
        <v>2</v>
      </c>
      <c r="F642" s="4">
        <v>587.49</v>
      </c>
      <c r="G642" t="s">
        <v>456</v>
      </c>
      <c r="H642" t="s">
        <v>66</v>
      </c>
      <c r="I642" t="s">
        <v>49</v>
      </c>
      <c r="J642" t="s">
        <v>2411</v>
      </c>
      <c r="K642">
        <v>6</v>
      </c>
      <c r="L642" t="s">
        <v>27</v>
      </c>
      <c r="M642" t="s">
        <v>35</v>
      </c>
      <c r="N642" s="4">
        <v>1174.98</v>
      </c>
      <c r="O642" s="19" t="str">
        <f t="shared" ref="O642:O705" si="50">TEXT(B642,"mmm-yyyy")</f>
        <v>Feb-2024</v>
      </c>
      <c r="P642">
        <f t="shared" ref="P642:P705" si="51">YEAR(B642)</f>
        <v>2024</v>
      </c>
      <c r="Q642" t="str">
        <f t="shared" ref="Q642:Q705" si="52">IF(ABS(N642-(E642*F642))&lt;0.01,"OK","CHECK")</f>
        <v>OK</v>
      </c>
      <c r="R642">
        <v>1</v>
      </c>
      <c r="S642">
        <f t="shared" ref="S642:S705" si="53">IF(I642="Cancelled",1,0)</f>
        <v>0</v>
      </c>
      <c r="T642">
        <f t="shared" ref="T642:T705" si="54">IF(I642="Returned",1,0)</f>
        <v>1</v>
      </c>
    </row>
    <row r="643" spans="1:20">
      <c r="A643" t="s">
        <v>2412</v>
      </c>
      <c r="B643" s="3">
        <v>45473</v>
      </c>
      <c r="C643" t="s">
        <v>2413</v>
      </c>
      <c r="D643" t="s">
        <v>54</v>
      </c>
      <c r="E643">
        <v>4</v>
      </c>
      <c r="F643" s="4">
        <v>567.57000000000005</v>
      </c>
      <c r="G643" t="s">
        <v>1017</v>
      </c>
      <c r="H643" t="s">
        <v>24</v>
      </c>
      <c r="I643" t="s">
        <v>95</v>
      </c>
      <c r="J643" t="s">
        <v>2414</v>
      </c>
      <c r="K643">
        <v>9</v>
      </c>
      <c r="L643" t="s">
        <v>87</v>
      </c>
      <c r="M643" t="s">
        <v>82</v>
      </c>
      <c r="N643" s="4">
        <v>2270.2800000000002</v>
      </c>
      <c r="O643" s="19" t="str">
        <f t="shared" si="50"/>
        <v>Jun-2024</v>
      </c>
      <c r="P643">
        <f t="shared" si="51"/>
        <v>2024</v>
      </c>
      <c r="Q643" t="str">
        <f t="shared" si="52"/>
        <v>OK</v>
      </c>
      <c r="R643">
        <v>1</v>
      </c>
      <c r="S643">
        <f t="shared" si="53"/>
        <v>0</v>
      </c>
      <c r="T643">
        <f t="shared" si="54"/>
        <v>0</v>
      </c>
    </row>
    <row r="644" spans="1:20">
      <c r="A644" t="s">
        <v>2415</v>
      </c>
      <c r="B644" s="3">
        <v>45411</v>
      </c>
      <c r="C644" t="s">
        <v>2416</v>
      </c>
      <c r="D644" t="s">
        <v>47</v>
      </c>
      <c r="E644">
        <v>5</v>
      </c>
      <c r="F644" s="4">
        <v>85.22</v>
      </c>
      <c r="G644" t="s">
        <v>2417</v>
      </c>
      <c r="H644" t="s">
        <v>40</v>
      </c>
      <c r="I644" t="s">
        <v>41</v>
      </c>
      <c r="J644" t="s">
        <v>2418</v>
      </c>
      <c r="K644">
        <v>7</v>
      </c>
      <c r="L644" t="s">
        <v>43</v>
      </c>
      <c r="M644" t="s">
        <v>44</v>
      </c>
      <c r="N644" s="4">
        <v>426.1</v>
      </c>
      <c r="O644" s="19" t="str">
        <f t="shared" si="50"/>
        <v>Apr-2024</v>
      </c>
      <c r="P644">
        <f t="shared" si="51"/>
        <v>2024</v>
      </c>
      <c r="Q644" t="str">
        <f t="shared" si="52"/>
        <v>OK</v>
      </c>
      <c r="R644">
        <v>1</v>
      </c>
      <c r="S644">
        <f t="shared" si="53"/>
        <v>1</v>
      </c>
      <c r="T644">
        <f t="shared" si="54"/>
        <v>0</v>
      </c>
    </row>
    <row r="645" spans="1:20">
      <c r="A645" t="s">
        <v>2419</v>
      </c>
      <c r="B645" s="3">
        <v>45530</v>
      </c>
      <c r="C645" t="s">
        <v>2420</v>
      </c>
      <c r="D645" t="s">
        <v>64</v>
      </c>
      <c r="E645">
        <v>1</v>
      </c>
      <c r="F645" s="4">
        <v>438.37</v>
      </c>
      <c r="G645" t="s">
        <v>456</v>
      </c>
      <c r="H645" t="s">
        <v>71</v>
      </c>
      <c r="I645" t="s">
        <v>41</v>
      </c>
      <c r="J645" t="s">
        <v>2421</v>
      </c>
      <c r="K645">
        <v>4</v>
      </c>
      <c r="L645" t="s">
        <v>27</v>
      </c>
      <c r="M645" t="s">
        <v>35</v>
      </c>
      <c r="N645" s="4">
        <v>438.37</v>
      </c>
      <c r="O645" s="19" t="str">
        <f t="shared" si="50"/>
        <v>Aug-2024</v>
      </c>
      <c r="P645">
        <f t="shared" si="51"/>
        <v>2024</v>
      </c>
      <c r="Q645" t="str">
        <f t="shared" si="52"/>
        <v>OK</v>
      </c>
      <c r="R645">
        <v>1</v>
      </c>
      <c r="S645">
        <f t="shared" si="53"/>
        <v>1</v>
      </c>
      <c r="T645">
        <f t="shared" si="54"/>
        <v>0</v>
      </c>
    </row>
    <row r="646" spans="1:20">
      <c r="A646" t="s">
        <v>2422</v>
      </c>
      <c r="B646" s="3">
        <v>45245</v>
      </c>
      <c r="C646" t="s">
        <v>2423</v>
      </c>
      <c r="D646" t="s">
        <v>47</v>
      </c>
      <c r="E646">
        <v>2</v>
      </c>
      <c r="F646" s="4">
        <v>366.23</v>
      </c>
      <c r="G646" t="s">
        <v>2424</v>
      </c>
      <c r="H646" t="s">
        <v>71</v>
      </c>
      <c r="I646" t="s">
        <v>25</v>
      </c>
      <c r="J646" t="s">
        <v>2425</v>
      </c>
      <c r="K646">
        <v>2</v>
      </c>
      <c r="L646" t="s">
        <v>87</v>
      </c>
      <c r="M646" t="s">
        <v>44</v>
      </c>
      <c r="N646" s="4">
        <v>732.46</v>
      </c>
      <c r="O646" s="19" t="str">
        <f t="shared" si="50"/>
        <v>Nov-2023</v>
      </c>
      <c r="P646">
        <f t="shared" si="51"/>
        <v>2023</v>
      </c>
      <c r="Q646" t="str">
        <f t="shared" si="52"/>
        <v>OK</v>
      </c>
      <c r="R646">
        <v>1</v>
      </c>
      <c r="S646">
        <f t="shared" si="53"/>
        <v>0</v>
      </c>
      <c r="T646">
        <f t="shared" si="54"/>
        <v>0</v>
      </c>
    </row>
    <row r="647" spans="1:20">
      <c r="A647" t="s">
        <v>2426</v>
      </c>
      <c r="B647" s="3">
        <v>44928</v>
      </c>
      <c r="C647" t="s">
        <v>2427</v>
      </c>
      <c r="D647" t="s">
        <v>64</v>
      </c>
      <c r="E647">
        <v>2</v>
      </c>
      <c r="F647" s="4">
        <v>150.05000000000001</v>
      </c>
      <c r="G647" t="s">
        <v>531</v>
      </c>
      <c r="H647" t="s">
        <v>40</v>
      </c>
      <c r="I647" t="s">
        <v>41</v>
      </c>
      <c r="J647" t="s">
        <v>2428</v>
      </c>
      <c r="K647">
        <v>4</v>
      </c>
      <c r="L647" t="s">
        <v>27</v>
      </c>
      <c r="M647" t="s">
        <v>51</v>
      </c>
      <c r="N647" s="4">
        <v>300.10000000000002</v>
      </c>
      <c r="O647" s="19" t="str">
        <f t="shared" si="50"/>
        <v>Jan-2023</v>
      </c>
      <c r="P647">
        <f t="shared" si="51"/>
        <v>2023</v>
      </c>
      <c r="Q647" t="str">
        <f t="shared" si="52"/>
        <v>OK</v>
      </c>
      <c r="R647">
        <v>1</v>
      </c>
      <c r="S647">
        <f t="shared" si="53"/>
        <v>1</v>
      </c>
      <c r="T647">
        <f t="shared" si="54"/>
        <v>0</v>
      </c>
    </row>
    <row r="648" spans="1:20">
      <c r="A648" t="s">
        <v>2429</v>
      </c>
      <c r="B648" s="3">
        <v>45226</v>
      </c>
      <c r="C648" t="s">
        <v>2430</v>
      </c>
      <c r="D648" t="s">
        <v>47</v>
      </c>
      <c r="E648">
        <v>4</v>
      </c>
      <c r="F648" s="4">
        <v>498.51</v>
      </c>
      <c r="G648" t="s">
        <v>2431</v>
      </c>
      <c r="H648" t="s">
        <v>24</v>
      </c>
      <c r="I648" t="s">
        <v>25</v>
      </c>
      <c r="J648" t="s">
        <v>2432</v>
      </c>
      <c r="K648">
        <v>4</v>
      </c>
      <c r="L648" t="s">
        <v>27</v>
      </c>
      <c r="M648" t="s">
        <v>82</v>
      </c>
      <c r="N648" s="4">
        <v>1994.04</v>
      </c>
      <c r="O648" s="19" t="str">
        <f t="shared" si="50"/>
        <v>Oct-2023</v>
      </c>
      <c r="P648">
        <f t="shared" si="51"/>
        <v>2023</v>
      </c>
      <c r="Q648" t="str">
        <f t="shared" si="52"/>
        <v>OK</v>
      </c>
      <c r="R648">
        <v>1</v>
      </c>
      <c r="S648">
        <f t="shared" si="53"/>
        <v>0</v>
      </c>
      <c r="T648">
        <f t="shared" si="54"/>
        <v>0</v>
      </c>
    </row>
    <row r="649" spans="1:20">
      <c r="A649" t="s">
        <v>2433</v>
      </c>
      <c r="B649" s="3">
        <v>45771</v>
      </c>
      <c r="C649" t="s">
        <v>2434</v>
      </c>
      <c r="D649" t="s">
        <v>79</v>
      </c>
      <c r="E649">
        <v>3</v>
      </c>
      <c r="F649" s="4">
        <v>339.39</v>
      </c>
      <c r="G649" t="s">
        <v>687</v>
      </c>
      <c r="H649" t="s">
        <v>71</v>
      </c>
      <c r="I649" t="s">
        <v>49</v>
      </c>
      <c r="J649" t="s">
        <v>2435</v>
      </c>
      <c r="K649">
        <v>7</v>
      </c>
      <c r="L649" t="s">
        <v>43</v>
      </c>
      <c r="M649" t="s">
        <v>82</v>
      </c>
      <c r="N649" s="4">
        <v>1018.17</v>
      </c>
      <c r="O649" s="19" t="str">
        <f t="shared" si="50"/>
        <v>Apr-2025</v>
      </c>
      <c r="P649">
        <f t="shared" si="51"/>
        <v>2025</v>
      </c>
      <c r="Q649" t="str">
        <f t="shared" si="52"/>
        <v>OK</v>
      </c>
      <c r="R649">
        <v>1</v>
      </c>
      <c r="S649">
        <f t="shared" si="53"/>
        <v>0</v>
      </c>
      <c r="T649">
        <f t="shared" si="54"/>
        <v>1</v>
      </c>
    </row>
    <row r="650" spans="1:20">
      <c r="A650" t="s">
        <v>2436</v>
      </c>
      <c r="B650" s="3">
        <v>45675</v>
      </c>
      <c r="C650" t="s">
        <v>2437</v>
      </c>
      <c r="D650" t="s">
        <v>22</v>
      </c>
      <c r="E650">
        <v>2</v>
      </c>
      <c r="F650" s="4">
        <v>575.83000000000004</v>
      </c>
      <c r="G650" t="s">
        <v>2438</v>
      </c>
      <c r="H650" t="s">
        <v>33</v>
      </c>
      <c r="I650" t="s">
        <v>56</v>
      </c>
      <c r="J650" t="s">
        <v>2439</v>
      </c>
      <c r="K650">
        <v>3</v>
      </c>
      <c r="L650" t="s">
        <v>87</v>
      </c>
      <c r="M650" t="s">
        <v>35</v>
      </c>
      <c r="N650" s="4">
        <v>1151.6600000000001</v>
      </c>
      <c r="O650" s="19" t="str">
        <f t="shared" si="50"/>
        <v>Jan-2025</v>
      </c>
      <c r="P650">
        <f t="shared" si="51"/>
        <v>2025</v>
      </c>
      <c r="Q650" t="str">
        <f t="shared" si="52"/>
        <v>OK</v>
      </c>
      <c r="R650">
        <v>1</v>
      </c>
      <c r="S650">
        <f t="shared" si="53"/>
        <v>0</v>
      </c>
      <c r="T650">
        <f t="shared" si="54"/>
        <v>0</v>
      </c>
    </row>
    <row r="651" spans="1:20">
      <c r="A651" t="s">
        <v>2440</v>
      </c>
      <c r="B651" s="3">
        <v>45283</v>
      </c>
      <c r="C651" t="s">
        <v>2441</v>
      </c>
      <c r="D651" t="s">
        <v>22</v>
      </c>
      <c r="E651">
        <v>2</v>
      </c>
      <c r="F651" s="4">
        <v>642.98</v>
      </c>
      <c r="G651" t="s">
        <v>1049</v>
      </c>
      <c r="H651" t="s">
        <v>24</v>
      </c>
      <c r="I651" t="s">
        <v>49</v>
      </c>
      <c r="J651" t="s">
        <v>2442</v>
      </c>
      <c r="K651">
        <v>7</v>
      </c>
      <c r="L651" t="s">
        <v>43</v>
      </c>
      <c r="M651" t="s">
        <v>44</v>
      </c>
      <c r="N651" s="4">
        <v>1285.96</v>
      </c>
      <c r="O651" s="19" t="str">
        <f t="shared" si="50"/>
        <v>Dec-2023</v>
      </c>
      <c r="P651">
        <f t="shared" si="51"/>
        <v>2023</v>
      </c>
      <c r="Q651" t="str">
        <f t="shared" si="52"/>
        <v>OK</v>
      </c>
      <c r="R651">
        <v>1</v>
      </c>
      <c r="S651">
        <f t="shared" si="53"/>
        <v>0</v>
      </c>
      <c r="T651">
        <f t="shared" si="54"/>
        <v>1</v>
      </c>
    </row>
    <row r="652" spans="1:20">
      <c r="A652" t="s">
        <v>2443</v>
      </c>
      <c r="B652" s="3">
        <v>45064</v>
      </c>
      <c r="C652" t="s">
        <v>2444</v>
      </c>
      <c r="D652" t="s">
        <v>79</v>
      </c>
      <c r="E652">
        <v>2</v>
      </c>
      <c r="F652" s="4">
        <v>372.23</v>
      </c>
      <c r="G652" t="s">
        <v>2445</v>
      </c>
      <c r="H652" t="s">
        <v>66</v>
      </c>
      <c r="I652" t="s">
        <v>56</v>
      </c>
      <c r="J652" t="s">
        <v>2446</v>
      </c>
      <c r="K652">
        <v>7</v>
      </c>
      <c r="L652" t="s">
        <v>27</v>
      </c>
      <c r="M652" t="s">
        <v>44</v>
      </c>
      <c r="N652" s="4">
        <v>744.46</v>
      </c>
      <c r="O652" s="19" t="str">
        <f t="shared" si="50"/>
        <v>May-2023</v>
      </c>
      <c r="P652">
        <f t="shared" si="51"/>
        <v>2023</v>
      </c>
      <c r="Q652" t="str">
        <f t="shared" si="52"/>
        <v>OK</v>
      </c>
      <c r="R652">
        <v>1</v>
      </c>
      <c r="S652">
        <f t="shared" si="53"/>
        <v>0</v>
      </c>
      <c r="T652">
        <f t="shared" si="54"/>
        <v>0</v>
      </c>
    </row>
    <row r="653" spans="1:20">
      <c r="A653" t="s">
        <v>2447</v>
      </c>
      <c r="B653" s="3">
        <v>45608</v>
      </c>
      <c r="C653" t="s">
        <v>2448</v>
      </c>
      <c r="D653" t="s">
        <v>47</v>
      </c>
      <c r="E653">
        <v>3</v>
      </c>
      <c r="F653" s="4">
        <v>646.34</v>
      </c>
      <c r="G653" t="s">
        <v>800</v>
      </c>
      <c r="H653" t="s">
        <v>24</v>
      </c>
      <c r="I653" t="s">
        <v>95</v>
      </c>
      <c r="J653" t="s">
        <v>2449</v>
      </c>
      <c r="K653">
        <v>5</v>
      </c>
      <c r="M653" t="s">
        <v>82</v>
      </c>
      <c r="N653" s="4">
        <v>1939.02</v>
      </c>
      <c r="O653" s="19" t="str">
        <f t="shared" si="50"/>
        <v>Nov-2024</v>
      </c>
      <c r="P653">
        <f t="shared" si="51"/>
        <v>2024</v>
      </c>
      <c r="Q653" t="str">
        <f t="shared" si="52"/>
        <v>OK</v>
      </c>
      <c r="R653">
        <v>1</v>
      </c>
      <c r="S653">
        <f t="shared" si="53"/>
        <v>0</v>
      </c>
      <c r="T653">
        <f t="shared" si="54"/>
        <v>0</v>
      </c>
    </row>
    <row r="654" spans="1:20">
      <c r="A654" t="s">
        <v>2450</v>
      </c>
      <c r="B654" s="3">
        <v>45448</v>
      </c>
      <c r="C654" t="s">
        <v>2451</v>
      </c>
      <c r="D654" t="s">
        <v>47</v>
      </c>
      <c r="E654">
        <v>5</v>
      </c>
      <c r="F654" s="4">
        <v>341.84</v>
      </c>
      <c r="G654" t="s">
        <v>2452</v>
      </c>
      <c r="H654" t="s">
        <v>33</v>
      </c>
      <c r="I654" t="s">
        <v>25</v>
      </c>
      <c r="J654" t="s">
        <v>2453</v>
      </c>
      <c r="K654">
        <v>8</v>
      </c>
      <c r="L654" t="s">
        <v>43</v>
      </c>
      <c r="M654" t="s">
        <v>28</v>
      </c>
      <c r="N654" s="4">
        <v>1709.2</v>
      </c>
      <c r="O654" s="19" t="str">
        <f t="shared" si="50"/>
        <v>Jun-2024</v>
      </c>
      <c r="P654">
        <f t="shared" si="51"/>
        <v>2024</v>
      </c>
      <c r="Q654" t="str">
        <f t="shared" si="52"/>
        <v>OK</v>
      </c>
      <c r="R654">
        <v>1</v>
      </c>
      <c r="S654">
        <f t="shared" si="53"/>
        <v>0</v>
      </c>
      <c r="T654">
        <f t="shared" si="54"/>
        <v>0</v>
      </c>
    </row>
    <row r="655" spans="1:20">
      <c r="A655" t="s">
        <v>2454</v>
      </c>
      <c r="B655" s="3">
        <v>45347</v>
      </c>
      <c r="C655" t="s">
        <v>2455</v>
      </c>
      <c r="D655" t="s">
        <v>54</v>
      </c>
      <c r="E655">
        <v>3</v>
      </c>
      <c r="F655" s="4">
        <v>690.3</v>
      </c>
      <c r="G655" t="s">
        <v>1421</v>
      </c>
      <c r="H655" t="s">
        <v>40</v>
      </c>
      <c r="I655" t="s">
        <v>25</v>
      </c>
      <c r="J655" t="s">
        <v>2456</v>
      </c>
      <c r="K655">
        <v>6</v>
      </c>
      <c r="L655" t="s">
        <v>87</v>
      </c>
      <c r="M655" t="s">
        <v>82</v>
      </c>
      <c r="N655" s="4">
        <v>2070.9</v>
      </c>
      <c r="O655" s="19" t="str">
        <f t="shared" si="50"/>
        <v>Feb-2024</v>
      </c>
      <c r="P655">
        <f t="shared" si="51"/>
        <v>2024</v>
      </c>
      <c r="Q655" t="str">
        <f t="shared" si="52"/>
        <v>OK</v>
      </c>
      <c r="R655">
        <v>1</v>
      </c>
      <c r="S655">
        <f t="shared" si="53"/>
        <v>0</v>
      </c>
      <c r="T655">
        <f t="shared" si="54"/>
        <v>0</v>
      </c>
    </row>
    <row r="656" spans="1:20">
      <c r="A656" t="s">
        <v>2457</v>
      </c>
      <c r="B656" s="3">
        <v>45089</v>
      </c>
      <c r="C656" t="s">
        <v>2458</v>
      </c>
      <c r="D656" t="s">
        <v>38</v>
      </c>
      <c r="E656">
        <v>3</v>
      </c>
      <c r="F656" s="4">
        <v>382.37</v>
      </c>
      <c r="G656" t="s">
        <v>2459</v>
      </c>
      <c r="H656" t="s">
        <v>24</v>
      </c>
      <c r="I656" t="s">
        <v>49</v>
      </c>
      <c r="J656" t="s">
        <v>2460</v>
      </c>
      <c r="K656">
        <v>8</v>
      </c>
      <c r="M656" t="s">
        <v>28</v>
      </c>
      <c r="N656" s="4">
        <v>1147.1099999999999</v>
      </c>
      <c r="O656" s="19" t="str">
        <f t="shared" si="50"/>
        <v>Jun-2023</v>
      </c>
      <c r="P656">
        <f t="shared" si="51"/>
        <v>2023</v>
      </c>
      <c r="Q656" t="str">
        <f t="shared" si="52"/>
        <v>OK</v>
      </c>
      <c r="R656">
        <v>1</v>
      </c>
      <c r="S656">
        <f t="shared" si="53"/>
        <v>0</v>
      </c>
      <c r="T656">
        <f t="shared" si="54"/>
        <v>1</v>
      </c>
    </row>
    <row r="657" spans="1:20">
      <c r="A657" t="s">
        <v>2461</v>
      </c>
      <c r="B657" s="3">
        <v>44999</v>
      </c>
      <c r="C657" t="s">
        <v>2462</v>
      </c>
      <c r="D657" t="s">
        <v>47</v>
      </c>
      <c r="E657">
        <v>2</v>
      </c>
      <c r="F657" s="4">
        <v>132.6</v>
      </c>
      <c r="G657" t="s">
        <v>1733</v>
      </c>
      <c r="H657" t="s">
        <v>24</v>
      </c>
      <c r="I657" t="s">
        <v>41</v>
      </c>
      <c r="J657" t="s">
        <v>2463</v>
      </c>
      <c r="K657">
        <v>4</v>
      </c>
      <c r="L657" t="s">
        <v>87</v>
      </c>
      <c r="M657" t="s">
        <v>44</v>
      </c>
      <c r="N657" s="4">
        <v>265.2</v>
      </c>
      <c r="O657" s="19" t="str">
        <f t="shared" si="50"/>
        <v>Mar-2023</v>
      </c>
      <c r="P657">
        <f t="shared" si="51"/>
        <v>2023</v>
      </c>
      <c r="Q657" t="str">
        <f t="shared" si="52"/>
        <v>OK</v>
      </c>
      <c r="R657">
        <v>1</v>
      </c>
      <c r="S657">
        <f t="shared" si="53"/>
        <v>1</v>
      </c>
      <c r="T657">
        <f t="shared" si="54"/>
        <v>0</v>
      </c>
    </row>
    <row r="658" spans="1:20">
      <c r="A658" t="s">
        <v>2464</v>
      </c>
      <c r="B658" s="3">
        <v>45309</v>
      </c>
      <c r="C658" t="s">
        <v>2465</v>
      </c>
      <c r="D658" t="s">
        <v>22</v>
      </c>
      <c r="E658">
        <v>2</v>
      </c>
      <c r="F658" s="4">
        <v>189.06</v>
      </c>
      <c r="G658" t="s">
        <v>2466</v>
      </c>
      <c r="H658" t="s">
        <v>66</v>
      </c>
      <c r="I658" t="s">
        <v>25</v>
      </c>
      <c r="J658" t="s">
        <v>2467</v>
      </c>
      <c r="K658">
        <v>7</v>
      </c>
      <c r="L658" t="s">
        <v>27</v>
      </c>
      <c r="M658" t="s">
        <v>51</v>
      </c>
      <c r="N658" s="4">
        <v>378.12</v>
      </c>
      <c r="O658" s="19" t="str">
        <f t="shared" si="50"/>
        <v>Jan-2024</v>
      </c>
      <c r="P658">
        <f t="shared" si="51"/>
        <v>2024</v>
      </c>
      <c r="Q658" t="str">
        <f t="shared" si="52"/>
        <v>OK</v>
      </c>
      <c r="R658">
        <v>1</v>
      </c>
      <c r="S658">
        <f t="shared" si="53"/>
        <v>0</v>
      </c>
      <c r="T658">
        <f t="shared" si="54"/>
        <v>0</v>
      </c>
    </row>
    <row r="659" spans="1:20">
      <c r="A659" t="s">
        <v>2468</v>
      </c>
      <c r="B659" s="3">
        <v>45284</v>
      </c>
      <c r="C659" t="s">
        <v>2469</v>
      </c>
      <c r="D659" t="s">
        <v>38</v>
      </c>
      <c r="E659">
        <v>4</v>
      </c>
      <c r="F659" s="4">
        <v>87.79</v>
      </c>
      <c r="G659" t="s">
        <v>1312</v>
      </c>
      <c r="H659" t="s">
        <v>71</v>
      </c>
      <c r="I659" t="s">
        <v>41</v>
      </c>
      <c r="J659" t="s">
        <v>2470</v>
      </c>
      <c r="K659">
        <v>6</v>
      </c>
      <c r="L659" t="s">
        <v>43</v>
      </c>
      <c r="M659" t="s">
        <v>28</v>
      </c>
      <c r="N659" s="4">
        <v>351.16</v>
      </c>
      <c r="O659" s="19" t="str">
        <f t="shared" si="50"/>
        <v>Dec-2023</v>
      </c>
      <c r="P659">
        <f t="shared" si="51"/>
        <v>2023</v>
      </c>
      <c r="Q659" t="str">
        <f t="shared" si="52"/>
        <v>OK</v>
      </c>
      <c r="R659">
        <v>1</v>
      </c>
      <c r="S659">
        <f t="shared" si="53"/>
        <v>1</v>
      </c>
      <c r="T659">
        <f t="shared" si="54"/>
        <v>0</v>
      </c>
    </row>
    <row r="660" spans="1:20">
      <c r="A660" t="s">
        <v>2471</v>
      </c>
      <c r="B660" s="3">
        <v>45765</v>
      </c>
      <c r="C660" t="s">
        <v>2472</v>
      </c>
      <c r="D660" t="s">
        <v>54</v>
      </c>
      <c r="E660">
        <v>2</v>
      </c>
      <c r="F660" s="4">
        <v>46.36</v>
      </c>
      <c r="G660" t="s">
        <v>1167</v>
      </c>
      <c r="H660" t="s">
        <v>66</v>
      </c>
      <c r="I660" t="s">
        <v>49</v>
      </c>
      <c r="J660" t="s">
        <v>2473</v>
      </c>
      <c r="K660">
        <v>4</v>
      </c>
      <c r="L660" t="s">
        <v>27</v>
      </c>
      <c r="M660" t="s">
        <v>82</v>
      </c>
      <c r="N660" s="4">
        <v>92.72</v>
      </c>
      <c r="O660" s="19" t="str">
        <f t="shared" si="50"/>
        <v>Apr-2025</v>
      </c>
      <c r="P660">
        <f t="shared" si="51"/>
        <v>2025</v>
      </c>
      <c r="Q660" t="str">
        <f t="shared" si="52"/>
        <v>OK</v>
      </c>
      <c r="R660">
        <v>1</v>
      </c>
      <c r="S660">
        <f t="shared" si="53"/>
        <v>0</v>
      </c>
      <c r="T660">
        <f t="shared" si="54"/>
        <v>1</v>
      </c>
    </row>
    <row r="661" spans="1:20">
      <c r="A661" t="s">
        <v>2474</v>
      </c>
      <c r="B661" s="3">
        <v>45591</v>
      </c>
      <c r="C661" t="s">
        <v>2475</v>
      </c>
      <c r="D661" t="s">
        <v>31</v>
      </c>
      <c r="E661">
        <v>2</v>
      </c>
      <c r="F661" s="4">
        <v>642.04</v>
      </c>
      <c r="G661" t="s">
        <v>2085</v>
      </c>
      <c r="H661" t="s">
        <v>66</v>
      </c>
      <c r="I661" t="s">
        <v>56</v>
      </c>
      <c r="J661" t="s">
        <v>2476</v>
      </c>
      <c r="K661">
        <v>4</v>
      </c>
      <c r="L661" t="s">
        <v>87</v>
      </c>
      <c r="M661" t="s">
        <v>44</v>
      </c>
      <c r="N661" s="4">
        <v>1284.08</v>
      </c>
      <c r="O661" s="19" t="str">
        <f t="shared" si="50"/>
        <v>Oct-2024</v>
      </c>
      <c r="P661">
        <f t="shared" si="51"/>
        <v>2024</v>
      </c>
      <c r="Q661" t="str">
        <f t="shared" si="52"/>
        <v>OK</v>
      </c>
      <c r="R661">
        <v>1</v>
      </c>
      <c r="S661">
        <f t="shared" si="53"/>
        <v>0</v>
      </c>
      <c r="T661">
        <f t="shared" si="54"/>
        <v>0</v>
      </c>
    </row>
    <row r="662" spans="1:20">
      <c r="A662" t="s">
        <v>2477</v>
      </c>
      <c r="B662" s="3">
        <v>45584</v>
      </c>
      <c r="C662" t="s">
        <v>2478</v>
      </c>
      <c r="D662" t="s">
        <v>47</v>
      </c>
      <c r="E662">
        <v>2</v>
      </c>
      <c r="F662" s="4">
        <v>651.57000000000005</v>
      </c>
      <c r="G662" t="s">
        <v>609</v>
      </c>
      <c r="H662" t="s">
        <v>24</v>
      </c>
      <c r="I662" t="s">
        <v>25</v>
      </c>
      <c r="J662" t="s">
        <v>2479</v>
      </c>
      <c r="K662">
        <v>7</v>
      </c>
      <c r="L662" t="s">
        <v>87</v>
      </c>
      <c r="M662" t="s">
        <v>51</v>
      </c>
      <c r="N662" s="4">
        <v>1303.1400000000001</v>
      </c>
      <c r="O662" s="19" t="str">
        <f t="shared" si="50"/>
        <v>Oct-2024</v>
      </c>
      <c r="P662">
        <f t="shared" si="51"/>
        <v>2024</v>
      </c>
      <c r="Q662" t="str">
        <f t="shared" si="52"/>
        <v>OK</v>
      </c>
      <c r="R662">
        <v>1</v>
      </c>
      <c r="S662">
        <f t="shared" si="53"/>
        <v>0</v>
      </c>
      <c r="T662">
        <f t="shared" si="54"/>
        <v>0</v>
      </c>
    </row>
    <row r="663" spans="1:20">
      <c r="A663" t="s">
        <v>2480</v>
      </c>
      <c r="B663" s="3">
        <v>45716</v>
      </c>
      <c r="C663" t="s">
        <v>2481</v>
      </c>
      <c r="D663" t="s">
        <v>38</v>
      </c>
      <c r="E663">
        <v>3</v>
      </c>
      <c r="F663" s="4">
        <v>424.89</v>
      </c>
      <c r="G663" t="s">
        <v>2482</v>
      </c>
      <c r="H663" t="s">
        <v>24</v>
      </c>
      <c r="I663" t="s">
        <v>41</v>
      </c>
      <c r="J663" t="s">
        <v>2483</v>
      </c>
      <c r="K663">
        <v>6</v>
      </c>
      <c r="L663" t="s">
        <v>43</v>
      </c>
      <c r="M663" t="s">
        <v>82</v>
      </c>
      <c r="N663" s="4">
        <v>1274.67</v>
      </c>
      <c r="O663" s="19" t="str">
        <f t="shared" si="50"/>
        <v>Feb-2025</v>
      </c>
      <c r="P663">
        <f t="shared" si="51"/>
        <v>2025</v>
      </c>
      <c r="Q663" t="str">
        <f t="shared" si="52"/>
        <v>OK</v>
      </c>
      <c r="R663">
        <v>1</v>
      </c>
      <c r="S663">
        <f t="shared" si="53"/>
        <v>1</v>
      </c>
      <c r="T663">
        <f t="shared" si="54"/>
        <v>0</v>
      </c>
    </row>
    <row r="664" spans="1:20">
      <c r="A664" t="s">
        <v>2484</v>
      </c>
      <c r="B664" s="3">
        <v>44954</v>
      </c>
      <c r="C664" t="s">
        <v>2485</v>
      </c>
      <c r="D664" t="s">
        <v>64</v>
      </c>
      <c r="E664">
        <v>3</v>
      </c>
      <c r="F664" s="4">
        <v>438.89</v>
      </c>
      <c r="G664" t="s">
        <v>2486</v>
      </c>
      <c r="H664" t="s">
        <v>71</v>
      </c>
      <c r="I664" t="s">
        <v>49</v>
      </c>
      <c r="J664" t="s">
        <v>2487</v>
      </c>
      <c r="K664">
        <v>3</v>
      </c>
      <c r="M664" t="s">
        <v>51</v>
      </c>
      <c r="N664" s="4">
        <v>1316.67</v>
      </c>
      <c r="O664" s="19" t="str">
        <f t="shared" si="50"/>
        <v>Jan-2023</v>
      </c>
      <c r="P664">
        <f t="shared" si="51"/>
        <v>2023</v>
      </c>
      <c r="Q664" t="str">
        <f t="shared" si="52"/>
        <v>OK</v>
      </c>
      <c r="R664">
        <v>1</v>
      </c>
      <c r="S664">
        <f t="shared" si="53"/>
        <v>0</v>
      </c>
      <c r="T664">
        <f t="shared" si="54"/>
        <v>1</v>
      </c>
    </row>
    <row r="665" spans="1:20">
      <c r="A665" t="s">
        <v>2488</v>
      </c>
      <c r="B665" s="3">
        <v>45397</v>
      </c>
      <c r="C665" t="s">
        <v>2489</v>
      </c>
      <c r="D665" t="s">
        <v>22</v>
      </c>
      <c r="E665">
        <v>1</v>
      </c>
      <c r="F665" s="4">
        <v>72.599999999999994</v>
      </c>
      <c r="G665" t="s">
        <v>1994</v>
      </c>
      <c r="H665" t="s">
        <v>24</v>
      </c>
      <c r="I665" t="s">
        <v>41</v>
      </c>
      <c r="J665" t="s">
        <v>2490</v>
      </c>
      <c r="K665">
        <v>6</v>
      </c>
      <c r="L665" t="s">
        <v>43</v>
      </c>
      <c r="M665" t="s">
        <v>28</v>
      </c>
      <c r="N665" s="4">
        <v>72.599999999999994</v>
      </c>
      <c r="O665" s="19" t="str">
        <f t="shared" si="50"/>
        <v>Apr-2024</v>
      </c>
      <c r="P665">
        <f t="shared" si="51"/>
        <v>2024</v>
      </c>
      <c r="Q665" t="str">
        <f t="shared" si="52"/>
        <v>OK</v>
      </c>
      <c r="R665">
        <v>1</v>
      </c>
      <c r="S665">
        <f t="shared" si="53"/>
        <v>1</v>
      </c>
      <c r="T665">
        <f t="shared" si="54"/>
        <v>0</v>
      </c>
    </row>
    <row r="666" spans="1:20">
      <c r="A666" t="s">
        <v>2491</v>
      </c>
      <c r="B666" s="3">
        <v>45645</v>
      </c>
      <c r="C666" t="s">
        <v>957</v>
      </c>
      <c r="D666" t="s">
        <v>64</v>
      </c>
      <c r="E666">
        <v>4</v>
      </c>
      <c r="F666" s="4">
        <v>194.75</v>
      </c>
      <c r="G666" t="s">
        <v>2492</v>
      </c>
      <c r="H666" t="s">
        <v>71</v>
      </c>
      <c r="I666" t="s">
        <v>25</v>
      </c>
      <c r="J666" t="s">
        <v>2493</v>
      </c>
      <c r="K666">
        <v>5</v>
      </c>
      <c r="M666" t="s">
        <v>51</v>
      </c>
      <c r="N666" s="4">
        <v>779</v>
      </c>
      <c r="O666" s="19" t="str">
        <f t="shared" si="50"/>
        <v>Dec-2024</v>
      </c>
      <c r="P666">
        <f t="shared" si="51"/>
        <v>2024</v>
      </c>
      <c r="Q666" t="str">
        <f t="shared" si="52"/>
        <v>OK</v>
      </c>
      <c r="R666">
        <v>1</v>
      </c>
      <c r="S666">
        <f t="shared" si="53"/>
        <v>0</v>
      </c>
      <c r="T666">
        <f t="shared" si="54"/>
        <v>0</v>
      </c>
    </row>
    <row r="667" spans="1:20">
      <c r="A667" t="s">
        <v>2494</v>
      </c>
      <c r="B667" s="3">
        <v>45048</v>
      </c>
      <c r="C667" t="s">
        <v>2495</v>
      </c>
      <c r="D667" t="s">
        <v>38</v>
      </c>
      <c r="E667">
        <v>4</v>
      </c>
      <c r="F667" s="4">
        <v>231.26</v>
      </c>
      <c r="G667" t="s">
        <v>2496</v>
      </c>
      <c r="H667" t="s">
        <v>33</v>
      </c>
      <c r="I667" t="s">
        <v>25</v>
      </c>
      <c r="J667" t="s">
        <v>2497</v>
      </c>
      <c r="K667">
        <v>6</v>
      </c>
      <c r="L667" t="s">
        <v>87</v>
      </c>
      <c r="M667" t="s">
        <v>82</v>
      </c>
      <c r="N667" s="4">
        <v>925.04</v>
      </c>
      <c r="O667" s="19" t="str">
        <f t="shared" si="50"/>
        <v>May-2023</v>
      </c>
      <c r="P667">
        <f t="shared" si="51"/>
        <v>2023</v>
      </c>
      <c r="Q667" t="str">
        <f t="shared" si="52"/>
        <v>OK</v>
      </c>
      <c r="R667">
        <v>1</v>
      </c>
      <c r="S667">
        <f t="shared" si="53"/>
        <v>0</v>
      </c>
      <c r="T667">
        <f t="shared" si="54"/>
        <v>0</v>
      </c>
    </row>
    <row r="668" spans="1:20">
      <c r="A668" t="s">
        <v>2498</v>
      </c>
      <c r="B668" s="3">
        <v>45535</v>
      </c>
      <c r="C668" t="s">
        <v>2499</v>
      </c>
      <c r="D668" t="s">
        <v>22</v>
      </c>
      <c r="E668">
        <v>4</v>
      </c>
      <c r="F668" s="4">
        <v>327.12</v>
      </c>
      <c r="G668" t="s">
        <v>2300</v>
      </c>
      <c r="H668" t="s">
        <v>40</v>
      </c>
      <c r="I668" t="s">
        <v>41</v>
      </c>
      <c r="J668" t="s">
        <v>2500</v>
      </c>
      <c r="K668">
        <v>4</v>
      </c>
      <c r="M668" t="s">
        <v>44</v>
      </c>
      <c r="N668" s="4">
        <v>1308.48</v>
      </c>
      <c r="O668" s="19" t="str">
        <f t="shared" si="50"/>
        <v>Aug-2024</v>
      </c>
      <c r="P668">
        <f t="shared" si="51"/>
        <v>2024</v>
      </c>
      <c r="Q668" t="str">
        <f t="shared" si="52"/>
        <v>OK</v>
      </c>
      <c r="R668">
        <v>1</v>
      </c>
      <c r="S668">
        <f t="shared" si="53"/>
        <v>1</v>
      </c>
      <c r="T668">
        <f t="shared" si="54"/>
        <v>0</v>
      </c>
    </row>
    <row r="669" spans="1:20">
      <c r="A669" t="s">
        <v>2501</v>
      </c>
      <c r="B669" s="3">
        <v>45049</v>
      </c>
      <c r="C669" t="s">
        <v>2502</v>
      </c>
      <c r="D669" t="s">
        <v>64</v>
      </c>
      <c r="E669">
        <v>1</v>
      </c>
      <c r="F669" s="4">
        <v>466.42</v>
      </c>
      <c r="G669" t="s">
        <v>836</v>
      </c>
      <c r="H669" t="s">
        <v>66</v>
      </c>
      <c r="I669" t="s">
        <v>95</v>
      </c>
      <c r="J669" t="s">
        <v>2503</v>
      </c>
      <c r="K669">
        <v>5</v>
      </c>
      <c r="L669" t="s">
        <v>27</v>
      </c>
      <c r="M669" t="s">
        <v>44</v>
      </c>
      <c r="N669" s="4">
        <v>466.42</v>
      </c>
      <c r="O669" s="19" t="str">
        <f t="shared" si="50"/>
        <v>May-2023</v>
      </c>
      <c r="P669">
        <f t="shared" si="51"/>
        <v>2023</v>
      </c>
      <c r="Q669" t="str">
        <f t="shared" si="52"/>
        <v>OK</v>
      </c>
      <c r="R669">
        <v>1</v>
      </c>
      <c r="S669">
        <f t="shared" si="53"/>
        <v>0</v>
      </c>
      <c r="T669">
        <f t="shared" si="54"/>
        <v>0</v>
      </c>
    </row>
    <row r="670" spans="1:20">
      <c r="A670" t="s">
        <v>2504</v>
      </c>
      <c r="B670" s="3">
        <v>45478</v>
      </c>
      <c r="C670" t="s">
        <v>2505</v>
      </c>
      <c r="D670" t="s">
        <v>22</v>
      </c>
      <c r="E670">
        <v>2</v>
      </c>
      <c r="F670" s="4">
        <v>253.67</v>
      </c>
      <c r="G670" t="s">
        <v>636</v>
      </c>
      <c r="H670" t="s">
        <v>71</v>
      </c>
      <c r="I670" t="s">
        <v>49</v>
      </c>
      <c r="J670" t="s">
        <v>2506</v>
      </c>
      <c r="K670">
        <v>3</v>
      </c>
      <c r="L670" t="s">
        <v>87</v>
      </c>
      <c r="M670" t="s">
        <v>51</v>
      </c>
      <c r="N670" s="4">
        <v>507.34</v>
      </c>
      <c r="O670" s="19" t="str">
        <f t="shared" si="50"/>
        <v>Jul-2024</v>
      </c>
      <c r="P670">
        <f t="shared" si="51"/>
        <v>2024</v>
      </c>
      <c r="Q670" t="str">
        <f t="shared" si="52"/>
        <v>OK</v>
      </c>
      <c r="R670">
        <v>1</v>
      </c>
      <c r="S670">
        <f t="shared" si="53"/>
        <v>0</v>
      </c>
      <c r="T670">
        <f t="shared" si="54"/>
        <v>1</v>
      </c>
    </row>
    <row r="671" spans="1:20">
      <c r="A671" t="s">
        <v>2507</v>
      </c>
      <c r="B671" s="3">
        <v>44962</v>
      </c>
      <c r="C671" t="s">
        <v>2508</v>
      </c>
      <c r="D671" t="s">
        <v>79</v>
      </c>
      <c r="E671">
        <v>1</v>
      </c>
      <c r="F671" s="4">
        <v>257</v>
      </c>
      <c r="G671" t="s">
        <v>2509</v>
      </c>
      <c r="H671" t="s">
        <v>24</v>
      </c>
      <c r="I671" t="s">
        <v>41</v>
      </c>
      <c r="J671" t="s">
        <v>2510</v>
      </c>
      <c r="K671">
        <v>5</v>
      </c>
      <c r="M671" t="s">
        <v>35</v>
      </c>
      <c r="N671" s="4">
        <v>257</v>
      </c>
      <c r="O671" s="19" t="str">
        <f t="shared" si="50"/>
        <v>Feb-2023</v>
      </c>
      <c r="P671">
        <f t="shared" si="51"/>
        <v>2023</v>
      </c>
      <c r="Q671" t="str">
        <f t="shared" si="52"/>
        <v>OK</v>
      </c>
      <c r="R671">
        <v>1</v>
      </c>
      <c r="S671">
        <f t="shared" si="53"/>
        <v>1</v>
      </c>
      <c r="T671">
        <f t="shared" si="54"/>
        <v>0</v>
      </c>
    </row>
    <row r="672" spans="1:20">
      <c r="A672" t="s">
        <v>2511</v>
      </c>
      <c r="B672" s="3">
        <v>45400</v>
      </c>
      <c r="C672" t="s">
        <v>2512</v>
      </c>
      <c r="D672" t="s">
        <v>79</v>
      </c>
      <c r="E672">
        <v>4</v>
      </c>
      <c r="F672" s="4">
        <v>539.20000000000005</v>
      </c>
      <c r="G672" t="s">
        <v>1421</v>
      </c>
      <c r="H672" t="s">
        <v>40</v>
      </c>
      <c r="I672" t="s">
        <v>95</v>
      </c>
      <c r="J672" t="s">
        <v>2513</v>
      </c>
      <c r="K672">
        <v>8</v>
      </c>
      <c r="L672" t="s">
        <v>43</v>
      </c>
      <c r="M672" t="s">
        <v>82</v>
      </c>
      <c r="N672" s="4">
        <v>2156.8000000000002</v>
      </c>
      <c r="O672" s="19" t="str">
        <f t="shared" si="50"/>
        <v>Apr-2024</v>
      </c>
      <c r="P672">
        <f t="shared" si="51"/>
        <v>2024</v>
      </c>
      <c r="Q672" t="str">
        <f t="shared" si="52"/>
        <v>OK</v>
      </c>
      <c r="R672">
        <v>1</v>
      </c>
      <c r="S672">
        <f t="shared" si="53"/>
        <v>0</v>
      </c>
      <c r="T672">
        <f t="shared" si="54"/>
        <v>0</v>
      </c>
    </row>
    <row r="673" spans="1:20">
      <c r="A673" t="s">
        <v>2514</v>
      </c>
      <c r="B673" s="3">
        <v>45092</v>
      </c>
      <c r="C673" t="s">
        <v>2515</v>
      </c>
      <c r="D673" t="s">
        <v>47</v>
      </c>
      <c r="E673">
        <v>5</v>
      </c>
      <c r="F673" s="4">
        <v>50.74</v>
      </c>
      <c r="G673" t="s">
        <v>665</v>
      </c>
      <c r="H673" t="s">
        <v>66</v>
      </c>
      <c r="I673" t="s">
        <v>41</v>
      </c>
      <c r="J673" t="s">
        <v>2516</v>
      </c>
      <c r="K673">
        <v>7</v>
      </c>
      <c r="L673" t="s">
        <v>87</v>
      </c>
      <c r="M673" t="s">
        <v>82</v>
      </c>
      <c r="N673" s="4">
        <v>253.7</v>
      </c>
      <c r="O673" s="19" t="str">
        <f t="shared" si="50"/>
        <v>Jun-2023</v>
      </c>
      <c r="P673">
        <f t="shared" si="51"/>
        <v>2023</v>
      </c>
      <c r="Q673" t="str">
        <f t="shared" si="52"/>
        <v>OK</v>
      </c>
      <c r="R673">
        <v>1</v>
      </c>
      <c r="S673">
        <f t="shared" si="53"/>
        <v>1</v>
      </c>
      <c r="T673">
        <f t="shared" si="54"/>
        <v>0</v>
      </c>
    </row>
    <row r="674" spans="1:20">
      <c r="A674" t="s">
        <v>2517</v>
      </c>
      <c r="B674" s="3">
        <v>45055</v>
      </c>
      <c r="C674" t="s">
        <v>2518</v>
      </c>
      <c r="D674" t="s">
        <v>31</v>
      </c>
      <c r="E674">
        <v>2</v>
      </c>
      <c r="F674" s="4">
        <v>624.16</v>
      </c>
      <c r="G674" t="s">
        <v>2327</v>
      </c>
      <c r="H674" t="s">
        <v>24</v>
      </c>
      <c r="I674" t="s">
        <v>25</v>
      </c>
      <c r="J674" t="s">
        <v>2519</v>
      </c>
      <c r="K674">
        <v>2</v>
      </c>
      <c r="L674" t="s">
        <v>27</v>
      </c>
      <c r="M674" t="s">
        <v>28</v>
      </c>
      <c r="N674" s="4">
        <v>1248.32</v>
      </c>
      <c r="O674" s="19" t="str">
        <f t="shared" si="50"/>
        <v>May-2023</v>
      </c>
      <c r="P674">
        <f t="shared" si="51"/>
        <v>2023</v>
      </c>
      <c r="Q674" t="str">
        <f t="shared" si="52"/>
        <v>OK</v>
      </c>
      <c r="R674">
        <v>1</v>
      </c>
      <c r="S674">
        <f t="shared" si="53"/>
        <v>0</v>
      </c>
      <c r="T674">
        <f t="shared" si="54"/>
        <v>0</v>
      </c>
    </row>
    <row r="675" spans="1:20">
      <c r="A675" t="s">
        <v>2520</v>
      </c>
      <c r="B675" s="3">
        <v>44978</v>
      </c>
      <c r="C675" t="s">
        <v>2521</v>
      </c>
      <c r="D675" t="s">
        <v>38</v>
      </c>
      <c r="E675">
        <v>2</v>
      </c>
      <c r="F675" s="4">
        <v>372.92</v>
      </c>
      <c r="G675" t="s">
        <v>476</v>
      </c>
      <c r="H675" t="s">
        <v>40</v>
      </c>
      <c r="I675" t="s">
        <v>56</v>
      </c>
      <c r="J675" t="s">
        <v>2522</v>
      </c>
      <c r="K675">
        <v>7</v>
      </c>
      <c r="L675" t="s">
        <v>27</v>
      </c>
      <c r="M675" t="s">
        <v>44</v>
      </c>
      <c r="N675" s="4">
        <v>745.84</v>
      </c>
      <c r="O675" s="19" t="str">
        <f t="shared" si="50"/>
        <v>Feb-2023</v>
      </c>
      <c r="P675">
        <f t="shared" si="51"/>
        <v>2023</v>
      </c>
      <c r="Q675" t="str">
        <f t="shared" si="52"/>
        <v>OK</v>
      </c>
      <c r="R675">
        <v>1</v>
      </c>
      <c r="S675">
        <f t="shared" si="53"/>
        <v>0</v>
      </c>
      <c r="T675">
        <f t="shared" si="54"/>
        <v>0</v>
      </c>
    </row>
    <row r="676" spans="1:20">
      <c r="A676" t="s">
        <v>2523</v>
      </c>
      <c r="B676" s="3">
        <v>45300</v>
      </c>
      <c r="C676" t="s">
        <v>2524</v>
      </c>
      <c r="D676" t="s">
        <v>64</v>
      </c>
      <c r="E676">
        <v>4</v>
      </c>
      <c r="F676" s="4">
        <v>358.75</v>
      </c>
      <c r="G676" t="s">
        <v>2525</v>
      </c>
      <c r="H676" t="s">
        <v>66</v>
      </c>
      <c r="I676" t="s">
        <v>56</v>
      </c>
      <c r="J676" t="s">
        <v>2526</v>
      </c>
      <c r="K676">
        <v>9</v>
      </c>
      <c r="L676" t="s">
        <v>27</v>
      </c>
      <c r="M676" t="s">
        <v>51</v>
      </c>
      <c r="N676" s="4">
        <v>1435</v>
      </c>
      <c r="O676" s="19" t="str">
        <f t="shared" si="50"/>
        <v>Jan-2024</v>
      </c>
      <c r="P676">
        <f t="shared" si="51"/>
        <v>2024</v>
      </c>
      <c r="Q676" t="str">
        <f t="shared" si="52"/>
        <v>OK</v>
      </c>
      <c r="R676">
        <v>1</v>
      </c>
      <c r="S676">
        <f t="shared" si="53"/>
        <v>0</v>
      </c>
      <c r="T676">
        <f t="shared" si="54"/>
        <v>0</v>
      </c>
    </row>
    <row r="677" spans="1:20">
      <c r="A677" t="s">
        <v>2527</v>
      </c>
      <c r="B677" s="3">
        <v>45510</v>
      </c>
      <c r="C677" t="s">
        <v>2528</v>
      </c>
      <c r="D677" t="s">
        <v>79</v>
      </c>
      <c r="E677">
        <v>3</v>
      </c>
      <c r="F677" s="4">
        <v>342.02</v>
      </c>
      <c r="G677" t="s">
        <v>2046</v>
      </c>
      <c r="H677" t="s">
        <v>24</v>
      </c>
      <c r="I677" t="s">
        <v>95</v>
      </c>
      <c r="J677" t="s">
        <v>2529</v>
      </c>
      <c r="K677">
        <v>5</v>
      </c>
      <c r="M677" t="s">
        <v>44</v>
      </c>
      <c r="N677" s="4">
        <v>1026.06</v>
      </c>
      <c r="O677" s="19" t="str">
        <f t="shared" si="50"/>
        <v>Aug-2024</v>
      </c>
      <c r="P677">
        <f t="shared" si="51"/>
        <v>2024</v>
      </c>
      <c r="Q677" t="str">
        <f t="shared" si="52"/>
        <v>OK</v>
      </c>
      <c r="R677">
        <v>1</v>
      </c>
      <c r="S677">
        <f t="shared" si="53"/>
        <v>0</v>
      </c>
      <c r="T677">
        <f t="shared" si="54"/>
        <v>0</v>
      </c>
    </row>
    <row r="678" spans="1:20">
      <c r="A678" t="s">
        <v>2530</v>
      </c>
      <c r="B678" s="3">
        <v>45831</v>
      </c>
      <c r="C678" t="s">
        <v>2531</v>
      </c>
      <c r="D678" t="s">
        <v>64</v>
      </c>
      <c r="E678">
        <v>2</v>
      </c>
      <c r="F678" s="4">
        <v>422.34</v>
      </c>
      <c r="G678" t="s">
        <v>2486</v>
      </c>
      <c r="H678" t="s">
        <v>40</v>
      </c>
      <c r="I678" t="s">
        <v>41</v>
      </c>
      <c r="J678" t="s">
        <v>2532</v>
      </c>
      <c r="K678">
        <v>4</v>
      </c>
      <c r="L678" t="s">
        <v>43</v>
      </c>
      <c r="M678" t="s">
        <v>28</v>
      </c>
      <c r="N678" s="4">
        <v>844.68</v>
      </c>
      <c r="O678" s="19" t="str">
        <f t="shared" si="50"/>
        <v>Jun-2025</v>
      </c>
      <c r="P678">
        <f t="shared" si="51"/>
        <v>2025</v>
      </c>
      <c r="Q678" t="str">
        <f t="shared" si="52"/>
        <v>OK</v>
      </c>
      <c r="R678">
        <v>1</v>
      </c>
      <c r="S678">
        <f t="shared" si="53"/>
        <v>1</v>
      </c>
      <c r="T678">
        <f t="shared" si="54"/>
        <v>0</v>
      </c>
    </row>
    <row r="679" spans="1:20">
      <c r="A679" t="s">
        <v>2533</v>
      </c>
      <c r="B679" s="3">
        <v>45750</v>
      </c>
      <c r="C679" t="s">
        <v>2534</v>
      </c>
      <c r="D679" t="s">
        <v>38</v>
      </c>
      <c r="E679">
        <v>5</v>
      </c>
      <c r="F679" s="4">
        <v>22.07</v>
      </c>
      <c r="G679" t="s">
        <v>94</v>
      </c>
      <c r="H679" t="s">
        <v>33</v>
      </c>
      <c r="I679" t="s">
        <v>41</v>
      </c>
      <c r="J679" t="s">
        <v>2535</v>
      </c>
      <c r="K679">
        <v>7</v>
      </c>
      <c r="L679" t="s">
        <v>43</v>
      </c>
      <c r="M679" t="s">
        <v>28</v>
      </c>
      <c r="N679" s="4">
        <v>110.35</v>
      </c>
      <c r="O679" s="19" t="str">
        <f t="shared" si="50"/>
        <v>Apr-2025</v>
      </c>
      <c r="P679">
        <f t="shared" si="51"/>
        <v>2025</v>
      </c>
      <c r="Q679" t="str">
        <f t="shared" si="52"/>
        <v>OK</v>
      </c>
      <c r="R679">
        <v>1</v>
      </c>
      <c r="S679">
        <f t="shared" si="53"/>
        <v>1</v>
      </c>
      <c r="T679">
        <f t="shared" si="54"/>
        <v>0</v>
      </c>
    </row>
    <row r="680" spans="1:20">
      <c r="A680" t="s">
        <v>2536</v>
      </c>
      <c r="B680" s="3">
        <v>45620</v>
      </c>
      <c r="C680" t="s">
        <v>2537</v>
      </c>
      <c r="D680" t="s">
        <v>47</v>
      </c>
      <c r="E680">
        <v>3</v>
      </c>
      <c r="F680" s="4">
        <v>163.13</v>
      </c>
      <c r="G680" t="s">
        <v>894</v>
      </c>
      <c r="H680" t="s">
        <v>66</v>
      </c>
      <c r="I680" t="s">
        <v>25</v>
      </c>
      <c r="J680" t="s">
        <v>2538</v>
      </c>
      <c r="K680">
        <v>5</v>
      </c>
      <c r="L680" t="s">
        <v>87</v>
      </c>
      <c r="M680" t="s">
        <v>51</v>
      </c>
      <c r="N680" s="4">
        <v>489.39</v>
      </c>
      <c r="O680" s="19" t="str">
        <f t="shared" si="50"/>
        <v>Nov-2024</v>
      </c>
      <c r="P680">
        <f t="shared" si="51"/>
        <v>2024</v>
      </c>
      <c r="Q680" t="str">
        <f t="shared" si="52"/>
        <v>OK</v>
      </c>
      <c r="R680">
        <v>1</v>
      </c>
      <c r="S680">
        <f t="shared" si="53"/>
        <v>0</v>
      </c>
      <c r="T680">
        <f t="shared" si="54"/>
        <v>0</v>
      </c>
    </row>
    <row r="681" spans="1:20">
      <c r="A681" t="s">
        <v>2539</v>
      </c>
      <c r="B681" s="3">
        <v>44959</v>
      </c>
      <c r="C681" t="s">
        <v>2540</v>
      </c>
      <c r="D681" t="s">
        <v>38</v>
      </c>
      <c r="E681">
        <v>3</v>
      </c>
      <c r="F681" s="4">
        <v>360.66</v>
      </c>
      <c r="G681" t="s">
        <v>1570</v>
      </c>
      <c r="H681" t="s">
        <v>33</v>
      </c>
      <c r="I681" t="s">
        <v>49</v>
      </c>
      <c r="J681" t="s">
        <v>2541</v>
      </c>
      <c r="K681">
        <v>5</v>
      </c>
      <c r="L681" t="s">
        <v>43</v>
      </c>
      <c r="M681" t="s">
        <v>28</v>
      </c>
      <c r="N681" s="4">
        <v>1081.98</v>
      </c>
      <c r="O681" s="19" t="str">
        <f t="shared" si="50"/>
        <v>Feb-2023</v>
      </c>
      <c r="P681">
        <f t="shared" si="51"/>
        <v>2023</v>
      </c>
      <c r="Q681" t="str">
        <f t="shared" si="52"/>
        <v>OK</v>
      </c>
      <c r="R681">
        <v>1</v>
      </c>
      <c r="S681">
        <f t="shared" si="53"/>
        <v>0</v>
      </c>
      <c r="T681">
        <f t="shared" si="54"/>
        <v>1</v>
      </c>
    </row>
    <row r="682" spans="1:20">
      <c r="A682" t="s">
        <v>2542</v>
      </c>
      <c r="B682" s="3">
        <v>45165</v>
      </c>
      <c r="C682" t="s">
        <v>2543</v>
      </c>
      <c r="D682" t="s">
        <v>22</v>
      </c>
      <c r="E682">
        <v>3</v>
      </c>
      <c r="F682" s="4">
        <v>463.39</v>
      </c>
      <c r="G682" t="s">
        <v>2544</v>
      </c>
      <c r="H682" t="s">
        <v>40</v>
      </c>
      <c r="I682" t="s">
        <v>49</v>
      </c>
      <c r="J682" t="s">
        <v>2545</v>
      </c>
      <c r="K682">
        <v>3</v>
      </c>
      <c r="M682" t="s">
        <v>51</v>
      </c>
      <c r="N682" s="4">
        <v>1390.17</v>
      </c>
      <c r="O682" s="19" t="str">
        <f t="shared" si="50"/>
        <v>Aug-2023</v>
      </c>
      <c r="P682">
        <f t="shared" si="51"/>
        <v>2023</v>
      </c>
      <c r="Q682" t="str">
        <f t="shared" si="52"/>
        <v>OK</v>
      </c>
      <c r="R682">
        <v>1</v>
      </c>
      <c r="S682">
        <f t="shared" si="53"/>
        <v>0</v>
      </c>
      <c r="T682">
        <f t="shared" si="54"/>
        <v>1</v>
      </c>
    </row>
    <row r="683" spans="1:20">
      <c r="A683" t="s">
        <v>2546</v>
      </c>
      <c r="B683" s="3">
        <v>45321</v>
      </c>
      <c r="C683" t="s">
        <v>2547</v>
      </c>
      <c r="D683" t="s">
        <v>38</v>
      </c>
      <c r="E683">
        <v>1</v>
      </c>
      <c r="F683" s="4">
        <v>155.27000000000001</v>
      </c>
      <c r="G683" t="s">
        <v>2548</v>
      </c>
      <c r="H683" t="s">
        <v>24</v>
      </c>
      <c r="I683" t="s">
        <v>25</v>
      </c>
      <c r="J683" t="s">
        <v>2549</v>
      </c>
      <c r="K683">
        <v>6</v>
      </c>
      <c r="M683" t="s">
        <v>44</v>
      </c>
      <c r="N683" s="4">
        <v>155.27000000000001</v>
      </c>
      <c r="O683" s="19" t="str">
        <f t="shared" si="50"/>
        <v>Jan-2024</v>
      </c>
      <c r="P683">
        <f t="shared" si="51"/>
        <v>2024</v>
      </c>
      <c r="Q683" t="str">
        <f t="shared" si="52"/>
        <v>OK</v>
      </c>
      <c r="R683">
        <v>1</v>
      </c>
      <c r="S683">
        <f t="shared" si="53"/>
        <v>0</v>
      </c>
      <c r="T683">
        <f t="shared" si="54"/>
        <v>0</v>
      </c>
    </row>
    <row r="684" spans="1:20">
      <c r="A684" t="s">
        <v>2550</v>
      </c>
      <c r="B684" s="3">
        <v>45130</v>
      </c>
      <c r="C684" t="s">
        <v>2551</v>
      </c>
      <c r="D684" t="s">
        <v>22</v>
      </c>
      <c r="E684">
        <v>3</v>
      </c>
      <c r="F684" s="4">
        <v>509.42</v>
      </c>
      <c r="G684" t="s">
        <v>1833</v>
      </c>
      <c r="H684" t="s">
        <v>40</v>
      </c>
      <c r="I684" t="s">
        <v>41</v>
      </c>
      <c r="J684" t="s">
        <v>2552</v>
      </c>
      <c r="K684">
        <v>5</v>
      </c>
      <c r="L684" t="s">
        <v>43</v>
      </c>
      <c r="M684" t="s">
        <v>82</v>
      </c>
      <c r="N684" s="4">
        <v>1528.26</v>
      </c>
      <c r="O684" s="19" t="str">
        <f t="shared" si="50"/>
        <v>Jul-2023</v>
      </c>
      <c r="P684">
        <f t="shared" si="51"/>
        <v>2023</v>
      </c>
      <c r="Q684" t="str">
        <f t="shared" si="52"/>
        <v>OK</v>
      </c>
      <c r="R684">
        <v>1</v>
      </c>
      <c r="S684">
        <f t="shared" si="53"/>
        <v>1</v>
      </c>
      <c r="T684">
        <f t="shared" si="54"/>
        <v>0</v>
      </c>
    </row>
    <row r="685" spans="1:20">
      <c r="A685" t="s">
        <v>2553</v>
      </c>
      <c r="B685" s="3">
        <v>45795</v>
      </c>
      <c r="C685" t="s">
        <v>2554</v>
      </c>
      <c r="D685" t="s">
        <v>79</v>
      </c>
      <c r="E685">
        <v>4</v>
      </c>
      <c r="F685" s="4">
        <v>652.48</v>
      </c>
      <c r="G685" t="s">
        <v>2555</v>
      </c>
      <c r="H685" t="s">
        <v>71</v>
      </c>
      <c r="I685" t="s">
        <v>95</v>
      </c>
      <c r="J685" t="s">
        <v>2556</v>
      </c>
      <c r="K685">
        <v>5</v>
      </c>
      <c r="L685" t="s">
        <v>43</v>
      </c>
      <c r="M685" t="s">
        <v>28</v>
      </c>
      <c r="N685" s="4">
        <v>2609.92</v>
      </c>
      <c r="O685" s="19" t="str">
        <f t="shared" si="50"/>
        <v>May-2025</v>
      </c>
      <c r="P685">
        <f t="shared" si="51"/>
        <v>2025</v>
      </c>
      <c r="Q685" t="str">
        <f t="shared" si="52"/>
        <v>OK</v>
      </c>
      <c r="R685">
        <v>1</v>
      </c>
      <c r="S685">
        <f t="shared" si="53"/>
        <v>0</v>
      </c>
      <c r="T685">
        <f t="shared" si="54"/>
        <v>0</v>
      </c>
    </row>
    <row r="686" spans="1:20">
      <c r="A686" t="s">
        <v>2557</v>
      </c>
      <c r="B686" s="3">
        <v>45557</v>
      </c>
      <c r="C686" t="s">
        <v>2558</v>
      </c>
      <c r="D686" t="s">
        <v>54</v>
      </c>
      <c r="E686">
        <v>4</v>
      </c>
      <c r="F686" s="4">
        <v>34.840000000000003</v>
      </c>
      <c r="G686" t="s">
        <v>2559</v>
      </c>
      <c r="H686" t="s">
        <v>40</v>
      </c>
      <c r="I686" t="s">
        <v>25</v>
      </c>
      <c r="J686" t="s">
        <v>2560</v>
      </c>
      <c r="K686">
        <v>8</v>
      </c>
      <c r="M686" t="s">
        <v>44</v>
      </c>
      <c r="N686" s="4">
        <v>139.36000000000001</v>
      </c>
      <c r="O686" s="19" t="str">
        <f t="shared" si="50"/>
        <v>Sep-2024</v>
      </c>
      <c r="P686">
        <f t="shared" si="51"/>
        <v>2024</v>
      </c>
      <c r="Q686" t="str">
        <f t="shared" si="52"/>
        <v>OK</v>
      </c>
      <c r="R686">
        <v>1</v>
      </c>
      <c r="S686">
        <f t="shared" si="53"/>
        <v>0</v>
      </c>
      <c r="T686">
        <f t="shared" si="54"/>
        <v>0</v>
      </c>
    </row>
    <row r="687" spans="1:20">
      <c r="A687" t="s">
        <v>2561</v>
      </c>
      <c r="B687" s="3">
        <v>45695</v>
      </c>
      <c r="C687" t="s">
        <v>2562</v>
      </c>
      <c r="D687" t="s">
        <v>79</v>
      </c>
      <c r="E687">
        <v>1</v>
      </c>
      <c r="F687" s="4">
        <v>234.37</v>
      </c>
      <c r="G687" t="s">
        <v>2563</v>
      </c>
      <c r="H687" t="s">
        <v>24</v>
      </c>
      <c r="I687" t="s">
        <v>25</v>
      </c>
      <c r="J687" t="s">
        <v>2564</v>
      </c>
      <c r="K687">
        <v>5</v>
      </c>
      <c r="L687" t="s">
        <v>43</v>
      </c>
      <c r="M687" t="s">
        <v>44</v>
      </c>
      <c r="N687" s="4">
        <v>234.37</v>
      </c>
      <c r="O687" s="19" t="str">
        <f t="shared" si="50"/>
        <v>Feb-2025</v>
      </c>
      <c r="P687">
        <f t="shared" si="51"/>
        <v>2025</v>
      </c>
      <c r="Q687" t="str">
        <f t="shared" si="52"/>
        <v>OK</v>
      </c>
      <c r="R687">
        <v>1</v>
      </c>
      <c r="S687">
        <f t="shared" si="53"/>
        <v>0</v>
      </c>
      <c r="T687">
        <f t="shared" si="54"/>
        <v>0</v>
      </c>
    </row>
    <row r="688" spans="1:20">
      <c r="A688" t="s">
        <v>2565</v>
      </c>
      <c r="B688" s="3">
        <v>45208</v>
      </c>
      <c r="C688" t="s">
        <v>2566</v>
      </c>
      <c r="D688" t="s">
        <v>79</v>
      </c>
      <c r="E688">
        <v>3</v>
      </c>
      <c r="F688" s="4">
        <v>53.6</v>
      </c>
      <c r="G688" t="s">
        <v>2567</v>
      </c>
      <c r="H688" t="s">
        <v>71</v>
      </c>
      <c r="I688" t="s">
        <v>95</v>
      </c>
      <c r="J688" t="s">
        <v>2568</v>
      </c>
      <c r="K688">
        <v>4</v>
      </c>
      <c r="L688" t="s">
        <v>87</v>
      </c>
      <c r="M688" t="s">
        <v>51</v>
      </c>
      <c r="N688" s="4">
        <v>160.80000000000001</v>
      </c>
      <c r="O688" s="19" t="str">
        <f t="shared" si="50"/>
        <v>Oct-2023</v>
      </c>
      <c r="P688">
        <f t="shared" si="51"/>
        <v>2023</v>
      </c>
      <c r="Q688" t="str">
        <f t="shared" si="52"/>
        <v>OK</v>
      </c>
      <c r="R688">
        <v>1</v>
      </c>
      <c r="S688">
        <f t="shared" si="53"/>
        <v>0</v>
      </c>
      <c r="T688">
        <f t="shared" si="54"/>
        <v>0</v>
      </c>
    </row>
    <row r="689" spans="1:20">
      <c r="A689" t="s">
        <v>2569</v>
      </c>
      <c r="B689" s="3">
        <v>45182</v>
      </c>
      <c r="C689" t="s">
        <v>2570</v>
      </c>
      <c r="D689" t="s">
        <v>38</v>
      </c>
      <c r="E689">
        <v>1</v>
      </c>
      <c r="F689" s="4">
        <v>332.09</v>
      </c>
      <c r="G689" t="s">
        <v>2571</v>
      </c>
      <c r="H689" t="s">
        <v>66</v>
      </c>
      <c r="I689" t="s">
        <v>49</v>
      </c>
      <c r="J689" t="s">
        <v>2572</v>
      </c>
      <c r="K689">
        <v>5</v>
      </c>
      <c r="L689" t="s">
        <v>43</v>
      </c>
      <c r="M689" t="s">
        <v>28</v>
      </c>
      <c r="N689" s="4">
        <v>332.09</v>
      </c>
      <c r="O689" s="19" t="str">
        <f t="shared" si="50"/>
        <v>Sep-2023</v>
      </c>
      <c r="P689">
        <f t="shared" si="51"/>
        <v>2023</v>
      </c>
      <c r="Q689" t="str">
        <f t="shared" si="52"/>
        <v>OK</v>
      </c>
      <c r="R689">
        <v>1</v>
      </c>
      <c r="S689">
        <f t="shared" si="53"/>
        <v>0</v>
      </c>
      <c r="T689">
        <f t="shared" si="54"/>
        <v>1</v>
      </c>
    </row>
    <row r="690" spans="1:20">
      <c r="A690" t="s">
        <v>2573</v>
      </c>
      <c r="B690" s="3">
        <v>45357</v>
      </c>
      <c r="C690" t="s">
        <v>2574</v>
      </c>
      <c r="D690" t="s">
        <v>22</v>
      </c>
      <c r="E690">
        <v>4</v>
      </c>
      <c r="F690" s="4">
        <v>593.22</v>
      </c>
      <c r="G690" t="s">
        <v>2317</v>
      </c>
      <c r="H690" t="s">
        <v>40</v>
      </c>
      <c r="I690" t="s">
        <v>41</v>
      </c>
      <c r="J690" t="s">
        <v>2575</v>
      </c>
      <c r="K690">
        <v>8</v>
      </c>
      <c r="L690" t="s">
        <v>87</v>
      </c>
      <c r="M690" t="s">
        <v>51</v>
      </c>
      <c r="N690" s="4">
        <v>2372.88</v>
      </c>
      <c r="O690" s="19" t="str">
        <f t="shared" si="50"/>
        <v>Mar-2024</v>
      </c>
      <c r="P690">
        <f t="shared" si="51"/>
        <v>2024</v>
      </c>
      <c r="Q690" t="str">
        <f t="shared" si="52"/>
        <v>OK</v>
      </c>
      <c r="R690">
        <v>1</v>
      </c>
      <c r="S690">
        <f t="shared" si="53"/>
        <v>1</v>
      </c>
      <c r="T690">
        <f t="shared" si="54"/>
        <v>0</v>
      </c>
    </row>
    <row r="691" spans="1:20">
      <c r="A691" t="s">
        <v>2576</v>
      </c>
      <c r="B691" s="3">
        <v>45167</v>
      </c>
      <c r="C691" t="s">
        <v>2577</v>
      </c>
      <c r="D691" t="s">
        <v>38</v>
      </c>
      <c r="E691">
        <v>2</v>
      </c>
      <c r="F691" s="4">
        <v>444.84</v>
      </c>
      <c r="G691" t="s">
        <v>2578</v>
      </c>
      <c r="H691" t="s">
        <v>33</v>
      </c>
      <c r="I691" t="s">
        <v>25</v>
      </c>
      <c r="J691" t="s">
        <v>2579</v>
      </c>
      <c r="K691">
        <v>7</v>
      </c>
      <c r="M691" t="s">
        <v>51</v>
      </c>
      <c r="N691" s="4">
        <v>889.68</v>
      </c>
      <c r="O691" s="19" t="str">
        <f t="shared" si="50"/>
        <v>Aug-2023</v>
      </c>
      <c r="P691">
        <f t="shared" si="51"/>
        <v>2023</v>
      </c>
      <c r="Q691" t="str">
        <f t="shared" si="52"/>
        <v>OK</v>
      </c>
      <c r="R691">
        <v>1</v>
      </c>
      <c r="S691">
        <f t="shared" si="53"/>
        <v>0</v>
      </c>
      <c r="T691">
        <f t="shared" si="54"/>
        <v>0</v>
      </c>
    </row>
    <row r="692" spans="1:20">
      <c r="A692" t="s">
        <v>2580</v>
      </c>
      <c r="B692" s="3">
        <v>45485</v>
      </c>
      <c r="C692" t="s">
        <v>2581</v>
      </c>
      <c r="D692" t="s">
        <v>22</v>
      </c>
      <c r="E692">
        <v>1</v>
      </c>
      <c r="F692" s="4">
        <v>24.48</v>
      </c>
      <c r="G692" t="s">
        <v>187</v>
      </c>
      <c r="H692" t="s">
        <v>66</v>
      </c>
      <c r="I692" t="s">
        <v>49</v>
      </c>
      <c r="J692" t="s">
        <v>2582</v>
      </c>
      <c r="K692">
        <v>1</v>
      </c>
      <c r="M692" t="s">
        <v>28</v>
      </c>
      <c r="N692" s="4">
        <v>24.48</v>
      </c>
      <c r="O692" s="19" t="str">
        <f t="shared" si="50"/>
        <v>Jul-2024</v>
      </c>
      <c r="P692">
        <f t="shared" si="51"/>
        <v>2024</v>
      </c>
      <c r="Q692" t="str">
        <f t="shared" si="52"/>
        <v>OK</v>
      </c>
      <c r="R692">
        <v>1</v>
      </c>
      <c r="S692">
        <f t="shared" si="53"/>
        <v>0</v>
      </c>
      <c r="T692">
        <f t="shared" si="54"/>
        <v>1</v>
      </c>
    </row>
    <row r="693" spans="1:20">
      <c r="A693" t="s">
        <v>2583</v>
      </c>
      <c r="B693" s="3">
        <v>45620</v>
      </c>
      <c r="C693" t="s">
        <v>2584</v>
      </c>
      <c r="D693" t="s">
        <v>64</v>
      </c>
      <c r="E693">
        <v>3</v>
      </c>
      <c r="F693" s="4">
        <v>239.08</v>
      </c>
      <c r="G693" t="s">
        <v>2585</v>
      </c>
      <c r="H693" t="s">
        <v>71</v>
      </c>
      <c r="I693" t="s">
        <v>25</v>
      </c>
      <c r="J693" t="s">
        <v>2586</v>
      </c>
      <c r="K693">
        <v>8</v>
      </c>
      <c r="M693" t="s">
        <v>82</v>
      </c>
      <c r="N693" s="4">
        <v>717.24</v>
      </c>
      <c r="O693" s="19" t="str">
        <f t="shared" si="50"/>
        <v>Nov-2024</v>
      </c>
      <c r="P693">
        <f t="shared" si="51"/>
        <v>2024</v>
      </c>
      <c r="Q693" t="str">
        <f t="shared" si="52"/>
        <v>OK</v>
      </c>
      <c r="R693">
        <v>1</v>
      </c>
      <c r="S693">
        <f t="shared" si="53"/>
        <v>0</v>
      </c>
      <c r="T693">
        <f t="shared" si="54"/>
        <v>0</v>
      </c>
    </row>
    <row r="694" spans="1:20">
      <c r="A694" t="s">
        <v>2587</v>
      </c>
      <c r="B694" s="3">
        <v>44949</v>
      </c>
      <c r="C694" t="s">
        <v>2588</v>
      </c>
      <c r="D694" t="s">
        <v>79</v>
      </c>
      <c r="E694">
        <v>5</v>
      </c>
      <c r="F694" s="4">
        <v>196.84</v>
      </c>
      <c r="G694" t="s">
        <v>1566</v>
      </c>
      <c r="H694" t="s">
        <v>40</v>
      </c>
      <c r="I694" t="s">
        <v>56</v>
      </c>
      <c r="J694" t="s">
        <v>2589</v>
      </c>
      <c r="K694">
        <v>5</v>
      </c>
      <c r="L694" t="s">
        <v>87</v>
      </c>
      <c r="M694" t="s">
        <v>28</v>
      </c>
      <c r="N694" s="4">
        <v>984.2</v>
      </c>
      <c r="O694" s="19" t="str">
        <f t="shared" si="50"/>
        <v>Jan-2023</v>
      </c>
      <c r="P694">
        <f t="shared" si="51"/>
        <v>2023</v>
      </c>
      <c r="Q694" t="str">
        <f t="shared" si="52"/>
        <v>OK</v>
      </c>
      <c r="R694">
        <v>1</v>
      </c>
      <c r="S694">
        <f t="shared" si="53"/>
        <v>0</v>
      </c>
      <c r="T694">
        <f t="shared" si="54"/>
        <v>0</v>
      </c>
    </row>
    <row r="695" spans="1:20">
      <c r="A695" t="s">
        <v>2590</v>
      </c>
      <c r="B695" s="3">
        <v>45728</v>
      </c>
      <c r="C695" t="s">
        <v>2591</v>
      </c>
      <c r="D695" t="s">
        <v>22</v>
      </c>
      <c r="E695">
        <v>1</v>
      </c>
      <c r="F695" s="4">
        <v>176.58</v>
      </c>
      <c r="G695" t="s">
        <v>2592</v>
      </c>
      <c r="H695" t="s">
        <v>24</v>
      </c>
      <c r="I695" t="s">
        <v>49</v>
      </c>
      <c r="J695" t="s">
        <v>2593</v>
      </c>
      <c r="K695">
        <v>4</v>
      </c>
      <c r="M695" t="s">
        <v>35</v>
      </c>
      <c r="N695" s="4">
        <v>176.58</v>
      </c>
      <c r="O695" s="19" t="str">
        <f t="shared" si="50"/>
        <v>Mar-2025</v>
      </c>
      <c r="P695">
        <f t="shared" si="51"/>
        <v>2025</v>
      </c>
      <c r="Q695" t="str">
        <f t="shared" si="52"/>
        <v>OK</v>
      </c>
      <c r="R695">
        <v>1</v>
      </c>
      <c r="S695">
        <f t="shared" si="53"/>
        <v>0</v>
      </c>
      <c r="T695">
        <f t="shared" si="54"/>
        <v>1</v>
      </c>
    </row>
    <row r="696" spans="1:20">
      <c r="A696" t="s">
        <v>2594</v>
      </c>
      <c r="B696" s="3">
        <v>45201</v>
      </c>
      <c r="C696" t="s">
        <v>2595</v>
      </c>
      <c r="D696" t="s">
        <v>54</v>
      </c>
      <c r="E696">
        <v>4</v>
      </c>
      <c r="F696" s="4">
        <v>666.52</v>
      </c>
      <c r="G696" t="s">
        <v>1358</v>
      </c>
      <c r="H696" t="s">
        <v>71</v>
      </c>
      <c r="I696" t="s">
        <v>25</v>
      </c>
      <c r="J696" t="s">
        <v>2596</v>
      </c>
      <c r="K696">
        <v>8</v>
      </c>
      <c r="L696" t="s">
        <v>43</v>
      </c>
      <c r="M696" t="s">
        <v>44</v>
      </c>
      <c r="N696" s="4">
        <v>2666.08</v>
      </c>
      <c r="O696" s="19" t="str">
        <f t="shared" si="50"/>
        <v>Oct-2023</v>
      </c>
      <c r="P696">
        <f t="shared" si="51"/>
        <v>2023</v>
      </c>
      <c r="Q696" t="str">
        <f t="shared" si="52"/>
        <v>OK</v>
      </c>
      <c r="R696">
        <v>1</v>
      </c>
      <c r="S696">
        <f t="shared" si="53"/>
        <v>0</v>
      </c>
      <c r="T696">
        <f t="shared" si="54"/>
        <v>0</v>
      </c>
    </row>
    <row r="697" spans="1:20">
      <c r="A697" t="s">
        <v>2597</v>
      </c>
      <c r="B697" s="3">
        <v>45619</v>
      </c>
      <c r="C697" t="s">
        <v>2598</v>
      </c>
      <c r="D697" t="s">
        <v>54</v>
      </c>
      <c r="E697">
        <v>5</v>
      </c>
      <c r="F697" s="4">
        <v>101.3</v>
      </c>
      <c r="G697" t="s">
        <v>733</v>
      </c>
      <c r="H697" t="s">
        <v>33</v>
      </c>
      <c r="I697" t="s">
        <v>25</v>
      </c>
      <c r="J697" t="s">
        <v>2599</v>
      </c>
      <c r="K697">
        <v>7</v>
      </c>
      <c r="L697" t="s">
        <v>43</v>
      </c>
      <c r="M697" t="s">
        <v>44</v>
      </c>
      <c r="N697" s="4">
        <v>506.5</v>
      </c>
      <c r="O697" s="19" t="str">
        <f t="shared" si="50"/>
        <v>Nov-2024</v>
      </c>
      <c r="P697">
        <f t="shared" si="51"/>
        <v>2024</v>
      </c>
      <c r="Q697" t="str">
        <f t="shared" si="52"/>
        <v>OK</v>
      </c>
      <c r="R697">
        <v>1</v>
      </c>
      <c r="S697">
        <f t="shared" si="53"/>
        <v>0</v>
      </c>
      <c r="T697">
        <f t="shared" si="54"/>
        <v>0</v>
      </c>
    </row>
    <row r="698" spans="1:20">
      <c r="A698" t="s">
        <v>2600</v>
      </c>
      <c r="B698" s="3">
        <v>45109</v>
      </c>
      <c r="C698" t="s">
        <v>2601</v>
      </c>
      <c r="D698" t="s">
        <v>47</v>
      </c>
      <c r="E698">
        <v>4</v>
      </c>
      <c r="F698" s="4">
        <v>151.19999999999999</v>
      </c>
      <c r="G698" t="s">
        <v>2602</v>
      </c>
      <c r="H698" t="s">
        <v>66</v>
      </c>
      <c r="I698" t="s">
        <v>95</v>
      </c>
      <c r="J698" t="s">
        <v>2603</v>
      </c>
      <c r="K698">
        <v>9</v>
      </c>
      <c r="L698" t="s">
        <v>87</v>
      </c>
      <c r="M698" t="s">
        <v>51</v>
      </c>
      <c r="N698" s="4">
        <v>604.79999999999995</v>
      </c>
      <c r="O698" s="19" t="str">
        <f t="shared" si="50"/>
        <v>Jul-2023</v>
      </c>
      <c r="P698">
        <f t="shared" si="51"/>
        <v>2023</v>
      </c>
      <c r="Q698" t="str">
        <f t="shared" si="52"/>
        <v>OK</v>
      </c>
      <c r="R698">
        <v>1</v>
      </c>
      <c r="S698">
        <f t="shared" si="53"/>
        <v>0</v>
      </c>
      <c r="T698">
        <f t="shared" si="54"/>
        <v>0</v>
      </c>
    </row>
    <row r="699" spans="1:20">
      <c r="A699" t="s">
        <v>2604</v>
      </c>
      <c r="B699" s="3">
        <v>45692</v>
      </c>
      <c r="C699" t="s">
        <v>2605</v>
      </c>
      <c r="D699" t="s">
        <v>54</v>
      </c>
      <c r="E699">
        <v>5</v>
      </c>
      <c r="F699" s="4">
        <v>94.85</v>
      </c>
      <c r="G699" t="s">
        <v>2300</v>
      </c>
      <c r="H699" t="s">
        <v>71</v>
      </c>
      <c r="I699" t="s">
        <v>25</v>
      </c>
      <c r="J699" t="s">
        <v>2606</v>
      </c>
      <c r="K699">
        <v>6</v>
      </c>
      <c r="L699" t="s">
        <v>87</v>
      </c>
      <c r="M699" t="s">
        <v>44</v>
      </c>
      <c r="N699" s="4">
        <v>474.25</v>
      </c>
      <c r="O699" s="19" t="str">
        <f t="shared" si="50"/>
        <v>Feb-2025</v>
      </c>
      <c r="P699">
        <f t="shared" si="51"/>
        <v>2025</v>
      </c>
      <c r="Q699" t="str">
        <f t="shared" si="52"/>
        <v>OK</v>
      </c>
      <c r="R699">
        <v>1</v>
      </c>
      <c r="S699">
        <f t="shared" si="53"/>
        <v>0</v>
      </c>
      <c r="T699">
        <f t="shared" si="54"/>
        <v>0</v>
      </c>
    </row>
    <row r="700" spans="1:20">
      <c r="A700" t="s">
        <v>2607</v>
      </c>
      <c r="B700" s="3">
        <v>44930</v>
      </c>
      <c r="C700" t="s">
        <v>2608</v>
      </c>
      <c r="D700" t="s">
        <v>64</v>
      </c>
      <c r="E700">
        <v>2</v>
      </c>
      <c r="F700" s="4">
        <v>388.22</v>
      </c>
      <c r="G700" t="s">
        <v>1929</v>
      </c>
      <c r="H700" t="s">
        <v>71</v>
      </c>
      <c r="I700" t="s">
        <v>56</v>
      </c>
      <c r="J700" t="s">
        <v>2609</v>
      </c>
      <c r="K700">
        <v>2</v>
      </c>
      <c r="L700" t="s">
        <v>87</v>
      </c>
      <c r="M700" t="s">
        <v>28</v>
      </c>
      <c r="N700" s="4">
        <v>776.44</v>
      </c>
      <c r="O700" s="19" t="str">
        <f t="shared" si="50"/>
        <v>Jan-2023</v>
      </c>
      <c r="P700">
        <f t="shared" si="51"/>
        <v>2023</v>
      </c>
      <c r="Q700" t="str">
        <f t="shared" si="52"/>
        <v>OK</v>
      </c>
      <c r="R700">
        <v>1</v>
      </c>
      <c r="S700">
        <f t="shared" si="53"/>
        <v>0</v>
      </c>
      <c r="T700">
        <f t="shared" si="54"/>
        <v>0</v>
      </c>
    </row>
    <row r="701" spans="1:20">
      <c r="A701" t="s">
        <v>2610</v>
      </c>
      <c r="B701" s="3">
        <v>45243</v>
      </c>
      <c r="C701" t="s">
        <v>2611</v>
      </c>
      <c r="D701" t="s">
        <v>64</v>
      </c>
      <c r="E701">
        <v>3</v>
      </c>
      <c r="F701" s="4">
        <v>614.15</v>
      </c>
      <c r="G701" t="s">
        <v>2612</v>
      </c>
      <c r="H701" t="s">
        <v>66</v>
      </c>
      <c r="I701" t="s">
        <v>41</v>
      </c>
      <c r="J701" t="s">
        <v>2613</v>
      </c>
      <c r="K701">
        <v>3</v>
      </c>
      <c r="M701" t="s">
        <v>51</v>
      </c>
      <c r="N701" s="4">
        <v>1842.45</v>
      </c>
      <c r="O701" s="19" t="str">
        <f t="shared" si="50"/>
        <v>Nov-2023</v>
      </c>
      <c r="P701">
        <f t="shared" si="51"/>
        <v>2023</v>
      </c>
      <c r="Q701" t="str">
        <f t="shared" si="52"/>
        <v>OK</v>
      </c>
      <c r="R701">
        <v>1</v>
      </c>
      <c r="S701">
        <f t="shared" si="53"/>
        <v>1</v>
      </c>
      <c r="T701">
        <f t="shared" si="54"/>
        <v>0</v>
      </c>
    </row>
    <row r="702" spans="1:20">
      <c r="A702" t="s">
        <v>2614</v>
      </c>
      <c r="B702" s="3">
        <v>45560</v>
      </c>
      <c r="C702" t="s">
        <v>2615</v>
      </c>
      <c r="D702" t="s">
        <v>64</v>
      </c>
      <c r="E702">
        <v>2</v>
      </c>
      <c r="F702" s="4">
        <v>92.91</v>
      </c>
      <c r="G702" t="s">
        <v>2616</v>
      </c>
      <c r="H702" t="s">
        <v>71</v>
      </c>
      <c r="I702" t="s">
        <v>49</v>
      </c>
      <c r="J702" t="s">
        <v>2617</v>
      </c>
      <c r="K702">
        <v>3</v>
      </c>
      <c r="L702" t="s">
        <v>87</v>
      </c>
      <c r="M702" t="s">
        <v>28</v>
      </c>
      <c r="N702" s="4">
        <v>185.82</v>
      </c>
      <c r="O702" s="19" t="str">
        <f t="shared" si="50"/>
        <v>Sep-2024</v>
      </c>
      <c r="P702">
        <f t="shared" si="51"/>
        <v>2024</v>
      </c>
      <c r="Q702" t="str">
        <f t="shared" si="52"/>
        <v>OK</v>
      </c>
      <c r="R702">
        <v>1</v>
      </c>
      <c r="S702">
        <f t="shared" si="53"/>
        <v>0</v>
      </c>
      <c r="T702">
        <f t="shared" si="54"/>
        <v>1</v>
      </c>
    </row>
    <row r="703" spans="1:20">
      <c r="A703" t="s">
        <v>2618</v>
      </c>
      <c r="B703" s="3">
        <v>45466</v>
      </c>
      <c r="C703" t="s">
        <v>2619</v>
      </c>
      <c r="D703" t="s">
        <v>22</v>
      </c>
      <c r="E703">
        <v>3</v>
      </c>
      <c r="F703" s="4">
        <v>92.22</v>
      </c>
      <c r="G703" t="s">
        <v>496</v>
      </c>
      <c r="H703" t="s">
        <v>40</v>
      </c>
      <c r="I703" t="s">
        <v>56</v>
      </c>
      <c r="J703" t="s">
        <v>2620</v>
      </c>
      <c r="K703">
        <v>5</v>
      </c>
      <c r="L703" t="s">
        <v>43</v>
      </c>
      <c r="M703" t="s">
        <v>44</v>
      </c>
      <c r="N703" s="4">
        <v>276.66000000000003</v>
      </c>
      <c r="O703" s="19" t="str">
        <f t="shared" si="50"/>
        <v>Jun-2024</v>
      </c>
      <c r="P703">
        <f t="shared" si="51"/>
        <v>2024</v>
      </c>
      <c r="Q703" t="str">
        <f t="shared" si="52"/>
        <v>OK</v>
      </c>
      <c r="R703">
        <v>1</v>
      </c>
      <c r="S703">
        <f t="shared" si="53"/>
        <v>0</v>
      </c>
      <c r="T703">
        <f t="shared" si="54"/>
        <v>0</v>
      </c>
    </row>
    <row r="704" spans="1:20">
      <c r="A704" t="s">
        <v>2621</v>
      </c>
      <c r="B704" s="3">
        <v>45452</v>
      </c>
      <c r="C704" t="s">
        <v>2622</v>
      </c>
      <c r="D704" t="s">
        <v>54</v>
      </c>
      <c r="E704">
        <v>3</v>
      </c>
      <c r="F704" s="4">
        <v>562.54999999999995</v>
      </c>
      <c r="G704" t="s">
        <v>2317</v>
      </c>
      <c r="H704" t="s">
        <v>24</v>
      </c>
      <c r="I704" t="s">
        <v>49</v>
      </c>
      <c r="J704" t="s">
        <v>2623</v>
      </c>
      <c r="K704">
        <v>6</v>
      </c>
      <c r="M704" t="s">
        <v>44</v>
      </c>
      <c r="N704" s="4">
        <v>1687.65</v>
      </c>
      <c r="O704" s="19" t="str">
        <f t="shared" si="50"/>
        <v>Jun-2024</v>
      </c>
      <c r="P704">
        <f t="shared" si="51"/>
        <v>2024</v>
      </c>
      <c r="Q704" t="str">
        <f t="shared" si="52"/>
        <v>OK</v>
      </c>
      <c r="R704">
        <v>1</v>
      </c>
      <c r="S704">
        <f t="shared" si="53"/>
        <v>0</v>
      </c>
      <c r="T704">
        <f t="shared" si="54"/>
        <v>1</v>
      </c>
    </row>
    <row r="705" spans="1:20">
      <c r="A705" t="s">
        <v>2624</v>
      </c>
      <c r="B705" s="3">
        <v>45007</v>
      </c>
      <c r="C705" t="s">
        <v>2625</v>
      </c>
      <c r="D705" t="s">
        <v>79</v>
      </c>
      <c r="E705">
        <v>1</v>
      </c>
      <c r="F705" s="4">
        <v>92.79</v>
      </c>
      <c r="G705" t="s">
        <v>2626</v>
      </c>
      <c r="H705" t="s">
        <v>71</v>
      </c>
      <c r="I705" t="s">
        <v>95</v>
      </c>
      <c r="J705" t="s">
        <v>2627</v>
      </c>
      <c r="K705">
        <v>3</v>
      </c>
      <c r="L705" t="s">
        <v>87</v>
      </c>
      <c r="M705" t="s">
        <v>44</v>
      </c>
      <c r="N705" s="4">
        <v>92.79</v>
      </c>
      <c r="O705" s="19" t="str">
        <f t="shared" si="50"/>
        <v>Mar-2023</v>
      </c>
      <c r="P705">
        <f t="shared" si="51"/>
        <v>2023</v>
      </c>
      <c r="Q705" t="str">
        <f t="shared" si="52"/>
        <v>OK</v>
      </c>
      <c r="R705">
        <v>1</v>
      </c>
      <c r="S705">
        <f t="shared" si="53"/>
        <v>0</v>
      </c>
      <c r="T705">
        <f t="shared" si="54"/>
        <v>0</v>
      </c>
    </row>
    <row r="706" spans="1:20">
      <c r="A706" t="s">
        <v>2628</v>
      </c>
      <c r="B706" s="3">
        <v>45080</v>
      </c>
      <c r="C706" t="s">
        <v>2629</v>
      </c>
      <c r="D706" t="s">
        <v>79</v>
      </c>
      <c r="E706">
        <v>4</v>
      </c>
      <c r="F706" s="4">
        <v>30.27</v>
      </c>
      <c r="G706" t="s">
        <v>669</v>
      </c>
      <c r="H706" t="s">
        <v>33</v>
      </c>
      <c r="I706" t="s">
        <v>56</v>
      </c>
      <c r="J706" t="s">
        <v>2630</v>
      </c>
      <c r="K706">
        <v>9</v>
      </c>
      <c r="L706" t="s">
        <v>43</v>
      </c>
      <c r="M706" t="s">
        <v>82</v>
      </c>
      <c r="N706" s="4">
        <v>121.08</v>
      </c>
      <c r="O706" s="19" t="str">
        <f t="shared" ref="O706:O769" si="55">TEXT(B706,"mmm-yyyy")</f>
        <v>Jun-2023</v>
      </c>
      <c r="P706">
        <f t="shared" ref="P706:P769" si="56">YEAR(B706)</f>
        <v>2023</v>
      </c>
      <c r="Q706" t="str">
        <f t="shared" ref="Q706:Q769" si="57">IF(ABS(N706-(E706*F706))&lt;0.01,"OK","CHECK")</f>
        <v>OK</v>
      </c>
      <c r="R706">
        <v>1</v>
      </c>
      <c r="S706">
        <f t="shared" ref="S706:S769" si="58">IF(I706="Cancelled",1,0)</f>
        <v>0</v>
      </c>
      <c r="T706">
        <f t="shared" ref="T706:T769" si="59">IF(I706="Returned",1,0)</f>
        <v>0</v>
      </c>
    </row>
    <row r="707" spans="1:20">
      <c r="A707" t="s">
        <v>2631</v>
      </c>
      <c r="B707" s="3">
        <v>45746</v>
      </c>
      <c r="C707" t="s">
        <v>2632</v>
      </c>
      <c r="D707" t="s">
        <v>22</v>
      </c>
      <c r="E707">
        <v>2</v>
      </c>
      <c r="F707" s="4">
        <v>49.08</v>
      </c>
      <c r="G707" t="s">
        <v>2633</v>
      </c>
      <c r="H707" t="s">
        <v>24</v>
      </c>
      <c r="I707" t="s">
        <v>49</v>
      </c>
      <c r="J707" t="s">
        <v>2634</v>
      </c>
      <c r="K707">
        <v>7</v>
      </c>
      <c r="L707" t="s">
        <v>43</v>
      </c>
      <c r="M707" t="s">
        <v>28</v>
      </c>
      <c r="N707" s="4">
        <v>98.16</v>
      </c>
      <c r="O707" s="19" t="str">
        <f t="shared" si="55"/>
        <v>Mar-2025</v>
      </c>
      <c r="P707">
        <f t="shared" si="56"/>
        <v>2025</v>
      </c>
      <c r="Q707" t="str">
        <f t="shared" si="57"/>
        <v>OK</v>
      </c>
      <c r="R707">
        <v>1</v>
      </c>
      <c r="S707">
        <f t="shared" si="58"/>
        <v>0</v>
      </c>
      <c r="T707">
        <f t="shared" si="59"/>
        <v>1</v>
      </c>
    </row>
    <row r="708" spans="1:20">
      <c r="A708" t="s">
        <v>2635</v>
      </c>
      <c r="B708" s="3">
        <v>45718</v>
      </c>
      <c r="C708" t="s">
        <v>2636</v>
      </c>
      <c r="D708" t="s">
        <v>79</v>
      </c>
      <c r="E708">
        <v>5</v>
      </c>
      <c r="F708" s="4">
        <v>228.09</v>
      </c>
      <c r="G708" t="s">
        <v>1476</v>
      </c>
      <c r="H708" t="s">
        <v>66</v>
      </c>
      <c r="I708" t="s">
        <v>49</v>
      </c>
      <c r="J708" t="s">
        <v>2637</v>
      </c>
      <c r="K708">
        <v>9</v>
      </c>
      <c r="L708" t="s">
        <v>43</v>
      </c>
      <c r="M708" t="s">
        <v>51</v>
      </c>
      <c r="N708" s="4">
        <v>1140.45</v>
      </c>
      <c r="O708" s="19" t="str">
        <f t="shared" si="55"/>
        <v>Mar-2025</v>
      </c>
      <c r="P708">
        <f t="shared" si="56"/>
        <v>2025</v>
      </c>
      <c r="Q708" t="str">
        <f t="shared" si="57"/>
        <v>OK</v>
      </c>
      <c r="R708">
        <v>1</v>
      </c>
      <c r="S708">
        <f t="shared" si="58"/>
        <v>0</v>
      </c>
      <c r="T708">
        <f t="shared" si="59"/>
        <v>1</v>
      </c>
    </row>
    <row r="709" spans="1:20">
      <c r="A709" t="s">
        <v>2638</v>
      </c>
      <c r="B709" s="3">
        <v>45597</v>
      </c>
      <c r="C709" t="s">
        <v>2639</v>
      </c>
      <c r="D709" t="s">
        <v>47</v>
      </c>
      <c r="E709">
        <v>4</v>
      </c>
      <c r="F709" s="4">
        <v>650.04</v>
      </c>
      <c r="G709" t="s">
        <v>373</v>
      </c>
      <c r="H709" t="s">
        <v>66</v>
      </c>
      <c r="I709" t="s">
        <v>41</v>
      </c>
      <c r="J709" t="s">
        <v>2640</v>
      </c>
      <c r="K709">
        <v>6</v>
      </c>
      <c r="L709" t="s">
        <v>27</v>
      </c>
      <c r="M709" t="s">
        <v>51</v>
      </c>
      <c r="N709" s="4">
        <v>2600.16</v>
      </c>
      <c r="O709" s="19" t="str">
        <f t="shared" si="55"/>
        <v>Nov-2024</v>
      </c>
      <c r="P709">
        <f t="shared" si="56"/>
        <v>2024</v>
      </c>
      <c r="Q709" t="str">
        <f t="shared" si="57"/>
        <v>OK</v>
      </c>
      <c r="R709">
        <v>1</v>
      </c>
      <c r="S709">
        <f t="shared" si="58"/>
        <v>1</v>
      </c>
      <c r="T709">
        <f t="shared" si="59"/>
        <v>0</v>
      </c>
    </row>
    <row r="710" spans="1:20">
      <c r="A710" t="s">
        <v>2641</v>
      </c>
      <c r="B710" s="3">
        <v>45720</v>
      </c>
      <c r="C710" t="s">
        <v>2642</v>
      </c>
      <c r="D710" t="s">
        <v>54</v>
      </c>
      <c r="E710">
        <v>1</v>
      </c>
      <c r="F710" s="4">
        <v>665.11</v>
      </c>
      <c r="G710" t="s">
        <v>2300</v>
      </c>
      <c r="H710" t="s">
        <v>71</v>
      </c>
      <c r="I710" t="s">
        <v>95</v>
      </c>
      <c r="J710" t="s">
        <v>2643</v>
      </c>
      <c r="K710">
        <v>3</v>
      </c>
      <c r="L710" t="s">
        <v>43</v>
      </c>
      <c r="M710" t="s">
        <v>28</v>
      </c>
      <c r="N710" s="4">
        <v>665.11</v>
      </c>
      <c r="O710" s="19" t="str">
        <f t="shared" si="55"/>
        <v>Mar-2025</v>
      </c>
      <c r="P710">
        <f t="shared" si="56"/>
        <v>2025</v>
      </c>
      <c r="Q710" t="str">
        <f t="shared" si="57"/>
        <v>OK</v>
      </c>
      <c r="R710">
        <v>1</v>
      </c>
      <c r="S710">
        <f t="shared" si="58"/>
        <v>0</v>
      </c>
      <c r="T710">
        <f t="shared" si="59"/>
        <v>0</v>
      </c>
    </row>
    <row r="711" spans="1:20">
      <c r="A711" t="s">
        <v>2644</v>
      </c>
      <c r="B711" s="3">
        <v>45633</v>
      </c>
      <c r="C711" t="s">
        <v>2645</v>
      </c>
      <c r="D711" t="s">
        <v>79</v>
      </c>
      <c r="E711">
        <v>1</v>
      </c>
      <c r="F711" s="4">
        <v>386.03</v>
      </c>
      <c r="G711" t="s">
        <v>2646</v>
      </c>
      <c r="H711" t="s">
        <v>33</v>
      </c>
      <c r="I711" t="s">
        <v>95</v>
      </c>
      <c r="J711" t="s">
        <v>2647</v>
      </c>
      <c r="K711">
        <v>4</v>
      </c>
      <c r="L711" t="s">
        <v>43</v>
      </c>
      <c r="M711" t="s">
        <v>82</v>
      </c>
      <c r="N711" s="4">
        <v>386.03</v>
      </c>
      <c r="O711" s="19" t="str">
        <f t="shared" si="55"/>
        <v>Dec-2024</v>
      </c>
      <c r="P711">
        <f t="shared" si="56"/>
        <v>2024</v>
      </c>
      <c r="Q711" t="str">
        <f t="shared" si="57"/>
        <v>OK</v>
      </c>
      <c r="R711">
        <v>1</v>
      </c>
      <c r="S711">
        <f t="shared" si="58"/>
        <v>0</v>
      </c>
      <c r="T711">
        <f t="shared" si="59"/>
        <v>0</v>
      </c>
    </row>
    <row r="712" spans="1:20">
      <c r="A712" t="s">
        <v>2648</v>
      </c>
      <c r="B712" s="3">
        <v>45495</v>
      </c>
      <c r="C712" t="s">
        <v>2649</v>
      </c>
      <c r="D712" t="s">
        <v>64</v>
      </c>
      <c r="E712">
        <v>5</v>
      </c>
      <c r="F712" s="4">
        <v>21.54</v>
      </c>
      <c r="G712" t="s">
        <v>2650</v>
      </c>
      <c r="H712" t="s">
        <v>66</v>
      </c>
      <c r="I712" t="s">
        <v>49</v>
      </c>
      <c r="J712" t="s">
        <v>2651</v>
      </c>
      <c r="K712">
        <v>10</v>
      </c>
      <c r="M712" t="s">
        <v>82</v>
      </c>
      <c r="N712" s="4">
        <v>107.7</v>
      </c>
      <c r="O712" s="19" t="str">
        <f t="shared" si="55"/>
        <v>Jul-2024</v>
      </c>
      <c r="P712">
        <f t="shared" si="56"/>
        <v>2024</v>
      </c>
      <c r="Q712" t="str">
        <f t="shared" si="57"/>
        <v>OK</v>
      </c>
      <c r="R712">
        <v>1</v>
      </c>
      <c r="S712">
        <f t="shared" si="58"/>
        <v>0</v>
      </c>
      <c r="T712">
        <f t="shared" si="59"/>
        <v>1</v>
      </c>
    </row>
    <row r="713" spans="1:20">
      <c r="A713" t="s">
        <v>2652</v>
      </c>
      <c r="B713" s="3">
        <v>45477</v>
      </c>
      <c r="C713" t="s">
        <v>2653</v>
      </c>
      <c r="D713" t="s">
        <v>38</v>
      </c>
      <c r="E713">
        <v>2</v>
      </c>
      <c r="F713" s="4">
        <v>475.78</v>
      </c>
      <c r="G713" t="s">
        <v>2654</v>
      </c>
      <c r="H713" t="s">
        <v>33</v>
      </c>
      <c r="I713" t="s">
        <v>25</v>
      </c>
      <c r="J713" t="s">
        <v>2655</v>
      </c>
      <c r="K713">
        <v>2</v>
      </c>
      <c r="L713" t="s">
        <v>87</v>
      </c>
      <c r="M713" t="s">
        <v>82</v>
      </c>
      <c r="N713" s="4">
        <v>951.56</v>
      </c>
      <c r="O713" s="19" t="str">
        <f t="shared" si="55"/>
        <v>Jul-2024</v>
      </c>
      <c r="P713">
        <f t="shared" si="56"/>
        <v>2024</v>
      </c>
      <c r="Q713" t="str">
        <f t="shared" si="57"/>
        <v>OK</v>
      </c>
      <c r="R713">
        <v>1</v>
      </c>
      <c r="S713">
        <f t="shared" si="58"/>
        <v>0</v>
      </c>
      <c r="T713">
        <f t="shared" si="59"/>
        <v>0</v>
      </c>
    </row>
    <row r="714" spans="1:20">
      <c r="A714" t="s">
        <v>2656</v>
      </c>
      <c r="B714" s="3">
        <v>45300</v>
      </c>
      <c r="C714" t="s">
        <v>2125</v>
      </c>
      <c r="D714" t="s">
        <v>38</v>
      </c>
      <c r="E714">
        <v>2</v>
      </c>
      <c r="F714" s="4">
        <v>68.400000000000006</v>
      </c>
      <c r="G714" t="s">
        <v>2657</v>
      </c>
      <c r="H714" t="s">
        <v>66</v>
      </c>
      <c r="I714" t="s">
        <v>95</v>
      </c>
      <c r="J714" t="s">
        <v>2658</v>
      </c>
      <c r="K714">
        <v>7</v>
      </c>
      <c r="L714" t="s">
        <v>43</v>
      </c>
      <c r="M714" t="s">
        <v>44</v>
      </c>
      <c r="N714" s="4">
        <v>136.80000000000001</v>
      </c>
      <c r="O714" s="19" t="str">
        <f t="shared" si="55"/>
        <v>Jan-2024</v>
      </c>
      <c r="P714">
        <f t="shared" si="56"/>
        <v>2024</v>
      </c>
      <c r="Q714" t="str">
        <f t="shared" si="57"/>
        <v>OK</v>
      </c>
      <c r="R714">
        <v>1</v>
      </c>
      <c r="S714">
        <f t="shared" si="58"/>
        <v>0</v>
      </c>
      <c r="T714">
        <f t="shared" si="59"/>
        <v>0</v>
      </c>
    </row>
    <row r="715" spans="1:20">
      <c r="A715" t="s">
        <v>2659</v>
      </c>
      <c r="B715" s="3">
        <v>45829</v>
      </c>
      <c r="C715" t="s">
        <v>2660</v>
      </c>
      <c r="D715" t="s">
        <v>38</v>
      </c>
      <c r="E715">
        <v>4</v>
      </c>
      <c r="F715" s="4">
        <v>532.49</v>
      </c>
      <c r="G715" t="s">
        <v>2563</v>
      </c>
      <c r="H715" t="s">
        <v>33</v>
      </c>
      <c r="I715" t="s">
        <v>41</v>
      </c>
      <c r="J715" t="s">
        <v>2661</v>
      </c>
      <c r="K715">
        <v>6</v>
      </c>
      <c r="L715" t="s">
        <v>27</v>
      </c>
      <c r="M715" t="s">
        <v>51</v>
      </c>
      <c r="N715" s="4">
        <v>2129.96</v>
      </c>
      <c r="O715" s="19" t="str">
        <f t="shared" si="55"/>
        <v>Jun-2025</v>
      </c>
      <c r="P715">
        <f t="shared" si="56"/>
        <v>2025</v>
      </c>
      <c r="Q715" t="str">
        <f t="shared" si="57"/>
        <v>OK</v>
      </c>
      <c r="R715">
        <v>1</v>
      </c>
      <c r="S715">
        <f t="shared" si="58"/>
        <v>1</v>
      </c>
      <c r="T715">
        <f t="shared" si="59"/>
        <v>0</v>
      </c>
    </row>
    <row r="716" spans="1:20">
      <c r="A716" t="s">
        <v>2662</v>
      </c>
      <c r="B716" s="3">
        <v>45037</v>
      </c>
      <c r="C716" t="s">
        <v>2663</v>
      </c>
      <c r="D716" t="s">
        <v>64</v>
      </c>
      <c r="E716">
        <v>1</v>
      </c>
      <c r="F716" s="4">
        <v>51.73</v>
      </c>
      <c r="G716" t="s">
        <v>1182</v>
      </c>
      <c r="H716" t="s">
        <v>24</v>
      </c>
      <c r="I716" t="s">
        <v>95</v>
      </c>
      <c r="J716" t="s">
        <v>2664</v>
      </c>
      <c r="K716">
        <v>1</v>
      </c>
      <c r="L716" t="s">
        <v>43</v>
      </c>
      <c r="M716" t="s">
        <v>51</v>
      </c>
      <c r="N716" s="4">
        <v>51.73</v>
      </c>
      <c r="O716" s="19" t="str">
        <f t="shared" si="55"/>
        <v>Apr-2023</v>
      </c>
      <c r="P716">
        <f t="shared" si="56"/>
        <v>2023</v>
      </c>
      <c r="Q716" t="str">
        <f t="shared" si="57"/>
        <v>OK</v>
      </c>
      <c r="R716">
        <v>1</v>
      </c>
      <c r="S716">
        <f t="shared" si="58"/>
        <v>0</v>
      </c>
      <c r="T716">
        <f t="shared" si="59"/>
        <v>0</v>
      </c>
    </row>
    <row r="717" spans="1:20">
      <c r="A717" t="s">
        <v>2665</v>
      </c>
      <c r="B717" s="3">
        <v>45499</v>
      </c>
      <c r="C717" t="s">
        <v>2666</v>
      </c>
      <c r="D717" t="s">
        <v>54</v>
      </c>
      <c r="E717">
        <v>3</v>
      </c>
      <c r="F717" s="4">
        <v>653.63</v>
      </c>
      <c r="G717" t="s">
        <v>2667</v>
      </c>
      <c r="H717" t="s">
        <v>33</v>
      </c>
      <c r="I717" t="s">
        <v>56</v>
      </c>
      <c r="J717" t="s">
        <v>2668</v>
      </c>
      <c r="K717">
        <v>7</v>
      </c>
      <c r="L717" t="s">
        <v>43</v>
      </c>
      <c r="M717" t="s">
        <v>44</v>
      </c>
      <c r="N717" s="4">
        <v>1960.89</v>
      </c>
      <c r="O717" s="19" t="str">
        <f t="shared" si="55"/>
        <v>Jul-2024</v>
      </c>
      <c r="P717">
        <f t="shared" si="56"/>
        <v>2024</v>
      </c>
      <c r="Q717" t="str">
        <f t="shared" si="57"/>
        <v>OK</v>
      </c>
      <c r="R717">
        <v>1</v>
      </c>
      <c r="S717">
        <f t="shared" si="58"/>
        <v>0</v>
      </c>
      <c r="T717">
        <f t="shared" si="59"/>
        <v>0</v>
      </c>
    </row>
    <row r="718" spans="1:20">
      <c r="A718" t="s">
        <v>2669</v>
      </c>
      <c r="B718" s="3">
        <v>45456</v>
      </c>
      <c r="C718" t="s">
        <v>2670</v>
      </c>
      <c r="D718" t="s">
        <v>47</v>
      </c>
      <c r="E718">
        <v>3</v>
      </c>
      <c r="F718" s="4">
        <v>454.29</v>
      </c>
      <c r="G718" t="s">
        <v>119</v>
      </c>
      <c r="H718" t="s">
        <v>40</v>
      </c>
      <c r="I718" t="s">
        <v>95</v>
      </c>
      <c r="J718" t="s">
        <v>2671</v>
      </c>
      <c r="K718">
        <v>4</v>
      </c>
      <c r="L718" t="s">
        <v>87</v>
      </c>
      <c r="M718" t="s">
        <v>82</v>
      </c>
      <c r="N718" s="4">
        <v>1362.87</v>
      </c>
      <c r="O718" s="19" t="str">
        <f t="shared" si="55"/>
        <v>Jun-2024</v>
      </c>
      <c r="P718">
        <f t="shared" si="56"/>
        <v>2024</v>
      </c>
      <c r="Q718" t="str">
        <f t="shared" si="57"/>
        <v>OK</v>
      </c>
      <c r="R718">
        <v>1</v>
      </c>
      <c r="S718">
        <f t="shared" si="58"/>
        <v>0</v>
      </c>
      <c r="T718">
        <f t="shared" si="59"/>
        <v>0</v>
      </c>
    </row>
    <row r="719" spans="1:20">
      <c r="A719" t="s">
        <v>2672</v>
      </c>
      <c r="B719" s="3">
        <v>45215</v>
      </c>
      <c r="C719" t="s">
        <v>2673</v>
      </c>
      <c r="D719" t="s">
        <v>47</v>
      </c>
      <c r="E719">
        <v>3</v>
      </c>
      <c r="F719" s="4">
        <v>122.11</v>
      </c>
      <c r="G719" t="s">
        <v>2674</v>
      </c>
      <c r="H719" t="s">
        <v>33</v>
      </c>
      <c r="I719" t="s">
        <v>56</v>
      </c>
      <c r="J719" t="s">
        <v>2675</v>
      </c>
      <c r="K719">
        <v>4</v>
      </c>
      <c r="L719" t="s">
        <v>87</v>
      </c>
      <c r="M719" t="s">
        <v>44</v>
      </c>
      <c r="N719" s="4">
        <v>366.33</v>
      </c>
      <c r="O719" s="19" t="str">
        <f t="shared" si="55"/>
        <v>Oct-2023</v>
      </c>
      <c r="P719">
        <f t="shared" si="56"/>
        <v>2023</v>
      </c>
      <c r="Q719" t="str">
        <f t="shared" si="57"/>
        <v>OK</v>
      </c>
      <c r="R719">
        <v>1</v>
      </c>
      <c r="S719">
        <f t="shared" si="58"/>
        <v>0</v>
      </c>
      <c r="T719">
        <f t="shared" si="59"/>
        <v>0</v>
      </c>
    </row>
    <row r="720" spans="1:20">
      <c r="A720" t="s">
        <v>2676</v>
      </c>
      <c r="B720" s="3">
        <v>45024</v>
      </c>
      <c r="C720" t="s">
        <v>2677</v>
      </c>
      <c r="D720" t="s">
        <v>64</v>
      </c>
      <c r="E720">
        <v>4</v>
      </c>
      <c r="F720" s="4">
        <v>64.739999999999995</v>
      </c>
      <c r="G720" t="s">
        <v>2678</v>
      </c>
      <c r="H720" t="s">
        <v>66</v>
      </c>
      <c r="I720" t="s">
        <v>41</v>
      </c>
      <c r="J720" t="s">
        <v>2679</v>
      </c>
      <c r="K720">
        <v>8</v>
      </c>
      <c r="L720" t="s">
        <v>27</v>
      </c>
      <c r="M720" t="s">
        <v>82</v>
      </c>
      <c r="N720" s="4">
        <v>258.95999999999998</v>
      </c>
      <c r="O720" s="19" t="str">
        <f t="shared" si="55"/>
        <v>Apr-2023</v>
      </c>
      <c r="P720">
        <f t="shared" si="56"/>
        <v>2023</v>
      </c>
      <c r="Q720" t="str">
        <f t="shared" si="57"/>
        <v>OK</v>
      </c>
      <c r="R720">
        <v>1</v>
      </c>
      <c r="S720">
        <f t="shared" si="58"/>
        <v>1</v>
      </c>
      <c r="T720">
        <f t="shared" si="59"/>
        <v>0</v>
      </c>
    </row>
    <row r="721" spans="1:20">
      <c r="A721" t="s">
        <v>2680</v>
      </c>
      <c r="B721" s="3">
        <v>45312</v>
      </c>
      <c r="C721" t="s">
        <v>2681</v>
      </c>
      <c r="D721" t="s">
        <v>64</v>
      </c>
      <c r="E721">
        <v>2</v>
      </c>
      <c r="F721" s="4">
        <v>681.06</v>
      </c>
      <c r="G721" t="s">
        <v>2682</v>
      </c>
      <c r="H721" t="s">
        <v>24</v>
      </c>
      <c r="I721" t="s">
        <v>25</v>
      </c>
      <c r="J721" t="s">
        <v>2683</v>
      </c>
      <c r="K721">
        <v>3</v>
      </c>
      <c r="L721" t="s">
        <v>43</v>
      </c>
      <c r="M721" t="s">
        <v>51</v>
      </c>
      <c r="N721" s="4">
        <v>1362.12</v>
      </c>
      <c r="O721" s="19" t="str">
        <f t="shared" si="55"/>
        <v>Jan-2024</v>
      </c>
      <c r="P721">
        <f t="shared" si="56"/>
        <v>2024</v>
      </c>
      <c r="Q721" t="str">
        <f t="shared" si="57"/>
        <v>OK</v>
      </c>
      <c r="R721">
        <v>1</v>
      </c>
      <c r="S721">
        <f t="shared" si="58"/>
        <v>0</v>
      </c>
      <c r="T721">
        <f t="shared" si="59"/>
        <v>0</v>
      </c>
    </row>
    <row r="722" spans="1:20">
      <c r="A722" t="s">
        <v>2684</v>
      </c>
      <c r="B722" s="3">
        <v>45190</v>
      </c>
      <c r="C722" t="s">
        <v>2685</v>
      </c>
      <c r="D722" t="s">
        <v>79</v>
      </c>
      <c r="E722">
        <v>5</v>
      </c>
      <c r="F722" s="4">
        <v>128.94999999999999</v>
      </c>
      <c r="G722" t="s">
        <v>2686</v>
      </c>
      <c r="H722" t="s">
        <v>71</v>
      </c>
      <c r="I722" t="s">
        <v>95</v>
      </c>
      <c r="J722" t="s">
        <v>2687</v>
      </c>
      <c r="K722">
        <v>10</v>
      </c>
      <c r="L722" t="s">
        <v>43</v>
      </c>
      <c r="M722" t="s">
        <v>28</v>
      </c>
      <c r="N722" s="4">
        <v>644.75</v>
      </c>
      <c r="O722" s="19" t="str">
        <f t="shared" si="55"/>
        <v>Sep-2023</v>
      </c>
      <c r="P722">
        <f t="shared" si="56"/>
        <v>2023</v>
      </c>
      <c r="Q722" t="str">
        <f t="shared" si="57"/>
        <v>OK</v>
      </c>
      <c r="R722">
        <v>1</v>
      </c>
      <c r="S722">
        <f t="shared" si="58"/>
        <v>0</v>
      </c>
      <c r="T722">
        <f t="shared" si="59"/>
        <v>0</v>
      </c>
    </row>
    <row r="723" spans="1:20">
      <c r="A723" t="s">
        <v>2688</v>
      </c>
      <c r="B723" s="3">
        <v>45369</v>
      </c>
      <c r="C723" t="s">
        <v>2689</v>
      </c>
      <c r="D723" t="s">
        <v>79</v>
      </c>
      <c r="E723">
        <v>2</v>
      </c>
      <c r="F723" s="4">
        <v>118.59</v>
      </c>
      <c r="G723" t="s">
        <v>2690</v>
      </c>
      <c r="H723" t="s">
        <v>40</v>
      </c>
      <c r="I723" t="s">
        <v>56</v>
      </c>
      <c r="J723" t="s">
        <v>2691</v>
      </c>
      <c r="K723">
        <v>2</v>
      </c>
      <c r="M723" t="s">
        <v>44</v>
      </c>
      <c r="N723" s="4">
        <v>237.18</v>
      </c>
      <c r="O723" s="19" t="str">
        <f t="shared" si="55"/>
        <v>Mar-2024</v>
      </c>
      <c r="P723">
        <f t="shared" si="56"/>
        <v>2024</v>
      </c>
      <c r="Q723" t="str">
        <f t="shared" si="57"/>
        <v>OK</v>
      </c>
      <c r="R723">
        <v>1</v>
      </c>
      <c r="S723">
        <f t="shared" si="58"/>
        <v>0</v>
      </c>
      <c r="T723">
        <f t="shared" si="59"/>
        <v>0</v>
      </c>
    </row>
    <row r="724" spans="1:20">
      <c r="A724" t="s">
        <v>2692</v>
      </c>
      <c r="B724" s="3">
        <v>45611</v>
      </c>
      <c r="C724" t="s">
        <v>2693</v>
      </c>
      <c r="D724" t="s">
        <v>54</v>
      </c>
      <c r="E724">
        <v>1</v>
      </c>
      <c r="F724" s="4">
        <v>95.1</v>
      </c>
      <c r="G724" t="s">
        <v>1143</v>
      </c>
      <c r="H724" t="s">
        <v>66</v>
      </c>
      <c r="I724" t="s">
        <v>95</v>
      </c>
      <c r="J724" t="s">
        <v>2694</v>
      </c>
      <c r="K724">
        <v>1</v>
      </c>
      <c r="L724" t="s">
        <v>87</v>
      </c>
      <c r="M724" t="s">
        <v>28</v>
      </c>
      <c r="N724" s="4">
        <v>95.1</v>
      </c>
      <c r="O724" s="19" t="str">
        <f t="shared" si="55"/>
        <v>Nov-2024</v>
      </c>
      <c r="P724">
        <f t="shared" si="56"/>
        <v>2024</v>
      </c>
      <c r="Q724" t="str">
        <f t="shared" si="57"/>
        <v>OK</v>
      </c>
      <c r="R724">
        <v>1</v>
      </c>
      <c r="S724">
        <f t="shared" si="58"/>
        <v>0</v>
      </c>
      <c r="T724">
        <f t="shared" si="59"/>
        <v>0</v>
      </c>
    </row>
    <row r="725" spans="1:20">
      <c r="A725" t="s">
        <v>2695</v>
      </c>
      <c r="B725" s="3">
        <v>45269</v>
      </c>
      <c r="C725" t="s">
        <v>2696</v>
      </c>
      <c r="D725" t="s">
        <v>79</v>
      </c>
      <c r="E725">
        <v>3</v>
      </c>
      <c r="F725" s="4">
        <v>54.95</v>
      </c>
      <c r="G725" t="s">
        <v>303</v>
      </c>
      <c r="H725" t="s">
        <v>71</v>
      </c>
      <c r="I725" t="s">
        <v>49</v>
      </c>
      <c r="J725" t="s">
        <v>2697</v>
      </c>
      <c r="K725">
        <v>8</v>
      </c>
      <c r="L725" t="s">
        <v>27</v>
      </c>
      <c r="M725" t="s">
        <v>35</v>
      </c>
      <c r="N725" s="4">
        <v>164.85</v>
      </c>
      <c r="O725" s="19" t="str">
        <f t="shared" si="55"/>
        <v>Dec-2023</v>
      </c>
      <c r="P725">
        <f t="shared" si="56"/>
        <v>2023</v>
      </c>
      <c r="Q725" t="str">
        <f t="shared" si="57"/>
        <v>OK</v>
      </c>
      <c r="R725">
        <v>1</v>
      </c>
      <c r="S725">
        <f t="shared" si="58"/>
        <v>0</v>
      </c>
      <c r="T725">
        <f t="shared" si="59"/>
        <v>1</v>
      </c>
    </row>
    <row r="726" spans="1:20">
      <c r="A726" t="s">
        <v>2698</v>
      </c>
      <c r="B726" s="3">
        <v>45583</v>
      </c>
      <c r="C726" t="s">
        <v>2699</v>
      </c>
      <c r="D726" t="s">
        <v>54</v>
      </c>
      <c r="E726">
        <v>3</v>
      </c>
      <c r="F726" s="4">
        <v>136.97</v>
      </c>
      <c r="G726" t="s">
        <v>1216</v>
      </c>
      <c r="H726" t="s">
        <v>40</v>
      </c>
      <c r="I726" t="s">
        <v>49</v>
      </c>
      <c r="J726" t="s">
        <v>2700</v>
      </c>
      <c r="K726">
        <v>4</v>
      </c>
      <c r="L726" t="s">
        <v>43</v>
      </c>
      <c r="M726" t="s">
        <v>35</v>
      </c>
      <c r="N726" s="4">
        <v>410.91</v>
      </c>
      <c r="O726" s="19" t="str">
        <f t="shared" si="55"/>
        <v>Oct-2024</v>
      </c>
      <c r="P726">
        <f t="shared" si="56"/>
        <v>2024</v>
      </c>
      <c r="Q726" t="str">
        <f t="shared" si="57"/>
        <v>OK</v>
      </c>
      <c r="R726">
        <v>1</v>
      </c>
      <c r="S726">
        <f t="shared" si="58"/>
        <v>0</v>
      </c>
      <c r="T726">
        <f t="shared" si="59"/>
        <v>1</v>
      </c>
    </row>
    <row r="727" spans="1:20">
      <c r="A727" t="s">
        <v>2701</v>
      </c>
      <c r="B727" s="3">
        <v>44997</v>
      </c>
      <c r="C727" t="s">
        <v>2702</v>
      </c>
      <c r="D727" t="s">
        <v>47</v>
      </c>
      <c r="E727">
        <v>2</v>
      </c>
      <c r="F727" s="4">
        <v>194.85</v>
      </c>
      <c r="G727" t="s">
        <v>1903</v>
      </c>
      <c r="H727" t="s">
        <v>66</v>
      </c>
      <c r="I727" t="s">
        <v>49</v>
      </c>
      <c r="J727" t="s">
        <v>2703</v>
      </c>
      <c r="K727">
        <v>5</v>
      </c>
      <c r="M727" t="s">
        <v>35</v>
      </c>
      <c r="N727" s="4">
        <v>389.7</v>
      </c>
      <c r="O727" s="19" t="str">
        <f t="shared" si="55"/>
        <v>Mar-2023</v>
      </c>
      <c r="P727">
        <f t="shared" si="56"/>
        <v>2023</v>
      </c>
      <c r="Q727" t="str">
        <f t="shared" si="57"/>
        <v>OK</v>
      </c>
      <c r="R727">
        <v>1</v>
      </c>
      <c r="S727">
        <f t="shared" si="58"/>
        <v>0</v>
      </c>
      <c r="T727">
        <f t="shared" si="59"/>
        <v>1</v>
      </c>
    </row>
    <row r="728" spans="1:20">
      <c r="A728" t="s">
        <v>2704</v>
      </c>
      <c r="B728" s="3">
        <v>45590</v>
      </c>
      <c r="C728" t="s">
        <v>2705</v>
      </c>
      <c r="D728" t="s">
        <v>64</v>
      </c>
      <c r="E728">
        <v>4</v>
      </c>
      <c r="F728" s="4">
        <v>583.02</v>
      </c>
      <c r="G728" t="s">
        <v>2706</v>
      </c>
      <c r="H728" t="s">
        <v>33</v>
      </c>
      <c r="I728" t="s">
        <v>56</v>
      </c>
      <c r="J728" t="s">
        <v>2707</v>
      </c>
      <c r="K728">
        <v>4</v>
      </c>
      <c r="L728" t="s">
        <v>43</v>
      </c>
      <c r="M728" t="s">
        <v>51</v>
      </c>
      <c r="N728" s="4">
        <v>2332.08</v>
      </c>
      <c r="O728" s="19" t="str">
        <f t="shared" si="55"/>
        <v>Oct-2024</v>
      </c>
      <c r="P728">
        <f t="shared" si="56"/>
        <v>2024</v>
      </c>
      <c r="Q728" t="str">
        <f t="shared" si="57"/>
        <v>OK</v>
      </c>
      <c r="R728">
        <v>1</v>
      </c>
      <c r="S728">
        <f t="shared" si="58"/>
        <v>0</v>
      </c>
      <c r="T728">
        <f t="shared" si="59"/>
        <v>0</v>
      </c>
    </row>
    <row r="729" spans="1:20">
      <c r="A729" t="s">
        <v>2708</v>
      </c>
      <c r="B729" s="3">
        <v>45564</v>
      </c>
      <c r="C729" t="s">
        <v>2709</v>
      </c>
      <c r="D729" t="s">
        <v>47</v>
      </c>
      <c r="E729">
        <v>5</v>
      </c>
      <c r="F729" s="4">
        <v>95.75</v>
      </c>
      <c r="G729" t="s">
        <v>1666</v>
      </c>
      <c r="H729" t="s">
        <v>33</v>
      </c>
      <c r="I729" t="s">
        <v>25</v>
      </c>
      <c r="J729" t="s">
        <v>2710</v>
      </c>
      <c r="K729">
        <v>8</v>
      </c>
      <c r="L729" t="s">
        <v>27</v>
      </c>
      <c r="M729" t="s">
        <v>28</v>
      </c>
      <c r="N729" s="4">
        <v>478.75</v>
      </c>
      <c r="O729" s="19" t="str">
        <f t="shared" si="55"/>
        <v>Sep-2024</v>
      </c>
      <c r="P729">
        <f t="shared" si="56"/>
        <v>2024</v>
      </c>
      <c r="Q729" t="str">
        <f t="shared" si="57"/>
        <v>OK</v>
      </c>
      <c r="R729">
        <v>1</v>
      </c>
      <c r="S729">
        <f t="shared" si="58"/>
        <v>0</v>
      </c>
      <c r="T729">
        <f t="shared" si="59"/>
        <v>0</v>
      </c>
    </row>
    <row r="730" spans="1:20">
      <c r="A730" t="s">
        <v>2711</v>
      </c>
      <c r="B730" s="3">
        <v>45502</v>
      </c>
      <c r="C730" t="s">
        <v>2712</v>
      </c>
      <c r="D730" t="s">
        <v>79</v>
      </c>
      <c r="E730">
        <v>4</v>
      </c>
      <c r="F730" s="4">
        <v>325.76</v>
      </c>
      <c r="G730" t="s">
        <v>2713</v>
      </c>
      <c r="H730" t="s">
        <v>66</v>
      </c>
      <c r="I730" t="s">
        <v>25</v>
      </c>
      <c r="J730" t="s">
        <v>2714</v>
      </c>
      <c r="K730">
        <v>8</v>
      </c>
      <c r="L730" t="s">
        <v>87</v>
      </c>
      <c r="M730" t="s">
        <v>44</v>
      </c>
      <c r="N730" s="4">
        <v>1303.04</v>
      </c>
      <c r="O730" s="19" t="str">
        <f t="shared" si="55"/>
        <v>Jul-2024</v>
      </c>
      <c r="P730">
        <f t="shared" si="56"/>
        <v>2024</v>
      </c>
      <c r="Q730" t="str">
        <f t="shared" si="57"/>
        <v>OK</v>
      </c>
      <c r="R730">
        <v>1</v>
      </c>
      <c r="S730">
        <f t="shared" si="58"/>
        <v>0</v>
      </c>
      <c r="T730">
        <f t="shared" si="59"/>
        <v>0</v>
      </c>
    </row>
    <row r="731" spans="1:20">
      <c r="A731" t="s">
        <v>2715</v>
      </c>
      <c r="B731" s="3">
        <v>45177</v>
      </c>
      <c r="C731" t="s">
        <v>2716</v>
      </c>
      <c r="D731" t="s">
        <v>31</v>
      </c>
      <c r="E731">
        <v>4</v>
      </c>
      <c r="F731" s="4">
        <v>186.41</v>
      </c>
      <c r="G731" t="s">
        <v>669</v>
      </c>
      <c r="H731" t="s">
        <v>66</v>
      </c>
      <c r="I731" t="s">
        <v>95</v>
      </c>
      <c r="J731" t="s">
        <v>2717</v>
      </c>
      <c r="K731">
        <v>6</v>
      </c>
      <c r="L731" t="s">
        <v>27</v>
      </c>
      <c r="M731" t="s">
        <v>82</v>
      </c>
      <c r="N731" s="4">
        <v>745.64</v>
      </c>
      <c r="O731" s="19" t="str">
        <f t="shared" si="55"/>
        <v>Sep-2023</v>
      </c>
      <c r="P731">
        <f t="shared" si="56"/>
        <v>2023</v>
      </c>
      <c r="Q731" t="str">
        <f t="shared" si="57"/>
        <v>OK</v>
      </c>
      <c r="R731">
        <v>1</v>
      </c>
      <c r="S731">
        <f t="shared" si="58"/>
        <v>0</v>
      </c>
      <c r="T731">
        <f t="shared" si="59"/>
        <v>0</v>
      </c>
    </row>
    <row r="732" spans="1:20">
      <c r="A732" t="s">
        <v>2718</v>
      </c>
      <c r="B732" s="3">
        <v>45710</v>
      </c>
      <c r="C732" t="s">
        <v>2719</v>
      </c>
      <c r="D732" t="s">
        <v>31</v>
      </c>
      <c r="E732">
        <v>1</v>
      </c>
      <c r="F732" s="4">
        <v>474.6</v>
      </c>
      <c r="G732" t="s">
        <v>978</v>
      </c>
      <c r="H732" t="s">
        <v>24</v>
      </c>
      <c r="I732" t="s">
        <v>56</v>
      </c>
      <c r="J732" t="s">
        <v>2720</v>
      </c>
      <c r="K732">
        <v>4</v>
      </c>
      <c r="L732" t="s">
        <v>27</v>
      </c>
      <c r="M732" t="s">
        <v>44</v>
      </c>
      <c r="N732" s="4">
        <v>474.6</v>
      </c>
      <c r="O732" s="19" t="str">
        <f t="shared" si="55"/>
        <v>Feb-2025</v>
      </c>
      <c r="P732">
        <f t="shared" si="56"/>
        <v>2025</v>
      </c>
      <c r="Q732" t="str">
        <f t="shared" si="57"/>
        <v>OK</v>
      </c>
      <c r="R732">
        <v>1</v>
      </c>
      <c r="S732">
        <f t="shared" si="58"/>
        <v>0</v>
      </c>
      <c r="T732">
        <f t="shared" si="59"/>
        <v>0</v>
      </c>
    </row>
    <row r="733" spans="1:20">
      <c r="A733" t="s">
        <v>2721</v>
      </c>
      <c r="B733" s="3">
        <v>45450</v>
      </c>
      <c r="C733" t="s">
        <v>2722</v>
      </c>
      <c r="D733" t="s">
        <v>54</v>
      </c>
      <c r="E733">
        <v>5</v>
      </c>
      <c r="F733" s="4">
        <v>584.46</v>
      </c>
      <c r="G733" t="s">
        <v>2723</v>
      </c>
      <c r="H733" t="s">
        <v>40</v>
      </c>
      <c r="I733" t="s">
        <v>49</v>
      </c>
      <c r="J733" t="s">
        <v>2724</v>
      </c>
      <c r="K733">
        <v>8</v>
      </c>
      <c r="M733" t="s">
        <v>44</v>
      </c>
      <c r="N733" s="4">
        <v>2922.3</v>
      </c>
      <c r="O733" s="19" t="str">
        <f t="shared" si="55"/>
        <v>Jun-2024</v>
      </c>
      <c r="P733">
        <f t="shared" si="56"/>
        <v>2024</v>
      </c>
      <c r="Q733" t="str">
        <f t="shared" si="57"/>
        <v>OK</v>
      </c>
      <c r="R733">
        <v>1</v>
      </c>
      <c r="S733">
        <f t="shared" si="58"/>
        <v>0</v>
      </c>
      <c r="T733">
        <f t="shared" si="59"/>
        <v>1</v>
      </c>
    </row>
    <row r="734" spans="1:20">
      <c r="A734" t="s">
        <v>2725</v>
      </c>
      <c r="B734" s="3">
        <v>45723</v>
      </c>
      <c r="C734" t="s">
        <v>2726</v>
      </c>
      <c r="D734" t="s">
        <v>64</v>
      </c>
      <c r="E734">
        <v>1</v>
      </c>
      <c r="F734" s="4">
        <v>132.05000000000001</v>
      </c>
      <c r="G734" t="s">
        <v>2578</v>
      </c>
      <c r="H734" t="s">
        <v>33</v>
      </c>
      <c r="I734" t="s">
        <v>56</v>
      </c>
      <c r="J734" t="s">
        <v>2727</v>
      </c>
      <c r="K734">
        <v>2</v>
      </c>
      <c r="M734" t="s">
        <v>82</v>
      </c>
      <c r="N734" s="4">
        <v>132.05000000000001</v>
      </c>
      <c r="O734" s="19" t="str">
        <f t="shared" si="55"/>
        <v>Mar-2025</v>
      </c>
      <c r="P734">
        <f t="shared" si="56"/>
        <v>2025</v>
      </c>
      <c r="Q734" t="str">
        <f t="shared" si="57"/>
        <v>OK</v>
      </c>
      <c r="R734">
        <v>1</v>
      </c>
      <c r="S734">
        <f t="shared" si="58"/>
        <v>0</v>
      </c>
      <c r="T734">
        <f t="shared" si="59"/>
        <v>0</v>
      </c>
    </row>
    <row r="735" spans="1:20">
      <c r="A735" t="s">
        <v>2728</v>
      </c>
      <c r="B735" s="3">
        <v>45264</v>
      </c>
      <c r="C735" t="s">
        <v>2729</v>
      </c>
      <c r="D735" t="s">
        <v>38</v>
      </c>
      <c r="E735">
        <v>4</v>
      </c>
      <c r="F735" s="4">
        <v>494.84</v>
      </c>
      <c r="G735" t="s">
        <v>2544</v>
      </c>
      <c r="H735" t="s">
        <v>71</v>
      </c>
      <c r="I735" t="s">
        <v>49</v>
      </c>
      <c r="J735" t="s">
        <v>2730</v>
      </c>
      <c r="K735">
        <v>8</v>
      </c>
      <c r="L735" t="s">
        <v>27</v>
      </c>
      <c r="M735" t="s">
        <v>44</v>
      </c>
      <c r="N735" s="4">
        <v>1979.36</v>
      </c>
      <c r="O735" s="19" t="str">
        <f t="shared" si="55"/>
        <v>Dec-2023</v>
      </c>
      <c r="P735">
        <f t="shared" si="56"/>
        <v>2023</v>
      </c>
      <c r="Q735" t="str">
        <f t="shared" si="57"/>
        <v>OK</v>
      </c>
      <c r="R735">
        <v>1</v>
      </c>
      <c r="S735">
        <f t="shared" si="58"/>
        <v>0</v>
      </c>
      <c r="T735">
        <f t="shared" si="59"/>
        <v>1</v>
      </c>
    </row>
    <row r="736" spans="1:20">
      <c r="A736" t="s">
        <v>2731</v>
      </c>
      <c r="B736" s="3">
        <v>45314</v>
      </c>
      <c r="C736" t="s">
        <v>2732</v>
      </c>
      <c r="D736" t="s">
        <v>54</v>
      </c>
      <c r="E736">
        <v>4</v>
      </c>
      <c r="F736" s="4">
        <v>224.61</v>
      </c>
      <c r="G736" t="s">
        <v>1153</v>
      </c>
      <c r="H736" t="s">
        <v>40</v>
      </c>
      <c r="I736" t="s">
        <v>49</v>
      </c>
      <c r="J736" t="s">
        <v>2733</v>
      </c>
      <c r="K736">
        <v>6</v>
      </c>
      <c r="L736" t="s">
        <v>87</v>
      </c>
      <c r="M736" t="s">
        <v>51</v>
      </c>
      <c r="N736" s="4">
        <v>898.44</v>
      </c>
      <c r="O736" s="19" t="str">
        <f t="shared" si="55"/>
        <v>Jan-2024</v>
      </c>
      <c r="P736">
        <f t="shared" si="56"/>
        <v>2024</v>
      </c>
      <c r="Q736" t="str">
        <f t="shared" si="57"/>
        <v>OK</v>
      </c>
      <c r="R736">
        <v>1</v>
      </c>
      <c r="S736">
        <f t="shared" si="58"/>
        <v>0</v>
      </c>
      <c r="T736">
        <f t="shared" si="59"/>
        <v>1</v>
      </c>
    </row>
    <row r="737" spans="1:20">
      <c r="A737" t="s">
        <v>2734</v>
      </c>
      <c r="B737" s="3">
        <v>45471</v>
      </c>
      <c r="C737" t="s">
        <v>2735</v>
      </c>
      <c r="D737" t="s">
        <v>22</v>
      </c>
      <c r="E737">
        <v>4</v>
      </c>
      <c r="F737" s="4">
        <v>44.07</v>
      </c>
      <c r="G737" t="s">
        <v>1548</v>
      </c>
      <c r="H737" t="s">
        <v>24</v>
      </c>
      <c r="I737" t="s">
        <v>95</v>
      </c>
      <c r="J737" t="s">
        <v>2736</v>
      </c>
      <c r="K737">
        <v>6</v>
      </c>
      <c r="M737" t="s">
        <v>44</v>
      </c>
      <c r="N737" s="4">
        <v>176.28</v>
      </c>
      <c r="O737" s="19" t="str">
        <f t="shared" si="55"/>
        <v>Jun-2024</v>
      </c>
      <c r="P737">
        <f t="shared" si="56"/>
        <v>2024</v>
      </c>
      <c r="Q737" t="str">
        <f t="shared" si="57"/>
        <v>OK</v>
      </c>
      <c r="R737">
        <v>1</v>
      </c>
      <c r="S737">
        <f t="shared" si="58"/>
        <v>0</v>
      </c>
      <c r="T737">
        <f t="shared" si="59"/>
        <v>0</v>
      </c>
    </row>
    <row r="738" spans="1:20">
      <c r="A738" t="s">
        <v>2737</v>
      </c>
      <c r="B738" s="3">
        <v>45331</v>
      </c>
      <c r="C738" t="s">
        <v>2738</v>
      </c>
      <c r="D738" t="s">
        <v>22</v>
      </c>
      <c r="E738">
        <v>5</v>
      </c>
      <c r="F738" s="4">
        <v>418.53</v>
      </c>
      <c r="G738" t="s">
        <v>1951</v>
      </c>
      <c r="H738" t="s">
        <v>40</v>
      </c>
      <c r="I738" t="s">
        <v>95</v>
      </c>
      <c r="J738" t="s">
        <v>2739</v>
      </c>
      <c r="K738">
        <v>6</v>
      </c>
      <c r="L738" t="s">
        <v>43</v>
      </c>
      <c r="M738" t="s">
        <v>82</v>
      </c>
      <c r="N738" s="4">
        <v>2092.65</v>
      </c>
      <c r="O738" s="19" t="str">
        <f t="shared" si="55"/>
        <v>Feb-2024</v>
      </c>
      <c r="P738">
        <f t="shared" si="56"/>
        <v>2024</v>
      </c>
      <c r="Q738" t="str">
        <f t="shared" si="57"/>
        <v>OK</v>
      </c>
      <c r="R738">
        <v>1</v>
      </c>
      <c r="S738">
        <f t="shared" si="58"/>
        <v>0</v>
      </c>
      <c r="T738">
        <f t="shared" si="59"/>
        <v>0</v>
      </c>
    </row>
    <row r="739" spans="1:20">
      <c r="A739" t="s">
        <v>2740</v>
      </c>
      <c r="B739" s="3">
        <v>45294</v>
      </c>
      <c r="C739" t="s">
        <v>2741</v>
      </c>
      <c r="D739" t="s">
        <v>31</v>
      </c>
      <c r="E739">
        <v>4</v>
      </c>
      <c r="F739" s="4">
        <v>532.87</v>
      </c>
      <c r="G739" t="s">
        <v>2742</v>
      </c>
      <c r="H739" t="s">
        <v>71</v>
      </c>
      <c r="I739" t="s">
        <v>95</v>
      </c>
      <c r="J739" t="s">
        <v>2743</v>
      </c>
      <c r="K739">
        <v>9</v>
      </c>
      <c r="L739" t="s">
        <v>43</v>
      </c>
      <c r="M739" t="s">
        <v>28</v>
      </c>
      <c r="N739" s="4">
        <v>2131.48</v>
      </c>
      <c r="O739" s="19" t="str">
        <f t="shared" si="55"/>
        <v>Jan-2024</v>
      </c>
      <c r="P739">
        <f t="shared" si="56"/>
        <v>2024</v>
      </c>
      <c r="Q739" t="str">
        <f t="shared" si="57"/>
        <v>OK</v>
      </c>
      <c r="R739">
        <v>1</v>
      </c>
      <c r="S739">
        <f t="shared" si="58"/>
        <v>0</v>
      </c>
      <c r="T739">
        <f t="shared" si="59"/>
        <v>0</v>
      </c>
    </row>
    <row r="740" spans="1:20">
      <c r="A740" t="s">
        <v>2744</v>
      </c>
      <c r="B740" s="3">
        <v>45812</v>
      </c>
      <c r="C740" t="s">
        <v>2745</v>
      </c>
      <c r="D740" t="s">
        <v>31</v>
      </c>
      <c r="E740">
        <v>2</v>
      </c>
      <c r="F740" s="4">
        <v>485.37</v>
      </c>
      <c r="G740" t="s">
        <v>2746</v>
      </c>
      <c r="H740" t="s">
        <v>40</v>
      </c>
      <c r="I740" t="s">
        <v>25</v>
      </c>
      <c r="J740" t="s">
        <v>2747</v>
      </c>
      <c r="K740">
        <v>5</v>
      </c>
      <c r="L740" t="s">
        <v>27</v>
      </c>
      <c r="M740" t="s">
        <v>44</v>
      </c>
      <c r="N740" s="4">
        <v>970.74</v>
      </c>
      <c r="O740" s="19" t="str">
        <f t="shared" si="55"/>
        <v>Jun-2025</v>
      </c>
      <c r="P740">
        <f t="shared" si="56"/>
        <v>2025</v>
      </c>
      <c r="Q740" t="str">
        <f t="shared" si="57"/>
        <v>OK</v>
      </c>
      <c r="R740">
        <v>1</v>
      </c>
      <c r="S740">
        <f t="shared" si="58"/>
        <v>0</v>
      </c>
      <c r="T740">
        <f t="shared" si="59"/>
        <v>0</v>
      </c>
    </row>
    <row r="741" spans="1:20">
      <c r="A741" t="s">
        <v>2748</v>
      </c>
      <c r="B741" s="3">
        <v>45456</v>
      </c>
      <c r="C741" t="s">
        <v>2749</v>
      </c>
      <c r="D741" t="s">
        <v>31</v>
      </c>
      <c r="E741">
        <v>4</v>
      </c>
      <c r="F741" s="4">
        <v>386.73</v>
      </c>
      <c r="G741" t="s">
        <v>559</v>
      </c>
      <c r="H741" t="s">
        <v>71</v>
      </c>
      <c r="I741" t="s">
        <v>56</v>
      </c>
      <c r="J741" t="s">
        <v>2750</v>
      </c>
      <c r="K741">
        <v>4</v>
      </c>
      <c r="L741" t="s">
        <v>27</v>
      </c>
      <c r="M741" t="s">
        <v>51</v>
      </c>
      <c r="N741" s="4">
        <v>1546.92</v>
      </c>
      <c r="O741" s="19" t="str">
        <f t="shared" si="55"/>
        <v>Jun-2024</v>
      </c>
      <c r="P741">
        <f t="shared" si="56"/>
        <v>2024</v>
      </c>
      <c r="Q741" t="str">
        <f t="shared" si="57"/>
        <v>OK</v>
      </c>
      <c r="R741">
        <v>1</v>
      </c>
      <c r="S741">
        <f t="shared" si="58"/>
        <v>0</v>
      </c>
      <c r="T741">
        <f t="shared" si="59"/>
        <v>0</v>
      </c>
    </row>
    <row r="742" spans="1:20">
      <c r="A742" t="s">
        <v>2751</v>
      </c>
      <c r="B742" s="3">
        <v>45493</v>
      </c>
      <c r="C742" t="s">
        <v>2752</v>
      </c>
      <c r="D742" t="s">
        <v>79</v>
      </c>
      <c r="E742">
        <v>2</v>
      </c>
      <c r="F742" s="4">
        <v>377.47</v>
      </c>
      <c r="G742" t="s">
        <v>1676</v>
      </c>
      <c r="H742" t="s">
        <v>71</v>
      </c>
      <c r="I742" t="s">
        <v>95</v>
      </c>
      <c r="J742" t="s">
        <v>2753</v>
      </c>
      <c r="K742">
        <v>7</v>
      </c>
      <c r="M742" t="s">
        <v>82</v>
      </c>
      <c r="N742" s="4">
        <v>754.94</v>
      </c>
      <c r="O742" s="19" t="str">
        <f t="shared" si="55"/>
        <v>Jul-2024</v>
      </c>
      <c r="P742">
        <f t="shared" si="56"/>
        <v>2024</v>
      </c>
      <c r="Q742" t="str">
        <f t="shared" si="57"/>
        <v>OK</v>
      </c>
      <c r="R742">
        <v>1</v>
      </c>
      <c r="S742">
        <f t="shared" si="58"/>
        <v>0</v>
      </c>
      <c r="T742">
        <f t="shared" si="59"/>
        <v>0</v>
      </c>
    </row>
    <row r="743" spans="1:20">
      <c r="A743" t="s">
        <v>2754</v>
      </c>
      <c r="B743" s="3">
        <v>45680</v>
      </c>
      <c r="C743" t="s">
        <v>2755</v>
      </c>
      <c r="D743" t="s">
        <v>22</v>
      </c>
      <c r="E743">
        <v>5</v>
      </c>
      <c r="F743" s="4">
        <v>332.64</v>
      </c>
      <c r="G743" t="s">
        <v>2756</v>
      </c>
      <c r="H743" t="s">
        <v>66</v>
      </c>
      <c r="I743" t="s">
        <v>56</v>
      </c>
      <c r="J743" t="s">
        <v>2757</v>
      </c>
      <c r="K743">
        <v>10</v>
      </c>
      <c r="M743" t="s">
        <v>35</v>
      </c>
      <c r="N743" s="4">
        <v>1663.2</v>
      </c>
      <c r="O743" s="19" t="str">
        <f t="shared" si="55"/>
        <v>Jan-2025</v>
      </c>
      <c r="P743">
        <f t="shared" si="56"/>
        <v>2025</v>
      </c>
      <c r="Q743" t="str">
        <f t="shared" si="57"/>
        <v>OK</v>
      </c>
      <c r="R743">
        <v>1</v>
      </c>
      <c r="S743">
        <f t="shared" si="58"/>
        <v>0</v>
      </c>
      <c r="T743">
        <f t="shared" si="59"/>
        <v>0</v>
      </c>
    </row>
    <row r="744" spans="1:20">
      <c r="A744" t="s">
        <v>2758</v>
      </c>
      <c r="B744" s="3">
        <v>45626</v>
      </c>
      <c r="C744" t="s">
        <v>2759</v>
      </c>
      <c r="D744" t="s">
        <v>64</v>
      </c>
      <c r="E744">
        <v>3</v>
      </c>
      <c r="F744" s="4">
        <v>699.93</v>
      </c>
      <c r="G744" t="s">
        <v>1204</v>
      </c>
      <c r="H744" t="s">
        <v>71</v>
      </c>
      <c r="I744" t="s">
        <v>49</v>
      </c>
      <c r="J744" t="s">
        <v>2760</v>
      </c>
      <c r="K744">
        <v>7</v>
      </c>
      <c r="L744" t="s">
        <v>27</v>
      </c>
      <c r="M744" t="s">
        <v>82</v>
      </c>
      <c r="N744" s="4">
        <v>2099.79</v>
      </c>
      <c r="O744" s="19" t="str">
        <f t="shared" si="55"/>
        <v>Nov-2024</v>
      </c>
      <c r="P744">
        <f t="shared" si="56"/>
        <v>2024</v>
      </c>
      <c r="Q744" t="str">
        <f t="shared" si="57"/>
        <v>OK</v>
      </c>
      <c r="R744">
        <v>1</v>
      </c>
      <c r="S744">
        <f t="shared" si="58"/>
        <v>0</v>
      </c>
      <c r="T744">
        <f t="shared" si="59"/>
        <v>1</v>
      </c>
    </row>
    <row r="745" spans="1:20">
      <c r="A745" t="s">
        <v>2761</v>
      </c>
      <c r="B745" s="3">
        <v>45565</v>
      </c>
      <c r="C745" t="s">
        <v>2762</v>
      </c>
      <c r="D745" t="s">
        <v>22</v>
      </c>
      <c r="E745">
        <v>1</v>
      </c>
      <c r="F745" s="4">
        <v>576.35</v>
      </c>
      <c r="G745" t="s">
        <v>199</v>
      </c>
      <c r="H745" t="s">
        <v>66</v>
      </c>
      <c r="I745" t="s">
        <v>49</v>
      </c>
      <c r="J745" t="s">
        <v>2763</v>
      </c>
      <c r="K745">
        <v>1</v>
      </c>
      <c r="L745" t="s">
        <v>87</v>
      </c>
      <c r="M745" t="s">
        <v>28</v>
      </c>
      <c r="N745" s="4">
        <v>576.35</v>
      </c>
      <c r="O745" s="19" t="str">
        <f t="shared" si="55"/>
        <v>Sep-2024</v>
      </c>
      <c r="P745">
        <f t="shared" si="56"/>
        <v>2024</v>
      </c>
      <c r="Q745" t="str">
        <f t="shared" si="57"/>
        <v>OK</v>
      </c>
      <c r="R745">
        <v>1</v>
      </c>
      <c r="S745">
        <f t="shared" si="58"/>
        <v>0</v>
      </c>
      <c r="T745">
        <f t="shared" si="59"/>
        <v>1</v>
      </c>
    </row>
    <row r="746" spans="1:20">
      <c r="A746" t="s">
        <v>2764</v>
      </c>
      <c r="B746" s="3">
        <v>45455</v>
      </c>
      <c r="C746" t="s">
        <v>2765</v>
      </c>
      <c r="D746" t="s">
        <v>38</v>
      </c>
      <c r="E746">
        <v>2</v>
      </c>
      <c r="F746" s="4">
        <v>461.37</v>
      </c>
      <c r="G746" t="s">
        <v>2766</v>
      </c>
      <c r="H746" t="s">
        <v>71</v>
      </c>
      <c r="I746" t="s">
        <v>56</v>
      </c>
      <c r="J746" t="s">
        <v>2767</v>
      </c>
      <c r="K746">
        <v>5</v>
      </c>
      <c r="L746" t="s">
        <v>27</v>
      </c>
      <c r="M746" t="s">
        <v>82</v>
      </c>
      <c r="N746" s="4">
        <v>922.74</v>
      </c>
      <c r="O746" s="19" t="str">
        <f t="shared" si="55"/>
        <v>Jun-2024</v>
      </c>
      <c r="P746">
        <f t="shared" si="56"/>
        <v>2024</v>
      </c>
      <c r="Q746" t="str">
        <f t="shared" si="57"/>
        <v>OK</v>
      </c>
      <c r="R746">
        <v>1</v>
      </c>
      <c r="S746">
        <f t="shared" si="58"/>
        <v>0</v>
      </c>
      <c r="T746">
        <f t="shared" si="59"/>
        <v>0</v>
      </c>
    </row>
    <row r="747" spans="1:20">
      <c r="A747" t="s">
        <v>2768</v>
      </c>
      <c r="B747" s="3">
        <v>44987</v>
      </c>
      <c r="C747" t="s">
        <v>2769</v>
      </c>
      <c r="D747" t="s">
        <v>54</v>
      </c>
      <c r="E747">
        <v>4</v>
      </c>
      <c r="F747" s="4">
        <v>111.3</v>
      </c>
      <c r="G747" t="s">
        <v>2770</v>
      </c>
      <c r="H747" t="s">
        <v>24</v>
      </c>
      <c r="I747" t="s">
        <v>95</v>
      </c>
      <c r="J747" t="s">
        <v>2771</v>
      </c>
      <c r="K747">
        <v>7</v>
      </c>
      <c r="L747" t="s">
        <v>43</v>
      </c>
      <c r="M747" t="s">
        <v>44</v>
      </c>
      <c r="N747" s="4">
        <v>445.2</v>
      </c>
      <c r="O747" s="19" t="str">
        <f t="shared" si="55"/>
        <v>Mar-2023</v>
      </c>
      <c r="P747">
        <f t="shared" si="56"/>
        <v>2023</v>
      </c>
      <c r="Q747" t="str">
        <f t="shared" si="57"/>
        <v>OK</v>
      </c>
      <c r="R747">
        <v>1</v>
      </c>
      <c r="S747">
        <f t="shared" si="58"/>
        <v>0</v>
      </c>
      <c r="T747">
        <f t="shared" si="59"/>
        <v>0</v>
      </c>
    </row>
    <row r="748" spans="1:20">
      <c r="A748" t="s">
        <v>2772</v>
      </c>
      <c r="B748" s="3">
        <v>45712</v>
      </c>
      <c r="C748" t="s">
        <v>2773</v>
      </c>
      <c r="D748" t="s">
        <v>79</v>
      </c>
      <c r="E748">
        <v>3</v>
      </c>
      <c r="F748" s="4">
        <v>661.89</v>
      </c>
      <c r="G748" t="s">
        <v>2774</v>
      </c>
      <c r="H748" t="s">
        <v>33</v>
      </c>
      <c r="I748" t="s">
        <v>41</v>
      </c>
      <c r="J748" t="s">
        <v>2775</v>
      </c>
      <c r="K748">
        <v>6</v>
      </c>
      <c r="L748" t="s">
        <v>87</v>
      </c>
      <c r="M748" t="s">
        <v>35</v>
      </c>
      <c r="N748" s="4">
        <v>1985.67</v>
      </c>
      <c r="O748" s="19" t="str">
        <f t="shared" si="55"/>
        <v>Feb-2025</v>
      </c>
      <c r="P748">
        <f t="shared" si="56"/>
        <v>2025</v>
      </c>
      <c r="Q748" t="str">
        <f t="shared" si="57"/>
        <v>OK</v>
      </c>
      <c r="R748">
        <v>1</v>
      </c>
      <c r="S748">
        <f t="shared" si="58"/>
        <v>1</v>
      </c>
      <c r="T748">
        <f t="shared" si="59"/>
        <v>0</v>
      </c>
    </row>
    <row r="749" spans="1:20">
      <c r="A749" t="s">
        <v>2776</v>
      </c>
      <c r="B749" s="3">
        <v>45728</v>
      </c>
      <c r="C749" t="s">
        <v>2777</v>
      </c>
      <c r="D749" t="s">
        <v>38</v>
      </c>
      <c r="E749">
        <v>2</v>
      </c>
      <c r="F749" s="4">
        <v>259.58</v>
      </c>
      <c r="G749" t="s">
        <v>2778</v>
      </c>
      <c r="H749" t="s">
        <v>24</v>
      </c>
      <c r="I749" t="s">
        <v>56</v>
      </c>
      <c r="J749" t="s">
        <v>2779</v>
      </c>
      <c r="K749">
        <v>7</v>
      </c>
      <c r="L749" t="s">
        <v>43</v>
      </c>
      <c r="M749" t="s">
        <v>28</v>
      </c>
      <c r="N749" s="4">
        <v>519.16</v>
      </c>
      <c r="O749" s="19" t="str">
        <f t="shared" si="55"/>
        <v>Mar-2025</v>
      </c>
      <c r="P749">
        <f t="shared" si="56"/>
        <v>2025</v>
      </c>
      <c r="Q749" t="str">
        <f t="shared" si="57"/>
        <v>OK</v>
      </c>
      <c r="R749">
        <v>1</v>
      </c>
      <c r="S749">
        <f t="shared" si="58"/>
        <v>0</v>
      </c>
      <c r="T749">
        <f t="shared" si="59"/>
        <v>0</v>
      </c>
    </row>
    <row r="750" spans="1:20">
      <c r="A750" t="s">
        <v>2780</v>
      </c>
      <c r="B750" s="3">
        <v>45488</v>
      </c>
      <c r="C750" t="s">
        <v>2781</v>
      </c>
      <c r="D750" t="s">
        <v>38</v>
      </c>
      <c r="E750">
        <v>3</v>
      </c>
      <c r="F750" s="4">
        <v>70.81</v>
      </c>
      <c r="G750" t="s">
        <v>1914</v>
      </c>
      <c r="H750" t="s">
        <v>40</v>
      </c>
      <c r="I750" t="s">
        <v>25</v>
      </c>
      <c r="J750" t="s">
        <v>2782</v>
      </c>
      <c r="K750">
        <v>8</v>
      </c>
      <c r="L750" t="s">
        <v>43</v>
      </c>
      <c r="M750" t="s">
        <v>35</v>
      </c>
      <c r="N750" s="4">
        <v>212.43</v>
      </c>
      <c r="O750" s="19" t="str">
        <f t="shared" si="55"/>
        <v>Jul-2024</v>
      </c>
      <c r="P750">
        <f t="shared" si="56"/>
        <v>2024</v>
      </c>
      <c r="Q750" t="str">
        <f t="shared" si="57"/>
        <v>OK</v>
      </c>
      <c r="R750">
        <v>1</v>
      </c>
      <c r="S750">
        <f t="shared" si="58"/>
        <v>0</v>
      </c>
      <c r="T750">
        <f t="shared" si="59"/>
        <v>0</v>
      </c>
    </row>
    <row r="751" spans="1:20">
      <c r="A751" t="s">
        <v>2783</v>
      </c>
      <c r="B751" s="3">
        <v>45760</v>
      </c>
      <c r="C751" t="s">
        <v>2784</v>
      </c>
      <c r="D751" t="s">
        <v>64</v>
      </c>
      <c r="E751">
        <v>1</v>
      </c>
      <c r="F751" s="4">
        <v>518.39</v>
      </c>
      <c r="G751" t="s">
        <v>2785</v>
      </c>
      <c r="H751" t="s">
        <v>24</v>
      </c>
      <c r="I751" t="s">
        <v>95</v>
      </c>
      <c r="J751" t="s">
        <v>2786</v>
      </c>
      <c r="K751">
        <v>4</v>
      </c>
      <c r="L751" t="s">
        <v>43</v>
      </c>
      <c r="M751" t="s">
        <v>28</v>
      </c>
      <c r="N751" s="4">
        <v>518.39</v>
      </c>
      <c r="O751" s="19" t="str">
        <f t="shared" si="55"/>
        <v>Apr-2025</v>
      </c>
      <c r="P751">
        <f t="shared" si="56"/>
        <v>2025</v>
      </c>
      <c r="Q751" t="str">
        <f t="shared" si="57"/>
        <v>OK</v>
      </c>
      <c r="R751">
        <v>1</v>
      </c>
      <c r="S751">
        <f t="shared" si="58"/>
        <v>0</v>
      </c>
      <c r="T751">
        <f t="shared" si="59"/>
        <v>0</v>
      </c>
    </row>
    <row r="752" spans="1:20">
      <c r="A752" t="s">
        <v>2787</v>
      </c>
      <c r="B752" s="3">
        <v>44940</v>
      </c>
      <c r="C752" t="s">
        <v>2788</v>
      </c>
      <c r="D752" t="s">
        <v>38</v>
      </c>
      <c r="E752">
        <v>4</v>
      </c>
      <c r="F752" s="4">
        <v>145.41</v>
      </c>
      <c r="G752" t="s">
        <v>2789</v>
      </c>
      <c r="H752" t="s">
        <v>40</v>
      </c>
      <c r="I752" t="s">
        <v>49</v>
      </c>
      <c r="J752" t="s">
        <v>2790</v>
      </c>
      <c r="K752">
        <v>7</v>
      </c>
      <c r="L752" t="s">
        <v>43</v>
      </c>
      <c r="M752" t="s">
        <v>44</v>
      </c>
      <c r="N752" s="4">
        <v>581.64</v>
      </c>
      <c r="O752" s="19" t="str">
        <f t="shared" si="55"/>
        <v>Jan-2023</v>
      </c>
      <c r="P752">
        <f t="shared" si="56"/>
        <v>2023</v>
      </c>
      <c r="Q752" t="str">
        <f t="shared" si="57"/>
        <v>OK</v>
      </c>
      <c r="R752">
        <v>1</v>
      </c>
      <c r="S752">
        <f t="shared" si="58"/>
        <v>0</v>
      </c>
      <c r="T752">
        <f t="shared" si="59"/>
        <v>1</v>
      </c>
    </row>
    <row r="753" spans="1:20">
      <c r="A753" t="s">
        <v>2791</v>
      </c>
      <c r="B753" s="3">
        <v>44950</v>
      </c>
      <c r="C753" t="s">
        <v>2792</v>
      </c>
      <c r="D753" t="s">
        <v>38</v>
      </c>
      <c r="E753">
        <v>2</v>
      </c>
      <c r="F753" s="4">
        <v>599.86</v>
      </c>
      <c r="G753" t="s">
        <v>2793</v>
      </c>
      <c r="H753" t="s">
        <v>66</v>
      </c>
      <c r="I753" t="s">
        <v>95</v>
      </c>
      <c r="J753" t="s">
        <v>2794</v>
      </c>
      <c r="K753">
        <v>7</v>
      </c>
      <c r="L753" t="s">
        <v>43</v>
      </c>
      <c r="M753" t="s">
        <v>51</v>
      </c>
      <c r="N753" s="4">
        <v>1199.72</v>
      </c>
      <c r="O753" s="19" t="str">
        <f t="shared" si="55"/>
        <v>Jan-2023</v>
      </c>
      <c r="P753">
        <f t="shared" si="56"/>
        <v>2023</v>
      </c>
      <c r="Q753" t="str">
        <f t="shared" si="57"/>
        <v>OK</v>
      </c>
      <c r="R753">
        <v>1</v>
      </c>
      <c r="S753">
        <f t="shared" si="58"/>
        <v>0</v>
      </c>
      <c r="T753">
        <f t="shared" si="59"/>
        <v>0</v>
      </c>
    </row>
    <row r="754" spans="1:20">
      <c r="A754" t="s">
        <v>2795</v>
      </c>
      <c r="B754" s="3">
        <v>45568</v>
      </c>
      <c r="C754" t="s">
        <v>2796</v>
      </c>
      <c r="D754" t="s">
        <v>31</v>
      </c>
      <c r="E754">
        <v>4</v>
      </c>
      <c r="F754" s="4">
        <v>429.37</v>
      </c>
      <c r="G754" t="s">
        <v>1119</v>
      </c>
      <c r="H754" t="s">
        <v>40</v>
      </c>
      <c r="I754" t="s">
        <v>56</v>
      </c>
      <c r="J754" t="s">
        <v>2797</v>
      </c>
      <c r="K754">
        <v>8</v>
      </c>
      <c r="L754" t="s">
        <v>43</v>
      </c>
      <c r="M754" t="s">
        <v>82</v>
      </c>
      <c r="N754" s="4">
        <v>1717.48</v>
      </c>
      <c r="O754" s="19" t="str">
        <f t="shared" si="55"/>
        <v>Oct-2024</v>
      </c>
      <c r="P754">
        <f t="shared" si="56"/>
        <v>2024</v>
      </c>
      <c r="Q754" t="str">
        <f t="shared" si="57"/>
        <v>OK</v>
      </c>
      <c r="R754">
        <v>1</v>
      </c>
      <c r="S754">
        <f t="shared" si="58"/>
        <v>0</v>
      </c>
      <c r="T754">
        <f t="shared" si="59"/>
        <v>0</v>
      </c>
    </row>
    <row r="755" spans="1:20">
      <c r="A755" t="s">
        <v>2798</v>
      </c>
      <c r="B755" s="3">
        <v>45406</v>
      </c>
      <c r="C755" t="s">
        <v>2799</v>
      </c>
      <c r="D755" t="s">
        <v>31</v>
      </c>
      <c r="E755">
        <v>2</v>
      </c>
      <c r="F755" s="4">
        <v>241.49</v>
      </c>
      <c r="G755" t="s">
        <v>2800</v>
      </c>
      <c r="H755" t="s">
        <v>24</v>
      </c>
      <c r="I755" t="s">
        <v>49</v>
      </c>
      <c r="J755" t="s">
        <v>2801</v>
      </c>
      <c r="K755">
        <v>7</v>
      </c>
      <c r="L755" t="s">
        <v>43</v>
      </c>
      <c r="M755" t="s">
        <v>28</v>
      </c>
      <c r="N755" s="4">
        <v>482.98</v>
      </c>
      <c r="O755" s="19" t="str">
        <f t="shared" si="55"/>
        <v>Apr-2024</v>
      </c>
      <c r="P755">
        <f t="shared" si="56"/>
        <v>2024</v>
      </c>
      <c r="Q755" t="str">
        <f t="shared" si="57"/>
        <v>OK</v>
      </c>
      <c r="R755">
        <v>1</v>
      </c>
      <c r="S755">
        <f t="shared" si="58"/>
        <v>0</v>
      </c>
      <c r="T755">
        <f t="shared" si="59"/>
        <v>1</v>
      </c>
    </row>
    <row r="756" spans="1:20">
      <c r="A756" t="s">
        <v>2802</v>
      </c>
      <c r="B756" s="3">
        <v>45808</v>
      </c>
      <c r="C756" t="s">
        <v>2803</v>
      </c>
      <c r="D756" t="s">
        <v>54</v>
      </c>
      <c r="E756">
        <v>2</v>
      </c>
      <c r="F756" s="4">
        <v>452.05</v>
      </c>
      <c r="G756" t="s">
        <v>2804</v>
      </c>
      <c r="H756" t="s">
        <v>40</v>
      </c>
      <c r="I756" t="s">
        <v>49</v>
      </c>
      <c r="J756" t="s">
        <v>2805</v>
      </c>
      <c r="K756">
        <v>3</v>
      </c>
      <c r="L756" t="s">
        <v>87</v>
      </c>
      <c r="M756" t="s">
        <v>44</v>
      </c>
      <c r="N756" s="4">
        <v>904.1</v>
      </c>
      <c r="O756" s="19" t="str">
        <f t="shared" si="55"/>
        <v>May-2025</v>
      </c>
      <c r="P756">
        <f t="shared" si="56"/>
        <v>2025</v>
      </c>
      <c r="Q756" t="str">
        <f t="shared" si="57"/>
        <v>OK</v>
      </c>
      <c r="R756">
        <v>1</v>
      </c>
      <c r="S756">
        <f t="shared" si="58"/>
        <v>0</v>
      </c>
      <c r="T756">
        <f t="shared" si="59"/>
        <v>1</v>
      </c>
    </row>
    <row r="757" spans="1:20">
      <c r="A757" t="s">
        <v>2806</v>
      </c>
      <c r="B757" s="3">
        <v>45090</v>
      </c>
      <c r="C757" t="s">
        <v>2807</v>
      </c>
      <c r="D757" t="s">
        <v>79</v>
      </c>
      <c r="E757">
        <v>3</v>
      </c>
      <c r="F757" s="4">
        <v>336.71</v>
      </c>
      <c r="G757" t="s">
        <v>2808</v>
      </c>
      <c r="H757" t="s">
        <v>40</v>
      </c>
      <c r="I757" t="s">
        <v>95</v>
      </c>
      <c r="J757" t="s">
        <v>2809</v>
      </c>
      <c r="K757">
        <v>4</v>
      </c>
      <c r="M757" t="s">
        <v>44</v>
      </c>
      <c r="N757" s="4">
        <v>1010.13</v>
      </c>
      <c r="O757" s="19" t="str">
        <f t="shared" si="55"/>
        <v>Jun-2023</v>
      </c>
      <c r="P757">
        <f t="shared" si="56"/>
        <v>2023</v>
      </c>
      <c r="Q757" t="str">
        <f t="shared" si="57"/>
        <v>OK</v>
      </c>
      <c r="R757">
        <v>1</v>
      </c>
      <c r="S757">
        <f t="shared" si="58"/>
        <v>0</v>
      </c>
      <c r="T757">
        <f t="shared" si="59"/>
        <v>0</v>
      </c>
    </row>
    <row r="758" spans="1:20">
      <c r="A758" t="s">
        <v>2810</v>
      </c>
      <c r="B758" s="3">
        <v>45470</v>
      </c>
      <c r="C758" t="s">
        <v>2811</v>
      </c>
      <c r="D758" t="s">
        <v>31</v>
      </c>
      <c r="E758">
        <v>1</v>
      </c>
      <c r="F758" s="4">
        <v>283.69</v>
      </c>
      <c r="G758" t="s">
        <v>275</v>
      </c>
      <c r="H758" t="s">
        <v>66</v>
      </c>
      <c r="I758" t="s">
        <v>25</v>
      </c>
      <c r="J758" t="s">
        <v>2812</v>
      </c>
      <c r="K758">
        <v>6</v>
      </c>
      <c r="M758" t="s">
        <v>82</v>
      </c>
      <c r="N758" s="4">
        <v>283.69</v>
      </c>
      <c r="O758" s="19" t="str">
        <f t="shared" si="55"/>
        <v>Jun-2024</v>
      </c>
      <c r="P758">
        <f t="shared" si="56"/>
        <v>2024</v>
      </c>
      <c r="Q758" t="str">
        <f t="shared" si="57"/>
        <v>OK</v>
      </c>
      <c r="R758">
        <v>1</v>
      </c>
      <c r="S758">
        <f t="shared" si="58"/>
        <v>0</v>
      </c>
      <c r="T758">
        <f t="shared" si="59"/>
        <v>0</v>
      </c>
    </row>
    <row r="759" spans="1:20">
      <c r="A759" t="s">
        <v>2813</v>
      </c>
      <c r="B759" s="3">
        <v>45344</v>
      </c>
      <c r="C759" t="s">
        <v>2814</v>
      </c>
      <c r="D759" t="s">
        <v>79</v>
      </c>
      <c r="E759">
        <v>1</v>
      </c>
      <c r="F759" s="4">
        <v>157.72</v>
      </c>
      <c r="G759" t="s">
        <v>785</v>
      </c>
      <c r="H759" t="s">
        <v>24</v>
      </c>
      <c r="I759" t="s">
        <v>56</v>
      </c>
      <c r="J759" t="s">
        <v>2815</v>
      </c>
      <c r="K759">
        <v>2</v>
      </c>
      <c r="L759" t="s">
        <v>43</v>
      </c>
      <c r="M759" t="s">
        <v>82</v>
      </c>
      <c r="N759" s="4">
        <v>157.72</v>
      </c>
      <c r="O759" s="19" t="str">
        <f t="shared" si="55"/>
        <v>Feb-2024</v>
      </c>
      <c r="P759">
        <f t="shared" si="56"/>
        <v>2024</v>
      </c>
      <c r="Q759" t="str">
        <f t="shared" si="57"/>
        <v>OK</v>
      </c>
      <c r="R759">
        <v>1</v>
      </c>
      <c r="S759">
        <f t="shared" si="58"/>
        <v>0</v>
      </c>
      <c r="T759">
        <f t="shared" si="59"/>
        <v>0</v>
      </c>
    </row>
    <row r="760" spans="1:20">
      <c r="A760" t="s">
        <v>2816</v>
      </c>
      <c r="B760" s="3">
        <v>45011</v>
      </c>
      <c r="C760" t="s">
        <v>2817</v>
      </c>
      <c r="D760" t="s">
        <v>38</v>
      </c>
      <c r="E760">
        <v>3</v>
      </c>
      <c r="F760" s="4">
        <v>624.84</v>
      </c>
      <c r="G760" t="s">
        <v>341</v>
      </c>
      <c r="H760" t="s">
        <v>40</v>
      </c>
      <c r="I760" t="s">
        <v>41</v>
      </c>
      <c r="J760" t="s">
        <v>2818</v>
      </c>
      <c r="K760">
        <v>8</v>
      </c>
      <c r="L760" t="s">
        <v>87</v>
      </c>
      <c r="M760" t="s">
        <v>51</v>
      </c>
      <c r="N760" s="4">
        <v>1874.52</v>
      </c>
      <c r="O760" s="19" t="str">
        <f t="shared" si="55"/>
        <v>Mar-2023</v>
      </c>
      <c r="P760">
        <f t="shared" si="56"/>
        <v>2023</v>
      </c>
      <c r="Q760" t="str">
        <f t="shared" si="57"/>
        <v>OK</v>
      </c>
      <c r="R760">
        <v>1</v>
      </c>
      <c r="S760">
        <f t="shared" si="58"/>
        <v>1</v>
      </c>
      <c r="T760">
        <f t="shared" si="59"/>
        <v>0</v>
      </c>
    </row>
    <row r="761" spans="1:20">
      <c r="A761" t="s">
        <v>2819</v>
      </c>
      <c r="B761" s="3">
        <v>45131</v>
      </c>
      <c r="C761" t="s">
        <v>2820</v>
      </c>
      <c r="D761" t="s">
        <v>79</v>
      </c>
      <c r="E761">
        <v>3</v>
      </c>
      <c r="F761" s="4">
        <v>308.01</v>
      </c>
      <c r="G761" t="s">
        <v>2821</v>
      </c>
      <c r="H761" t="s">
        <v>71</v>
      </c>
      <c r="I761" t="s">
        <v>95</v>
      </c>
      <c r="J761" t="s">
        <v>2822</v>
      </c>
      <c r="K761">
        <v>3</v>
      </c>
      <c r="L761" t="s">
        <v>43</v>
      </c>
      <c r="M761" t="s">
        <v>51</v>
      </c>
      <c r="N761" s="4">
        <v>924.03</v>
      </c>
      <c r="O761" s="19" t="str">
        <f t="shared" si="55"/>
        <v>Jul-2023</v>
      </c>
      <c r="P761">
        <f t="shared" si="56"/>
        <v>2023</v>
      </c>
      <c r="Q761" t="str">
        <f t="shared" si="57"/>
        <v>OK</v>
      </c>
      <c r="R761">
        <v>1</v>
      </c>
      <c r="S761">
        <f t="shared" si="58"/>
        <v>0</v>
      </c>
      <c r="T761">
        <f t="shared" si="59"/>
        <v>0</v>
      </c>
    </row>
    <row r="762" spans="1:20">
      <c r="A762" t="s">
        <v>2823</v>
      </c>
      <c r="B762" s="3">
        <v>45706</v>
      </c>
      <c r="C762" t="s">
        <v>2824</v>
      </c>
      <c r="D762" t="s">
        <v>79</v>
      </c>
      <c r="E762">
        <v>1</v>
      </c>
      <c r="F762" s="4">
        <v>39.56</v>
      </c>
      <c r="G762" t="s">
        <v>741</v>
      </c>
      <c r="H762" t="s">
        <v>24</v>
      </c>
      <c r="I762" t="s">
        <v>41</v>
      </c>
      <c r="J762" t="s">
        <v>2825</v>
      </c>
      <c r="K762">
        <v>5</v>
      </c>
      <c r="M762" t="s">
        <v>82</v>
      </c>
      <c r="N762" s="4">
        <v>39.56</v>
      </c>
      <c r="O762" s="19" t="str">
        <f t="shared" si="55"/>
        <v>Feb-2025</v>
      </c>
      <c r="P762">
        <f t="shared" si="56"/>
        <v>2025</v>
      </c>
      <c r="Q762" t="str">
        <f t="shared" si="57"/>
        <v>OK</v>
      </c>
      <c r="R762">
        <v>1</v>
      </c>
      <c r="S762">
        <f t="shared" si="58"/>
        <v>1</v>
      </c>
      <c r="T762">
        <f t="shared" si="59"/>
        <v>0</v>
      </c>
    </row>
    <row r="763" spans="1:20">
      <c r="A763" t="s">
        <v>2826</v>
      </c>
      <c r="B763" s="3">
        <v>45079</v>
      </c>
      <c r="C763" t="s">
        <v>2827</v>
      </c>
      <c r="D763" t="s">
        <v>79</v>
      </c>
      <c r="E763">
        <v>4</v>
      </c>
      <c r="F763" s="4">
        <v>37.76</v>
      </c>
      <c r="G763" t="s">
        <v>2828</v>
      </c>
      <c r="H763" t="s">
        <v>24</v>
      </c>
      <c r="I763" t="s">
        <v>56</v>
      </c>
      <c r="J763" t="s">
        <v>2829</v>
      </c>
      <c r="K763">
        <v>7</v>
      </c>
      <c r="M763" t="s">
        <v>82</v>
      </c>
      <c r="N763" s="4">
        <v>151.04</v>
      </c>
      <c r="O763" s="19" t="str">
        <f t="shared" si="55"/>
        <v>Jun-2023</v>
      </c>
      <c r="P763">
        <f t="shared" si="56"/>
        <v>2023</v>
      </c>
      <c r="Q763" t="str">
        <f t="shared" si="57"/>
        <v>OK</v>
      </c>
      <c r="R763">
        <v>1</v>
      </c>
      <c r="S763">
        <f t="shared" si="58"/>
        <v>0</v>
      </c>
      <c r="T763">
        <f t="shared" si="59"/>
        <v>0</v>
      </c>
    </row>
    <row r="764" spans="1:20">
      <c r="A764" t="s">
        <v>2830</v>
      </c>
      <c r="B764" s="3">
        <v>45552</v>
      </c>
      <c r="C764" t="s">
        <v>2831</v>
      </c>
      <c r="D764" t="s">
        <v>31</v>
      </c>
      <c r="E764">
        <v>3</v>
      </c>
      <c r="F764" s="4">
        <v>76.959999999999994</v>
      </c>
      <c r="G764" t="s">
        <v>401</v>
      </c>
      <c r="H764" t="s">
        <v>71</v>
      </c>
      <c r="I764" t="s">
        <v>49</v>
      </c>
      <c r="J764" t="s">
        <v>2832</v>
      </c>
      <c r="K764">
        <v>8</v>
      </c>
      <c r="L764" t="s">
        <v>43</v>
      </c>
      <c r="M764" t="s">
        <v>44</v>
      </c>
      <c r="N764" s="4">
        <v>230.88</v>
      </c>
      <c r="O764" s="19" t="str">
        <f t="shared" si="55"/>
        <v>Sep-2024</v>
      </c>
      <c r="P764">
        <f t="shared" si="56"/>
        <v>2024</v>
      </c>
      <c r="Q764" t="str">
        <f t="shared" si="57"/>
        <v>OK</v>
      </c>
      <c r="R764">
        <v>1</v>
      </c>
      <c r="S764">
        <f t="shared" si="58"/>
        <v>0</v>
      </c>
      <c r="T764">
        <f t="shared" si="59"/>
        <v>1</v>
      </c>
    </row>
    <row r="765" spans="1:20">
      <c r="A765" t="s">
        <v>2833</v>
      </c>
      <c r="B765" s="3">
        <v>45022</v>
      </c>
      <c r="C765" t="s">
        <v>2834</v>
      </c>
      <c r="D765" t="s">
        <v>64</v>
      </c>
      <c r="E765">
        <v>1</v>
      </c>
      <c r="F765" s="4">
        <v>569.96</v>
      </c>
      <c r="G765" t="s">
        <v>432</v>
      </c>
      <c r="H765" t="s">
        <v>33</v>
      </c>
      <c r="I765" t="s">
        <v>56</v>
      </c>
      <c r="J765" t="s">
        <v>2835</v>
      </c>
      <c r="K765">
        <v>4</v>
      </c>
      <c r="L765" t="s">
        <v>43</v>
      </c>
      <c r="M765" t="s">
        <v>44</v>
      </c>
      <c r="N765" s="4">
        <v>569.96</v>
      </c>
      <c r="O765" s="19" t="str">
        <f t="shared" si="55"/>
        <v>Apr-2023</v>
      </c>
      <c r="P765">
        <f t="shared" si="56"/>
        <v>2023</v>
      </c>
      <c r="Q765" t="str">
        <f t="shared" si="57"/>
        <v>OK</v>
      </c>
      <c r="R765">
        <v>1</v>
      </c>
      <c r="S765">
        <f t="shared" si="58"/>
        <v>0</v>
      </c>
      <c r="T765">
        <f t="shared" si="59"/>
        <v>0</v>
      </c>
    </row>
    <row r="766" spans="1:20">
      <c r="A766" t="s">
        <v>2836</v>
      </c>
      <c r="B766" s="3">
        <v>45361</v>
      </c>
      <c r="C766" t="s">
        <v>2837</v>
      </c>
      <c r="D766" t="s">
        <v>64</v>
      </c>
      <c r="E766">
        <v>5</v>
      </c>
      <c r="F766" s="4">
        <v>627.42999999999995</v>
      </c>
      <c r="G766" t="s">
        <v>721</v>
      </c>
      <c r="H766" t="s">
        <v>40</v>
      </c>
      <c r="I766" t="s">
        <v>41</v>
      </c>
      <c r="J766" t="s">
        <v>2838</v>
      </c>
      <c r="K766">
        <v>10</v>
      </c>
      <c r="L766" t="s">
        <v>43</v>
      </c>
      <c r="M766" t="s">
        <v>44</v>
      </c>
      <c r="N766" s="4">
        <v>3137.15</v>
      </c>
      <c r="O766" s="19" t="str">
        <f t="shared" si="55"/>
        <v>Mar-2024</v>
      </c>
      <c r="P766">
        <f t="shared" si="56"/>
        <v>2024</v>
      </c>
      <c r="Q766" t="str">
        <f t="shared" si="57"/>
        <v>OK</v>
      </c>
      <c r="R766">
        <v>1</v>
      </c>
      <c r="S766">
        <f t="shared" si="58"/>
        <v>1</v>
      </c>
      <c r="T766">
        <f t="shared" si="59"/>
        <v>0</v>
      </c>
    </row>
    <row r="767" spans="1:20">
      <c r="A767" t="s">
        <v>2839</v>
      </c>
      <c r="B767" s="3">
        <v>45205</v>
      </c>
      <c r="C767" t="s">
        <v>2840</v>
      </c>
      <c r="D767" t="s">
        <v>64</v>
      </c>
      <c r="E767">
        <v>2</v>
      </c>
      <c r="F767" s="4">
        <v>534.91</v>
      </c>
      <c r="G767" t="s">
        <v>2667</v>
      </c>
      <c r="H767" t="s">
        <v>24</v>
      </c>
      <c r="I767" t="s">
        <v>49</v>
      </c>
      <c r="J767" t="s">
        <v>2841</v>
      </c>
      <c r="K767">
        <v>5</v>
      </c>
      <c r="L767" t="s">
        <v>27</v>
      </c>
      <c r="M767" t="s">
        <v>82</v>
      </c>
      <c r="N767" s="4">
        <v>1069.82</v>
      </c>
      <c r="O767" s="19" t="str">
        <f t="shared" si="55"/>
        <v>Oct-2023</v>
      </c>
      <c r="P767">
        <f t="shared" si="56"/>
        <v>2023</v>
      </c>
      <c r="Q767" t="str">
        <f t="shared" si="57"/>
        <v>OK</v>
      </c>
      <c r="R767">
        <v>1</v>
      </c>
      <c r="S767">
        <f t="shared" si="58"/>
        <v>0</v>
      </c>
      <c r="T767">
        <f t="shared" si="59"/>
        <v>1</v>
      </c>
    </row>
    <row r="768" spans="1:20">
      <c r="A768" t="s">
        <v>2842</v>
      </c>
      <c r="B768" s="3">
        <v>44948</v>
      </c>
      <c r="C768" t="s">
        <v>2843</v>
      </c>
      <c r="D768" t="s">
        <v>54</v>
      </c>
      <c r="E768">
        <v>2</v>
      </c>
      <c r="F768" s="4">
        <v>278.88</v>
      </c>
      <c r="G768" t="s">
        <v>1394</v>
      </c>
      <c r="H768" t="s">
        <v>24</v>
      </c>
      <c r="I768" t="s">
        <v>95</v>
      </c>
      <c r="J768" t="s">
        <v>2844</v>
      </c>
      <c r="K768">
        <v>3</v>
      </c>
      <c r="L768" t="s">
        <v>43</v>
      </c>
      <c r="M768" t="s">
        <v>35</v>
      </c>
      <c r="N768" s="4">
        <v>557.76</v>
      </c>
      <c r="O768" s="19" t="str">
        <f t="shared" si="55"/>
        <v>Jan-2023</v>
      </c>
      <c r="P768">
        <f t="shared" si="56"/>
        <v>2023</v>
      </c>
      <c r="Q768" t="str">
        <f t="shared" si="57"/>
        <v>OK</v>
      </c>
      <c r="R768">
        <v>1</v>
      </c>
      <c r="S768">
        <f t="shared" si="58"/>
        <v>0</v>
      </c>
      <c r="T768">
        <f t="shared" si="59"/>
        <v>0</v>
      </c>
    </row>
    <row r="769" spans="1:20">
      <c r="A769" t="s">
        <v>2845</v>
      </c>
      <c r="B769" s="3">
        <v>45765</v>
      </c>
      <c r="C769" t="s">
        <v>2846</v>
      </c>
      <c r="D769" t="s">
        <v>38</v>
      </c>
      <c r="E769">
        <v>2</v>
      </c>
      <c r="F769" s="4">
        <v>323.22000000000003</v>
      </c>
      <c r="G769" t="s">
        <v>2847</v>
      </c>
      <c r="H769" t="s">
        <v>40</v>
      </c>
      <c r="I769" t="s">
        <v>56</v>
      </c>
      <c r="J769" t="s">
        <v>2848</v>
      </c>
      <c r="K769">
        <v>7</v>
      </c>
      <c r="M769" t="s">
        <v>28</v>
      </c>
      <c r="N769" s="4">
        <v>646.44000000000005</v>
      </c>
      <c r="O769" s="19" t="str">
        <f t="shared" si="55"/>
        <v>Apr-2025</v>
      </c>
      <c r="P769">
        <f t="shared" si="56"/>
        <v>2025</v>
      </c>
      <c r="Q769" t="str">
        <f t="shared" si="57"/>
        <v>OK</v>
      </c>
      <c r="R769">
        <v>1</v>
      </c>
      <c r="S769">
        <f t="shared" si="58"/>
        <v>0</v>
      </c>
      <c r="T769">
        <f t="shared" si="59"/>
        <v>0</v>
      </c>
    </row>
    <row r="770" spans="1:20">
      <c r="A770" t="s">
        <v>2849</v>
      </c>
      <c r="B770" s="3">
        <v>45173</v>
      </c>
      <c r="C770" t="s">
        <v>2850</v>
      </c>
      <c r="D770" t="s">
        <v>38</v>
      </c>
      <c r="E770">
        <v>5</v>
      </c>
      <c r="F770" s="4">
        <v>653.46</v>
      </c>
      <c r="G770" t="s">
        <v>2851</v>
      </c>
      <c r="H770" t="s">
        <v>71</v>
      </c>
      <c r="I770" t="s">
        <v>41</v>
      </c>
      <c r="J770" t="s">
        <v>2852</v>
      </c>
      <c r="K770">
        <v>9</v>
      </c>
      <c r="L770" t="s">
        <v>87</v>
      </c>
      <c r="M770" t="s">
        <v>44</v>
      </c>
      <c r="N770" s="4">
        <v>3267.3</v>
      </c>
      <c r="O770" s="19" t="str">
        <f t="shared" ref="O770:O833" si="60">TEXT(B770,"mmm-yyyy")</f>
        <v>Sep-2023</v>
      </c>
      <c r="P770">
        <f t="shared" ref="P770:P833" si="61">YEAR(B770)</f>
        <v>2023</v>
      </c>
      <c r="Q770" t="str">
        <f t="shared" ref="Q770:Q833" si="62">IF(ABS(N770-(E770*F770))&lt;0.01,"OK","CHECK")</f>
        <v>OK</v>
      </c>
      <c r="R770">
        <v>1</v>
      </c>
      <c r="S770">
        <f t="shared" ref="S770:S833" si="63">IF(I770="Cancelled",1,0)</f>
        <v>1</v>
      </c>
      <c r="T770">
        <f t="shared" ref="T770:T833" si="64">IF(I770="Returned",1,0)</f>
        <v>0</v>
      </c>
    </row>
    <row r="771" spans="1:20">
      <c r="A771" t="s">
        <v>2853</v>
      </c>
      <c r="B771" s="3">
        <v>45113</v>
      </c>
      <c r="C771" t="s">
        <v>2854</v>
      </c>
      <c r="D771" t="s">
        <v>54</v>
      </c>
      <c r="E771">
        <v>4</v>
      </c>
      <c r="F771" s="4">
        <v>678.55</v>
      </c>
      <c r="G771" t="s">
        <v>159</v>
      </c>
      <c r="H771" t="s">
        <v>71</v>
      </c>
      <c r="I771" t="s">
        <v>56</v>
      </c>
      <c r="J771" t="s">
        <v>2855</v>
      </c>
      <c r="K771">
        <v>5</v>
      </c>
      <c r="M771" t="s">
        <v>44</v>
      </c>
      <c r="N771" s="4">
        <v>2714.2</v>
      </c>
      <c r="O771" s="19" t="str">
        <f t="shared" si="60"/>
        <v>Jul-2023</v>
      </c>
      <c r="P771">
        <f t="shared" si="61"/>
        <v>2023</v>
      </c>
      <c r="Q771" t="str">
        <f t="shared" si="62"/>
        <v>OK</v>
      </c>
      <c r="R771">
        <v>1</v>
      </c>
      <c r="S771">
        <f t="shared" si="63"/>
        <v>0</v>
      </c>
      <c r="T771">
        <f t="shared" si="64"/>
        <v>0</v>
      </c>
    </row>
    <row r="772" spans="1:20">
      <c r="A772" t="s">
        <v>2856</v>
      </c>
      <c r="B772" s="3">
        <v>45333</v>
      </c>
      <c r="C772" t="s">
        <v>2857</v>
      </c>
      <c r="D772" t="s">
        <v>79</v>
      </c>
      <c r="E772">
        <v>1</v>
      </c>
      <c r="F772" s="4">
        <v>314.38</v>
      </c>
      <c r="G772" t="s">
        <v>1729</v>
      </c>
      <c r="H772" t="s">
        <v>33</v>
      </c>
      <c r="I772" t="s">
        <v>49</v>
      </c>
      <c r="J772" t="s">
        <v>2858</v>
      </c>
      <c r="K772">
        <v>6</v>
      </c>
      <c r="M772" t="s">
        <v>82</v>
      </c>
      <c r="N772" s="4">
        <v>314.38</v>
      </c>
      <c r="O772" s="19" t="str">
        <f t="shared" si="60"/>
        <v>Feb-2024</v>
      </c>
      <c r="P772">
        <f t="shared" si="61"/>
        <v>2024</v>
      </c>
      <c r="Q772" t="str">
        <f t="shared" si="62"/>
        <v>OK</v>
      </c>
      <c r="R772">
        <v>1</v>
      </c>
      <c r="S772">
        <f t="shared" si="63"/>
        <v>0</v>
      </c>
      <c r="T772">
        <f t="shared" si="64"/>
        <v>1</v>
      </c>
    </row>
    <row r="773" spans="1:20">
      <c r="A773" t="s">
        <v>2859</v>
      </c>
      <c r="B773" s="3">
        <v>45455</v>
      </c>
      <c r="C773" t="s">
        <v>2860</v>
      </c>
      <c r="D773" t="s">
        <v>31</v>
      </c>
      <c r="E773">
        <v>3</v>
      </c>
      <c r="F773" s="4">
        <v>692.44</v>
      </c>
      <c r="G773" t="s">
        <v>1507</v>
      </c>
      <c r="H773" t="s">
        <v>24</v>
      </c>
      <c r="I773" t="s">
        <v>41</v>
      </c>
      <c r="J773" t="s">
        <v>2861</v>
      </c>
      <c r="K773">
        <v>8</v>
      </c>
      <c r="L773" t="s">
        <v>43</v>
      </c>
      <c r="M773" t="s">
        <v>82</v>
      </c>
      <c r="N773" s="4">
        <v>2077.3200000000002</v>
      </c>
      <c r="O773" s="19" t="str">
        <f t="shared" si="60"/>
        <v>Jun-2024</v>
      </c>
      <c r="P773">
        <f t="shared" si="61"/>
        <v>2024</v>
      </c>
      <c r="Q773" t="str">
        <f t="shared" si="62"/>
        <v>OK</v>
      </c>
      <c r="R773">
        <v>1</v>
      </c>
      <c r="S773">
        <f t="shared" si="63"/>
        <v>1</v>
      </c>
      <c r="T773">
        <f t="shared" si="64"/>
        <v>0</v>
      </c>
    </row>
    <row r="774" spans="1:20">
      <c r="A774" t="s">
        <v>2862</v>
      </c>
      <c r="B774" s="3">
        <v>45501</v>
      </c>
      <c r="C774" t="s">
        <v>2863</v>
      </c>
      <c r="D774" t="s">
        <v>22</v>
      </c>
      <c r="E774">
        <v>1</v>
      </c>
      <c r="F774" s="4">
        <v>604.87</v>
      </c>
      <c r="G774" t="s">
        <v>2864</v>
      </c>
      <c r="H774" t="s">
        <v>33</v>
      </c>
      <c r="I774" t="s">
        <v>56</v>
      </c>
      <c r="J774" t="s">
        <v>2865</v>
      </c>
      <c r="K774">
        <v>4</v>
      </c>
      <c r="M774" t="s">
        <v>28</v>
      </c>
      <c r="N774" s="4">
        <v>604.87</v>
      </c>
      <c r="O774" s="19" t="str">
        <f t="shared" si="60"/>
        <v>Jul-2024</v>
      </c>
      <c r="P774">
        <f t="shared" si="61"/>
        <v>2024</v>
      </c>
      <c r="Q774" t="str">
        <f t="shared" si="62"/>
        <v>OK</v>
      </c>
      <c r="R774">
        <v>1</v>
      </c>
      <c r="S774">
        <f t="shared" si="63"/>
        <v>0</v>
      </c>
      <c r="T774">
        <f t="shared" si="64"/>
        <v>0</v>
      </c>
    </row>
    <row r="775" spans="1:20">
      <c r="A775" t="s">
        <v>2866</v>
      </c>
      <c r="B775" s="3">
        <v>45836</v>
      </c>
      <c r="C775" t="s">
        <v>2867</v>
      </c>
      <c r="D775" t="s">
        <v>31</v>
      </c>
      <c r="E775">
        <v>2</v>
      </c>
      <c r="F775" s="4">
        <v>512.33000000000004</v>
      </c>
      <c r="G775" t="s">
        <v>2868</v>
      </c>
      <c r="H775" t="s">
        <v>71</v>
      </c>
      <c r="I775" t="s">
        <v>41</v>
      </c>
      <c r="J775" t="s">
        <v>2869</v>
      </c>
      <c r="K775">
        <v>7</v>
      </c>
      <c r="M775" t="s">
        <v>51</v>
      </c>
      <c r="N775" s="4">
        <v>1024.6600000000001</v>
      </c>
      <c r="O775" s="19" t="str">
        <f t="shared" si="60"/>
        <v>Jun-2025</v>
      </c>
      <c r="P775">
        <f t="shared" si="61"/>
        <v>2025</v>
      </c>
      <c r="Q775" t="str">
        <f t="shared" si="62"/>
        <v>OK</v>
      </c>
      <c r="R775">
        <v>1</v>
      </c>
      <c r="S775">
        <f t="shared" si="63"/>
        <v>1</v>
      </c>
      <c r="T775">
        <f t="shared" si="64"/>
        <v>0</v>
      </c>
    </row>
    <row r="776" spans="1:20">
      <c r="A776" t="s">
        <v>2870</v>
      </c>
      <c r="B776" s="3">
        <v>45762</v>
      </c>
      <c r="C776" t="s">
        <v>2871</v>
      </c>
      <c r="D776" t="s">
        <v>47</v>
      </c>
      <c r="E776">
        <v>3</v>
      </c>
      <c r="F776" s="4">
        <v>20.54</v>
      </c>
      <c r="G776" t="s">
        <v>2872</v>
      </c>
      <c r="H776" t="s">
        <v>40</v>
      </c>
      <c r="I776" t="s">
        <v>41</v>
      </c>
      <c r="J776" t="s">
        <v>2873</v>
      </c>
      <c r="K776">
        <v>3</v>
      </c>
      <c r="L776" t="s">
        <v>43</v>
      </c>
      <c r="M776" t="s">
        <v>28</v>
      </c>
      <c r="N776" s="4">
        <v>61.62</v>
      </c>
      <c r="O776" s="19" t="str">
        <f t="shared" si="60"/>
        <v>Apr-2025</v>
      </c>
      <c r="P776">
        <f t="shared" si="61"/>
        <v>2025</v>
      </c>
      <c r="Q776" t="str">
        <f t="shared" si="62"/>
        <v>OK</v>
      </c>
      <c r="R776">
        <v>1</v>
      </c>
      <c r="S776">
        <f t="shared" si="63"/>
        <v>1</v>
      </c>
      <c r="T776">
        <f t="shared" si="64"/>
        <v>0</v>
      </c>
    </row>
    <row r="777" spans="1:20">
      <c r="A777" t="s">
        <v>2874</v>
      </c>
      <c r="B777" s="3">
        <v>44989</v>
      </c>
      <c r="C777" t="s">
        <v>2875</v>
      </c>
      <c r="D777" t="s">
        <v>31</v>
      </c>
      <c r="E777">
        <v>2</v>
      </c>
      <c r="F777" s="4">
        <v>625.22</v>
      </c>
      <c r="G777" t="s">
        <v>131</v>
      </c>
      <c r="H777" t="s">
        <v>33</v>
      </c>
      <c r="I777" t="s">
        <v>41</v>
      </c>
      <c r="J777" t="s">
        <v>2876</v>
      </c>
      <c r="K777">
        <v>5</v>
      </c>
      <c r="M777" t="s">
        <v>82</v>
      </c>
      <c r="N777" s="4">
        <v>1250.44</v>
      </c>
      <c r="O777" s="19" t="str">
        <f t="shared" si="60"/>
        <v>Mar-2023</v>
      </c>
      <c r="P777">
        <f t="shared" si="61"/>
        <v>2023</v>
      </c>
      <c r="Q777" t="str">
        <f t="shared" si="62"/>
        <v>OK</v>
      </c>
      <c r="R777">
        <v>1</v>
      </c>
      <c r="S777">
        <f t="shared" si="63"/>
        <v>1</v>
      </c>
      <c r="T777">
        <f t="shared" si="64"/>
        <v>0</v>
      </c>
    </row>
    <row r="778" spans="1:20">
      <c r="A778" t="s">
        <v>2877</v>
      </c>
      <c r="B778" s="3">
        <v>45159</v>
      </c>
      <c r="C778" t="s">
        <v>2878</v>
      </c>
      <c r="D778" t="s">
        <v>38</v>
      </c>
      <c r="E778">
        <v>1</v>
      </c>
      <c r="F778" s="4">
        <v>21.19</v>
      </c>
      <c r="G778" t="s">
        <v>2879</v>
      </c>
      <c r="H778" t="s">
        <v>71</v>
      </c>
      <c r="I778" t="s">
        <v>49</v>
      </c>
      <c r="J778" t="s">
        <v>2880</v>
      </c>
      <c r="K778">
        <v>5</v>
      </c>
      <c r="L778" t="s">
        <v>87</v>
      </c>
      <c r="M778" t="s">
        <v>82</v>
      </c>
      <c r="N778" s="4">
        <v>21.19</v>
      </c>
      <c r="O778" s="19" t="str">
        <f t="shared" si="60"/>
        <v>Aug-2023</v>
      </c>
      <c r="P778">
        <f t="shared" si="61"/>
        <v>2023</v>
      </c>
      <c r="Q778" t="str">
        <f t="shared" si="62"/>
        <v>OK</v>
      </c>
      <c r="R778">
        <v>1</v>
      </c>
      <c r="S778">
        <f t="shared" si="63"/>
        <v>0</v>
      </c>
      <c r="T778">
        <f t="shared" si="64"/>
        <v>1</v>
      </c>
    </row>
    <row r="779" spans="1:20">
      <c r="A779" t="s">
        <v>2881</v>
      </c>
      <c r="B779" s="3">
        <v>45737</v>
      </c>
      <c r="C779" t="s">
        <v>2882</v>
      </c>
      <c r="D779" t="s">
        <v>47</v>
      </c>
      <c r="E779">
        <v>5</v>
      </c>
      <c r="F779" s="4">
        <v>64.489999999999995</v>
      </c>
      <c r="G779" t="s">
        <v>135</v>
      </c>
      <c r="H779" t="s">
        <v>33</v>
      </c>
      <c r="I779" t="s">
        <v>41</v>
      </c>
      <c r="J779" t="s">
        <v>2883</v>
      </c>
      <c r="K779">
        <v>7</v>
      </c>
      <c r="M779" t="s">
        <v>51</v>
      </c>
      <c r="N779" s="4">
        <v>322.45</v>
      </c>
      <c r="O779" s="19" t="str">
        <f t="shared" si="60"/>
        <v>Mar-2025</v>
      </c>
      <c r="P779">
        <f t="shared" si="61"/>
        <v>2025</v>
      </c>
      <c r="Q779" t="str">
        <f t="shared" si="62"/>
        <v>OK</v>
      </c>
      <c r="R779">
        <v>1</v>
      </c>
      <c r="S779">
        <f t="shared" si="63"/>
        <v>1</v>
      </c>
      <c r="T779">
        <f t="shared" si="64"/>
        <v>0</v>
      </c>
    </row>
    <row r="780" spans="1:20">
      <c r="A780" t="s">
        <v>2884</v>
      </c>
      <c r="B780" s="3">
        <v>45044</v>
      </c>
      <c r="C780" t="s">
        <v>2885</v>
      </c>
      <c r="D780" t="s">
        <v>64</v>
      </c>
      <c r="E780">
        <v>4</v>
      </c>
      <c r="F780" s="4">
        <v>246.85</v>
      </c>
      <c r="G780" t="s">
        <v>2886</v>
      </c>
      <c r="H780" t="s">
        <v>40</v>
      </c>
      <c r="I780" t="s">
        <v>25</v>
      </c>
      <c r="J780" t="s">
        <v>2887</v>
      </c>
      <c r="K780">
        <v>8</v>
      </c>
      <c r="L780" t="s">
        <v>87</v>
      </c>
      <c r="M780" t="s">
        <v>82</v>
      </c>
      <c r="N780" s="4">
        <v>987.4</v>
      </c>
      <c r="O780" s="19" t="str">
        <f t="shared" si="60"/>
        <v>Apr-2023</v>
      </c>
      <c r="P780">
        <f t="shared" si="61"/>
        <v>2023</v>
      </c>
      <c r="Q780" t="str">
        <f t="shared" si="62"/>
        <v>OK</v>
      </c>
      <c r="R780">
        <v>1</v>
      </c>
      <c r="S780">
        <f t="shared" si="63"/>
        <v>0</v>
      </c>
      <c r="T780">
        <f t="shared" si="64"/>
        <v>0</v>
      </c>
    </row>
    <row r="781" spans="1:20">
      <c r="A781" t="s">
        <v>2888</v>
      </c>
      <c r="B781" s="3">
        <v>45261</v>
      </c>
      <c r="C781" t="s">
        <v>2889</v>
      </c>
      <c r="D781" t="s">
        <v>31</v>
      </c>
      <c r="E781">
        <v>3</v>
      </c>
      <c r="F781" s="4">
        <v>588.74</v>
      </c>
      <c r="G781" t="s">
        <v>2890</v>
      </c>
      <c r="H781" t="s">
        <v>24</v>
      </c>
      <c r="I781" t="s">
        <v>95</v>
      </c>
      <c r="J781" t="s">
        <v>2891</v>
      </c>
      <c r="K781">
        <v>8</v>
      </c>
      <c r="L781" t="s">
        <v>43</v>
      </c>
      <c r="M781" t="s">
        <v>44</v>
      </c>
      <c r="N781" s="4">
        <v>1766.22</v>
      </c>
      <c r="O781" s="19" t="str">
        <f t="shared" si="60"/>
        <v>Dec-2023</v>
      </c>
      <c r="P781">
        <f t="shared" si="61"/>
        <v>2023</v>
      </c>
      <c r="Q781" t="str">
        <f t="shared" si="62"/>
        <v>OK</v>
      </c>
      <c r="R781">
        <v>1</v>
      </c>
      <c r="S781">
        <f t="shared" si="63"/>
        <v>0</v>
      </c>
      <c r="T781">
        <f t="shared" si="64"/>
        <v>0</v>
      </c>
    </row>
    <row r="782" spans="1:20">
      <c r="A782" t="s">
        <v>2892</v>
      </c>
      <c r="B782" s="3">
        <v>45382</v>
      </c>
      <c r="C782" t="s">
        <v>2893</v>
      </c>
      <c r="D782" t="s">
        <v>64</v>
      </c>
      <c r="E782">
        <v>4</v>
      </c>
      <c r="F782" s="4">
        <v>184.48</v>
      </c>
      <c r="G782" t="s">
        <v>1718</v>
      </c>
      <c r="H782" t="s">
        <v>33</v>
      </c>
      <c r="I782" t="s">
        <v>41</v>
      </c>
      <c r="J782" t="s">
        <v>2894</v>
      </c>
      <c r="K782">
        <v>4</v>
      </c>
      <c r="L782" t="s">
        <v>87</v>
      </c>
      <c r="M782" t="s">
        <v>82</v>
      </c>
      <c r="N782" s="4">
        <v>737.92</v>
      </c>
      <c r="O782" s="19" t="str">
        <f t="shared" si="60"/>
        <v>Mar-2024</v>
      </c>
      <c r="P782">
        <f t="shared" si="61"/>
        <v>2024</v>
      </c>
      <c r="Q782" t="str">
        <f t="shared" si="62"/>
        <v>OK</v>
      </c>
      <c r="R782">
        <v>1</v>
      </c>
      <c r="S782">
        <f t="shared" si="63"/>
        <v>1</v>
      </c>
      <c r="T782">
        <f t="shared" si="64"/>
        <v>0</v>
      </c>
    </row>
    <row r="783" spans="1:20">
      <c r="A783" t="s">
        <v>2895</v>
      </c>
      <c r="B783" s="3">
        <v>45301</v>
      </c>
      <c r="C783" t="s">
        <v>2896</v>
      </c>
      <c r="D783" t="s">
        <v>31</v>
      </c>
      <c r="E783">
        <v>5</v>
      </c>
      <c r="F783" s="4">
        <v>524.26</v>
      </c>
      <c r="G783" t="s">
        <v>60</v>
      </c>
      <c r="H783" t="s">
        <v>66</v>
      </c>
      <c r="I783" t="s">
        <v>56</v>
      </c>
      <c r="J783" t="s">
        <v>2897</v>
      </c>
      <c r="K783">
        <v>5</v>
      </c>
      <c r="L783" t="s">
        <v>43</v>
      </c>
      <c r="M783" t="s">
        <v>35</v>
      </c>
      <c r="N783" s="4">
        <v>2621.3000000000002</v>
      </c>
      <c r="O783" s="19" t="str">
        <f t="shared" si="60"/>
        <v>Jan-2024</v>
      </c>
      <c r="P783">
        <f t="shared" si="61"/>
        <v>2024</v>
      </c>
      <c r="Q783" t="str">
        <f t="shared" si="62"/>
        <v>OK</v>
      </c>
      <c r="R783">
        <v>1</v>
      </c>
      <c r="S783">
        <f t="shared" si="63"/>
        <v>0</v>
      </c>
      <c r="T783">
        <f t="shared" si="64"/>
        <v>0</v>
      </c>
    </row>
    <row r="784" spans="1:20">
      <c r="A784" t="s">
        <v>2898</v>
      </c>
      <c r="B784" s="3">
        <v>45515</v>
      </c>
      <c r="C784" t="s">
        <v>2899</v>
      </c>
      <c r="D784" t="s">
        <v>22</v>
      </c>
      <c r="E784">
        <v>2</v>
      </c>
      <c r="F784" s="4">
        <v>493.63</v>
      </c>
      <c r="G784" t="s">
        <v>2159</v>
      </c>
      <c r="H784" t="s">
        <v>33</v>
      </c>
      <c r="I784" t="s">
        <v>49</v>
      </c>
      <c r="J784" t="s">
        <v>2900</v>
      </c>
      <c r="K784">
        <v>6</v>
      </c>
      <c r="L784" t="s">
        <v>27</v>
      </c>
      <c r="M784" t="s">
        <v>35</v>
      </c>
      <c r="N784" s="4">
        <v>987.26</v>
      </c>
      <c r="O784" s="19" t="str">
        <f t="shared" si="60"/>
        <v>Aug-2024</v>
      </c>
      <c r="P784">
        <f t="shared" si="61"/>
        <v>2024</v>
      </c>
      <c r="Q784" t="str">
        <f t="shared" si="62"/>
        <v>OK</v>
      </c>
      <c r="R784">
        <v>1</v>
      </c>
      <c r="S784">
        <f t="shared" si="63"/>
        <v>0</v>
      </c>
      <c r="T784">
        <f t="shared" si="64"/>
        <v>1</v>
      </c>
    </row>
    <row r="785" spans="1:20">
      <c r="A785" t="s">
        <v>2901</v>
      </c>
      <c r="B785" s="3">
        <v>45803</v>
      </c>
      <c r="C785" t="s">
        <v>2902</v>
      </c>
      <c r="D785" t="s">
        <v>54</v>
      </c>
      <c r="E785">
        <v>1</v>
      </c>
      <c r="F785" s="4">
        <v>438.34</v>
      </c>
      <c r="G785" t="s">
        <v>2667</v>
      </c>
      <c r="H785" t="s">
        <v>66</v>
      </c>
      <c r="I785" t="s">
        <v>49</v>
      </c>
      <c r="J785" t="s">
        <v>2903</v>
      </c>
      <c r="K785">
        <v>5</v>
      </c>
      <c r="L785" t="s">
        <v>43</v>
      </c>
      <c r="M785" t="s">
        <v>51</v>
      </c>
      <c r="N785" s="4">
        <v>438.34</v>
      </c>
      <c r="O785" s="19" t="str">
        <f t="shared" si="60"/>
        <v>May-2025</v>
      </c>
      <c r="P785">
        <f t="shared" si="61"/>
        <v>2025</v>
      </c>
      <c r="Q785" t="str">
        <f t="shared" si="62"/>
        <v>OK</v>
      </c>
      <c r="R785">
        <v>1</v>
      </c>
      <c r="S785">
        <f t="shared" si="63"/>
        <v>0</v>
      </c>
      <c r="T785">
        <f t="shared" si="64"/>
        <v>1</v>
      </c>
    </row>
    <row r="786" spans="1:20">
      <c r="A786" t="s">
        <v>2904</v>
      </c>
      <c r="B786" s="3">
        <v>45793</v>
      </c>
      <c r="C786" t="s">
        <v>2905</v>
      </c>
      <c r="D786" t="s">
        <v>64</v>
      </c>
      <c r="E786">
        <v>1</v>
      </c>
      <c r="F786" s="4">
        <v>325.81</v>
      </c>
      <c r="G786" t="s">
        <v>252</v>
      </c>
      <c r="H786" t="s">
        <v>40</v>
      </c>
      <c r="I786" t="s">
        <v>95</v>
      </c>
      <c r="J786" t="s">
        <v>2906</v>
      </c>
      <c r="K786">
        <v>1</v>
      </c>
      <c r="L786" t="s">
        <v>87</v>
      </c>
      <c r="M786" t="s">
        <v>35</v>
      </c>
      <c r="N786" s="4">
        <v>325.81</v>
      </c>
      <c r="O786" s="19" t="str">
        <f t="shared" si="60"/>
        <v>May-2025</v>
      </c>
      <c r="P786">
        <f t="shared" si="61"/>
        <v>2025</v>
      </c>
      <c r="Q786" t="str">
        <f t="shared" si="62"/>
        <v>OK</v>
      </c>
      <c r="R786">
        <v>1</v>
      </c>
      <c r="S786">
        <f t="shared" si="63"/>
        <v>0</v>
      </c>
      <c r="T786">
        <f t="shared" si="64"/>
        <v>0</v>
      </c>
    </row>
    <row r="787" spans="1:20">
      <c r="A787" t="s">
        <v>2907</v>
      </c>
      <c r="B787" s="3">
        <v>45136</v>
      </c>
      <c r="C787" t="s">
        <v>2908</v>
      </c>
      <c r="D787" t="s">
        <v>47</v>
      </c>
      <c r="E787">
        <v>1</v>
      </c>
      <c r="F787" s="4">
        <v>176.1</v>
      </c>
      <c r="G787" t="s">
        <v>2909</v>
      </c>
      <c r="H787" t="s">
        <v>40</v>
      </c>
      <c r="I787" t="s">
        <v>95</v>
      </c>
      <c r="J787" t="s">
        <v>2910</v>
      </c>
      <c r="K787">
        <v>1</v>
      </c>
      <c r="L787" t="s">
        <v>27</v>
      </c>
      <c r="M787" t="s">
        <v>28</v>
      </c>
      <c r="N787" s="4">
        <v>176.1</v>
      </c>
      <c r="O787" s="19" t="str">
        <f t="shared" si="60"/>
        <v>Jul-2023</v>
      </c>
      <c r="P787">
        <f t="shared" si="61"/>
        <v>2023</v>
      </c>
      <c r="Q787" t="str">
        <f t="shared" si="62"/>
        <v>OK</v>
      </c>
      <c r="R787">
        <v>1</v>
      </c>
      <c r="S787">
        <f t="shared" si="63"/>
        <v>0</v>
      </c>
      <c r="T787">
        <f t="shared" si="64"/>
        <v>0</v>
      </c>
    </row>
    <row r="788" spans="1:20">
      <c r="A788" t="s">
        <v>2911</v>
      </c>
      <c r="B788" s="3">
        <v>45161</v>
      </c>
      <c r="C788" t="s">
        <v>2912</v>
      </c>
      <c r="D788" t="s">
        <v>47</v>
      </c>
      <c r="E788">
        <v>5</v>
      </c>
      <c r="F788" s="4">
        <v>45.31</v>
      </c>
      <c r="G788" t="s">
        <v>2913</v>
      </c>
      <c r="H788" t="s">
        <v>33</v>
      </c>
      <c r="I788" t="s">
        <v>41</v>
      </c>
      <c r="J788" t="s">
        <v>2914</v>
      </c>
      <c r="K788">
        <v>8</v>
      </c>
      <c r="M788" t="s">
        <v>35</v>
      </c>
      <c r="N788" s="4">
        <v>226.55</v>
      </c>
      <c r="O788" s="19" t="str">
        <f t="shared" si="60"/>
        <v>Aug-2023</v>
      </c>
      <c r="P788">
        <f t="shared" si="61"/>
        <v>2023</v>
      </c>
      <c r="Q788" t="str">
        <f t="shared" si="62"/>
        <v>OK</v>
      </c>
      <c r="R788">
        <v>1</v>
      </c>
      <c r="S788">
        <f t="shared" si="63"/>
        <v>1</v>
      </c>
      <c r="T788">
        <f t="shared" si="64"/>
        <v>0</v>
      </c>
    </row>
    <row r="789" spans="1:20">
      <c r="A789" t="s">
        <v>2915</v>
      </c>
      <c r="B789" s="3">
        <v>45368</v>
      </c>
      <c r="C789" t="s">
        <v>2916</v>
      </c>
      <c r="D789" t="s">
        <v>79</v>
      </c>
      <c r="E789">
        <v>4</v>
      </c>
      <c r="F789" s="4">
        <v>221.96</v>
      </c>
      <c r="G789" t="s">
        <v>2917</v>
      </c>
      <c r="H789" t="s">
        <v>71</v>
      </c>
      <c r="I789" t="s">
        <v>56</v>
      </c>
      <c r="J789" t="s">
        <v>2918</v>
      </c>
      <c r="K789">
        <v>7</v>
      </c>
      <c r="M789" t="s">
        <v>82</v>
      </c>
      <c r="N789" s="4">
        <v>887.84</v>
      </c>
      <c r="O789" s="19" t="str">
        <f t="shared" si="60"/>
        <v>Mar-2024</v>
      </c>
      <c r="P789">
        <f t="shared" si="61"/>
        <v>2024</v>
      </c>
      <c r="Q789" t="str">
        <f t="shared" si="62"/>
        <v>OK</v>
      </c>
      <c r="R789">
        <v>1</v>
      </c>
      <c r="S789">
        <f t="shared" si="63"/>
        <v>0</v>
      </c>
      <c r="T789">
        <f t="shared" si="64"/>
        <v>0</v>
      </c>
    </row>
    <row r="790" spans="1:20">
      <c r="A790" t="s">
        <v>2919</v>
      </c>
      <c r="B790" s="3">
        <v>45232</v>
      </c>
      <c r="C790" t="s">
        <v>2920</v>
      </c>
      <c r="D790" t="s">
        <v>47</v>
      </c>
      <c r="E790">
        <v>2</v>
      </c>
      <c r="F790" s="4">
        <v>601.42999999999995</v>
      </c>
      <c r="G790" t="s">
        <v>2921</v>
      </c>
      <c r="H790" t="s">
        <v>33</v>
      </c>
      <c r="I790" t="s">
        <v>95</v>
      </c>
      <c r="J790" t="s">
        <v>2922</v>
      </c>
      <c r="K790">
        <v>5</v>
      </c>
      <c r="L790" t="s">
        <v>43</v>
      </c>
      <c r="M790" t="s">
        <v>28</v>
      </c>
      <c r="N790" s="4">
        <v>1202.8599999999999</v>
      </c>
      <c r="O790" s="19" t="str">
        <f t="shared" si="60"/>
        <v>Nov-2023</v>
      </c>
      <c r="P790">
        <f t="shared" si="61"/>
        <v>2023</v>
      </c>
      <c r="Q790" t="str">
        <f t="shared" si="62"/>
        <v>OK</v>
      </c>
      <c r="R790">
        <v>1</v>
      </c>
      <c r="S790">
        <f t="shared" si="63"/>
        <v>0</v>
      </c>
      <c r="T790">
        <f t="shared" si="64"/>
        <v>0</v>
      </c>
    </row>
    <row r="791" spans="1:20">
      <c r="A791" t="s">
        <v>2923</v>
      </c>
      <c r="B791" s="3">
        <v>45155</v>
      </c>
      <c r="C791" t="s">
        <v>2924</v>
      </c>
      <c r="D791" t="s">
        <v>38</v>
      </c>
      <c r="E791">
        <v>5</v>
      </c>
      <c r="F791" s="4">
        <v>691.28</v>
      </c>
      <c r="G791" t="s">
        <v>2925</v>
      </c>
      <c r="H791" t="s">
        <v>33</v>
      </c>
      <c r="I791" t="s">
        <v>56</v>
      </c>
      <c r="J791" t="s">
        <v>2926</v>
      </c>
      <c r="K791">
        <v>10</v>
      </c>
      <c r="L791" t="s">
        <v>27</v>
      </c>
      <c r="M791" t="s">
        <v>44</v>
      </c>
      <c r="N791" s="4">
        <v>3456.4</v>
      </c>
      <c r="O791" s="19" t="str">
        <f t="shared" si="60"/>
        <v>Aug-2023</v>
      </c>
      <c r="P791">
        <f t="shared" si="61"/>
        <v>2023</v>
      </c>
      <c r="Q791" t="str">
        <f t="shared" si="62"/>
        <v>OK</v>
      </c>
      <c r="R791">
        <v>1</v>
      </c>
      <c r="S791">
        <f t="shared" si="63"/>
        <v>0</v>
      </c>
      <c r="T791">
        <f t="shared" si="64"/>
        <v>0</v>
      </c>
    </row>
    <row r="792" spans="1:20">
      <c r="A792" t="s">
        <v>2927</v>
      </c>
      <c r="B792" s="3">
        <v>45549</v>
      </c>
      <c r="C792" t="s">
        <v>2928</v>
      </c>
      <c r="D792" t="s">
        <v>64</v>
      </c>
      <c r="E792">
        <v>4</v>
      </c>
      <c r="F792" s="4">
        <v>417.89</v>
      </c>
      <c r="G792" t="s">
        <v>2929</v>
      </c>
      <c r="H792" t="s">
        <v>66</v>
      </c>
      <c r="I792" t="s">
        <v>95</v>
      </c>
      <c r="J792" t="s">
        <v>2930</v>
      </c>
      <c r="K792">
        <v>4</v>
      </c>
      <c r="M792" t="s">
        <v>82</v>
      </c>
      <c r="N792" s="4">
        <v>1671.56</v>
      </c>
      <c r="O792" s="19" t="str">
        <f t="shared" si="60"/>
        <v>Sep-2024</v>
      </c>
      <c r="P792">
        <f t="shared" si="61"/>
        <v>2024</v>
      </c>
      <c r="Q792" t="str">
        <f t="shared" si="62"/>
        <v>OK</v>
      </c>
      <c r="R792">
        <v>1</v>
      </c>
      <c r="S792">
        <f t="shared" si="63"/>
        <v>0</v>
      </c>
      <c r="T792">
        <f t="shared" si="64"/>
        <v>0</v>
      </c>
    </row>
    <row r="793" spans="1:20">
      <c r="A793" t="s">
        <v>2931</v>
      </c>
      <c r="B793" s="3">
        <v>45304</v>
      </c>
      <c r="C793" t="s">
        <v>2932</v>
      </c>
      <c r="D793" t="s">
        <v>47</v>
      </c>
      <c r="E793">
        <v>4</v>
      </c>
      <c r="F793" s="4">
        <v>409.28</v>
      </c>
      <c r="G793" t="s">
        <v>143</v>
      </c>
      <c r="H793" t="s">
        <v>71</v>
      </c>
      <c r="I793" t="s">
        <v>95</v>
      </c>
      <c r="J793" t="s">
        <v>2933</v>
      </c>
      <c r="K793">
        <v>8</v>
      </c>
      <c r="M793" t="s">
        <v>44</v>
      </c>
      <c r="N793" s="4">
        <v>1637.12</v>
      </c>
      <c r="O793" s="19" t="str">
        <f t="shared" si="60"/>
        <v>Jan-2024</v>
      </c>
      <c r="P793">
        <f t="shared" si="61"/>
        <v>2024</v>
      </c>
      <c r="Q793" t="str">
        <f t="shared" si="62"/>
        <v>OK</v>
      </c>
      <c r="R793">
        <v>1</v>
      </c>
      <c r="S793">
        <f t="shared" si="63"/>
        <v>0</v>
      </c>
      <c r="T793">
        <f t="shared" si="64"/>
        <v>0</v>
      </c>
    </row>
    <row r="794" spans="1:20">
      <c r="A794" t="s">
        <v>2934</v>
      </c>
      <c r="B794" s="3">
        <v>45093</v>
      </c>
      <c r="C794" t="s">
        <v>2935</v>
      </c>
      <c r="D794" t="s">
        <v>79</v>
      </c>
      <c r="E794">
        <v>2</v>
      </c>
      <c r="F794" s="4">
        <v>356.35</v>
      </c>
      <c r="G794" t="s">
        <v>2936</v>
      </c>
      <c r="H794" t="s">
        <v>24</v>
      </c>
      <c r="I794" t="s">
        <v>49</v>
      </c>
      <c r="J794" t="s">
        <v>2937</v>
      </c>
      <c r="K794">
        <v>6</v>
      </c>
      <c r="L794" t="s">
        <v>87</v>
      </c>
      <c r="M794" t="s">
        <v>51</v>
      </c>
      <c r="N794" s="4">
        <v>712.7</v>
      </c>
      <c r="O794" s="19" t="str">
        <f t="shared" si="60"/>
        <v>Jun-2023</v>
      </c>
      <c r="P794">
        <f t="shared" si="61"/>
        <v>2023</v>
      </c>
      <c r="Q794" t="str">
        <f t="shared" si="62"/>
        <v>OK</v>
      </c>
      <c r="R794">
        <v>1</v>
      </c>
      <c r="S794">
        <f t="shared" si="63"/>
        <v>0</v>
      </c>
      <c r="T794">
        <f t="shared" si="64"/>
        <v>1</v>
      </c>
    </row>
    <row r="795" spans="1:20">
      <c r="A795" t="s">
        <v>2938</v>
      </c>
      <c r="B795" s="3">
        <v>45397</v>
      </c>
      <c r="C795" t="s">
        <v>2939</v>
      </c>
      <c r="D795" t="s">
        <v>47</v>
      </c>
      <c r="E795">
        <v>5</v>
      </c>
      <c r="F795" s="4">
        <v>170.22</v>
      </c>
      <c r="G795" t="s">
        <v>1645</v>
      </c>
      <c r="H795" t="s">
        <v>24</v>
      </c>
      <c r="I795" t="s">
        <v>56</v>
      </c>
      <c r="J795" t="s">
        <v>2940</v>
      </c>
      <c r="K795">
        <v>8</v>
      </c>
      <c r="M795" t="s">
        <v>35</v>
      </c>
      <c r="N795" s="4">
        <v>851.1</v>
      </c>
      <c r="O795" s="19" t="str">
        <f t="shared" si="60"/>
        <v>Apr-2024</v>
      </c>
      <c r="P795">
        <f t="shared" si="61"/>
        <v>2024</v>
      </c>
      <c r="Q795" t="str">
        <f t="shared" si="62"/>
        <v>OK</v>
      </c>
      <c r="R795">
        <v>1</v>
      </c>
      <c r="S795">
        <f t="shared" si="63"/>
        <v>0</v>
      </c>
      <c r="T795">
        <f t="shared" si="64"/>
        <v>0</v>
      </c>
    </row>
    <row r="796" spans="1:20">
      <c r="A796" t="s">
        <v>2941</v>
      </c>
      <c r="B796" s="3">
        <v>44994</v>
      </c>
      <c r="C796" t="s">
        <v>2942</v>
      </c>
      <c r="D796" t="s">
        <v>54</v>
      </c>
      <c r="E796">
        <v>4</v>
      </c>
      <c r="F796" s="4">
        <v>384.85</v>
      </c>
      <c r="G796" t="s">
        <v>2943</v>
      </c>
      <c r="H796" t="s">
        <v>33</v>
      </c>
      <c r="I796" t="s">
        <v>56</v>
      </c>
      <c r="J796" t="s">
        <v>2944</v>
      </c>
      <c r="K796">
        <v>9</v>
      </c>
      <c r="L796" t="s">
        <v>43</v>
      </c>
      <c r="M796" t="s">
        <v>28</v>
      </c>
      <c r="N796" s="4">
        <v>1539.4</v>
      </c>
      <c r="O796" s="19" t="str">
        <f t="shared" si="60"/>
        <v>Mar-2023</v>
      </c>
      <c r="P796">
        <f t="shared" si="61"/>
        <v>2023</v>
      </c>
      <c r="Q796" t="str">
        <f t="shared" si="62"/>
        <v>OK</v>
      </c>
      <c r="R796">
        <v>1</v>
      </c>
      <c r="S796">
        <f t="shared" si="63"/>
        <v>0</v>
      </c>
      <c r="T796">
        <f t="shared" si="64"/>
        <v>0</v>
      </c>
    </row>
    <row r="797" spans="1:20">
      <c r="A797" t="s">
        <v>2945</v>
      </c>
      <c r="B797" s="3">
        <v>45616</v>
      </c>
      <c r="C797" t="s">
        <v>2946</v>
      </c>
      <c r="D797" t="s">
        <v>64</v>
      </c>
      <c r="E797">
        <v>4</v>
      </c>
      <c r="F797" s="4">
        <v>115.77</v>
      </c>
      <c r="G797" t="s">
        <v>2947</v>
      </c>
      <c r="H797" t="s">
        <v>33</v>
      </c>
      <c r="I797" t="s">
        <v>95</v>
      </c>
      <c r="J797" t="s">
        <v>2948</v>
      </c>
      <c r="K797">
        <v>7</v>
      </c>
      <c r="L797" t="s">
        <v>27</v>
      </c>
      <c r="M797" t="s">
        <v>28</v>
      </c>
      <c r="N797" s="4">
        <v>463.08</v>
      </c>
      <c r="O797" s="19" t="str">
        <f t="shared" si="60"/>
        <v>Nov-2024</v>
      </c>
      <c r="P797">
        <f t="shared" si="61"/>
        <v>2024</v>
      </c>
      <c r="Q797" t="str">
        <f t="shared" si="62"/>
        <v>OK</v>
      </c>
      <c r="R797">
        <v>1</v>
      </c>
      <c r="S797">
        <f t="shared" si="63"/>
        <v>0</v>
      </c>
      <c r="T797">
        <f t="shared" si="64"/>
        <v>0</v>
      </c>
    </row>
    <row r="798" spans="1:20">
      <c r="A798" t="s">
        <v>2949</v>
      </c>
      <c r="B798" s="3">
        <v>45776</v>
      </c>
      <c r="C798" t="s">
        <v>2950</v>
      </c>
      <c r="D798" t="s">
        <v>31</v>
      </c>
      <c r="E798">
        <v>3</v>
      </c>
      <c r="F798" s="4">
        <v>579.54999999999995</v>
      </c>
      <c r="G798" t="s">
        <v>890</v>
      </c>
      <c r="H798" t="s">
        <v>66</v>
      </c>
      <c r="I798" t="s">
        <v>49</v>
      </c>
      <c r="J798" t="s">
        <v>2951</v>
      </c>
      <c r="K798">
        <v>8</v>
      </c>
      <c r="L798" t="s">
        <v>87</v>
      </c>
      <c r="M798" t="s">
        <v>51</v>
      </c>
      <c r="N798" s="4">
        <v>1738.65</v>
      </c>
      <c r="O798" s="19" t="str">
        <f t="shared" si="60"/>
        <v>Apr-2025</v>
      </c>
      <c r="P798">
        <f t="shared" si="61"/>
        <v>2025</v>
      </c>
      <c r="Q798" t="str">
        <f t="shared" si="62"/>
        <v>OK</v>
      </c>
      <c r="R798">
        <v>1</v>
      </c>
      <c r="S798">
        <f t="shared" si="63"/>
        <v>0</v>
      </c>
      <c r="T798">
        <f t="shared" si="64"/>
        <v>1</v>
      </c>
    </row>
    <row r="799" spans="1:20">
      <c r="A799" t="s">
        <v>2952</v>
      </c>
      <c r="B799" s="3">
        <v>44984</v>
      </c>
      <c r="C799" t="s">
        <v>2953</v>
      </c>
      <c r="D799" t="s">
        <v>64</v>
      </c>
      <c r="E799">
        <v>2</v>
      </c>
      <c r="F799" s="4">
        <v>438.76</v>
      </c>
      <c r="G799" t="s">
        <v>2954</v>
      </c>
      <c r="H799" t="s">
        <v>24</v>
      </c>
      <c r="I799" t="s">
        <v>49</v>
      </c>
      <c r="J799" t="s">
        <v>2955</v>
      </c>
      <c r="K799">
        <v>2</v>
      </c>
      <c r="M799" t="s">
        <v>51</v>
      </c>
      <c r="N799" s="4">
        <v>877.52</v>
      </c>
      <c r="O799" s="19" t="str">
        <f t="shared" si="60"/>
        <v>Feb-2023</v>
      </c>
      <c r="P799">
        <f t="shared" si="61"/>
        <v>2023</v>
      </c>
      <c r="Q799" t="str">
        <f t="shared" si="62"/>
        <v>OK</v>
      </c>
      <c r="R799">
        <v>1</v>
      </c>
      <c r="S799">
        <f t="shared" si="63"/>
        <v>0</v>
      </c>
      <c r="T799">
        <f t="shared" si="64"/>
        <v>1</v>
      </c>
    </row>
    <row r="800" spans="1:20">
      <c r="A800" t="s">
        <v>2956</v>
      </c>
      <c r="B800" s="3">
        <v>45796</v>
      </c>
      <c r="C800" t="s">
        <v>2957</v>
      </c>
      <c r="D800" t="s">
        <v>31</v>
      </c>
      <c r="E800">
        <v>5</v>
      </c>
      <c r="F800" s="4">
        <v>488.35</v>
      </c>
      <c r="G800" t="s">
        <v>1239</v>
      </c>
      <c r="H800" t="s">
        <v>24</v>
      </c>
      <c r="I800" t="s">
        <v>49</v>
      </c>
      <c r="J800" t="s">
        <v>2958</v>
      </c>
      <c r="K800">
        <v>9</v>
      </c>
      <c r="L800" t="s">
        <v>43</v>
      </c>
      <c r="M800" t="s">
        <v>44</v>
      </c>
      <c r="N800" s="4">
        <v>2441.75</v>
      </c>
      <c r="O800" s="19" t="str">
        <f t="shared" si="60"/>
        <v>May-2025</v>
      </c>
      <c r="P800">
        <f t="shared" si="61"/>
        <v>2025</v>
      </c>
      <c r="Q800" t="str">
        <f t="shared" si="62"/>
        <v>OK</v>
      </c>
      <c r="R800">
        <v>1</v>
      </c>
      <c r="S800">
        <f t="shared" si="63"/>
        <v>0</v>
      </c>
      <c r="T800">
        <f t="shared" si="64"/>
        <v>1</v>
      </c>
    </row>
    <row r="801" spans="1:20">
      <c r="A801" t="s">
        <v>2959</v>
      </c>
      <c r="B801" s="3">
        <v>45032</v>
      </c>
      <c r="C801" t="s">
        <v>2960</v>
      </c>
      <c r="D801" t="s">
        <v>64</v>
      </c>
      <c r="E801">
        <v>4</v>
      </c>
      <c r="F801" s="4">
        <v>328.56</v>
      </c>
      <c r="G801" t="s">
        <v>1076</v>
      </c>
      <c r="H801" t="s">
        <v>24</v>
      </c>
      <c r="I801" t="s">
        <v>49</v>
      </c>
      <c r="J801" t="s">
        <v>2961</v>
      </c>
      <c r="K801">
        <v>4</v>
      </c>
      <c r="L801" t="s">
        <v>43</v>
      </c>
      <c r="M801" t="s">
        <v>44</v>
      </c>
      <c r="N801" s="4">
        <v>1314.24</v>
      </c>
      <c r="O801" s="19" t="str">
        <f t="shared" si="60"/>
        <v>Apr-2023</v>
      </c>
      <c r="P801">
        <f t="shared" si="61"/>
        <v>2023</v>
      </c>
      <c r="Q801" t="str">
        <f t="shared" si="62"/>
        <v>OK</v>
      </c>
      <c r="R801">
        <v>1</v>
      </c>
      <c r="S801">
        <f t="shared" si="63"/>
        <v>0</v>
      </c>
      <c r="T801">
        <f t="shared" si="64"/>
        <v>1</v>
      </c>
    </row>
    <row r="802" spans="1:20">
      <c r="A802" t="s">
        <v>2962</v>
      </c>
      <c r="B802" s="3">
        <v>45744</v>
      </c>
      <c r="C802" t="s">
        <v>2963</v>
      </c>
      <c r="D802" t="s">
        <v>38</v>
      </c>
      <c r="E802">
        <v>1</v>
      </c>
      <c r="F802" s="4">
        <v>68.39</v>
      </c>
      <c r="G802" t="s">
        <v>2964</v>
      </c>
      <c r="H802" t="s">
        <v>33</v>
      </c>
      <c r="I802" t="s">
        <v>49</v>
      </c>
      <c r="J802" t="s">
        <v>2965</v>
      </c>
      <c r="K802">
        <v>3</v>
      </c>
      <c r="L802" t="s">
        <v>87</v>
      </c>
      <c r="M802" t="s">
        <v>51</v>
      </c>
      <c r="N802" s="4">
        <v>68.39</v>
      </c>
      <c r="O802" s="19" t="str">
        <f t="shared" si="60"/>
        <v>Mar-2025</v>
      </c>
      <c r="P802">
        <f t="shared" si="61"/>
        <v>2025</v>
      </c>
      <c r="Q802" t="str">
        <f t="shared" si="62"/>
        <v>OK</v>
      </c>
      <c r="R802">
        <v>1</v>
      </c>
      <c r="S802">
        <f t="shared" si="63"/>
        <v>0</v>
      </c>
      <c r="T802">
        <f t="shared" si="64"/>
        <v>1</v>
      </c>
    </row>
    <row r="803" spans="1:20">
      <c r="A803" t="s">
        <v>2966</v>
      </c>
      <c r="B803" s="3">
        <v>45049</v>
      </c>
      <c r="C803" t="s">
        <v>154</v>
      </c>
      <c r="D803" t="s">
        <v>54</v>
      </c>
      <c r="E803">
        <v>4</v>
      </c>
      <c r="F803" s="4">
        <v>595.62</v>
      </c>
      <c r="G803" t="s">
        <v>2967</v>
      </c>
      <c r="H803" t="s">
        <v>24</v>
      </c>
      <c r="I803" t="s">
        <v>95</v>
      </c>
      <c r="J803" t="s">
        <v>2968</v>
      </c>
      <c r="K803">
        <v>8</v>
      </c>
      <c r="L803" t="s">
        <v>43</v>
      </c>
      <c r="M803" t="s">
        <v>51</v>
      </c>
      <c r="N803" s="4">
        <v>2382.48</v>
      </c>
      <c r="O803" s="19" t="str">
        <f t="shared" si="60"/>
        <v>May-2023</v>
      </c>
      <c r="P803">
        <f t="shared" si="61"/>
        <v>2023</v>
      </c>
      <c r="Q803" t="str">
        <f t="shared" si="62"/>
        <v>OK</v>
      </c>
      <c r="R803">
        <v>1</v>
      </c>
      <c r="S803">
        <f t="shared" si="63"/>
        <v>0</v>
      </c>
      <c r="T803">
        <f t="shared" si="64"/>
        <v>0</v>
      </c>
    </row>
    <row r="804" spans="1:20">
      <c r="A804" t="s">
        <v>2969</v>
      </c>
      <c r="B804" s="3">
        <v>45339</v>
      </c>
      <c r="C804" t="s">
        <v>2970</v>
      </c>
      <c r="D804" t="s">
        <v>47</v>
      </c>
      <c r="E804">
        <v>5</v>
      </c>
      <c r="F804" s="4">
        <v>644.64</v>
      </c>
      <c r="G804" t="s">
        <v>2971</v>
      </c>
      <c r="H804" t="s">
        <v>66</v>
      </c>
      <c r="I804" t="s">
        <v>41</v>
      </c>
      <c r="J804" t="s">
        <v>2972</v>
      </c>
      <c r="K804">
        <v>6</v>
      </c>
      <c r="L804" t="s">
        <v>43</v>
      </c>
      <c r="M804" t="s">
        <v>44</v>
      </c>
      <c r="N804" s="4">
        <v>3223.2</v>
      </c>
      <c r="O804" s="19" t="str">
        <f t="shared" si="60"/>
        <v>Feb-2024</v>
      </c>
      <c r="P804">
        <f t="shared" si="61"/>
        <v>2024</v>
      </c>
      <c r="Q804" t="str">
        <f t="shared" si="62"/>
        <v>OK</v>
      </c>
      <c r="R804">
        <v>1</v>
      </c>
      <c r="S804">
        <f t="shared" si="63"/>
        <v>1</v>
      </c>
      <c r="T804">
        <f t="shared" si="64"/>
        <v>0</v>
      </c>
    </row>
    <row r="805" spans="1:20">
      <c r="A805" t="s">
        <v>2973</v>
      </c>
      <c r="B805" s="3">
        <v>45158</v>
      </c>
      <c r="C805" t="s">
        <v>2974</v>
      </c>
      <c r="D805" t="s">
        <v>22</v>
      </c>
      <c r="E805">
        <v>5</v>
      </c>
      <c r="F805" s="4">
        <v>397.81</v>
      </c>
      <c r="G805" t="s">
        <v>229</v>
      </c>
      <c r="H805" t="s">
        <v>24</v>
      </c>
      <c r="I805" t="s">
        <v>49</v>
      </c>
      <c r="J805" t="s">
        <v>2975</v>
      </c>
      <c r="K805">
        <v>5</v>
      </c>
      <c r="L805" t="s">
        <v>27</v>
      </c>
      <c r="M805" t="s">
        <v>35</v>
      </c>
      <c r="N805" s="4">
        <v>1989.05</v>
      </c>
      <c r="O805" s="19" t="str">
        <f t="shared" si="60"/>
        <v>Aug-2023</v>
      </c>
      <c r="P805">
        <f t="shared" si="61"/>
        <v>2023</v>
      </c>
      <c r="Q805" t="str">
        <f t="shared" si="62"/>
        <v>OK</v>
      </c>
      <c r="R805">
        <v>1</v>
      </c>
      <c r="S805">
        <f t="shared" si="63"/>
        <v>0</v>
      </c>
      <c r="T805">
        <f t="shared" si="64"/>
        <v>1</v>
      </c>
    </row>
    <row r="806" spans="1:20">
      <c r="A806" t="s">
        <v>2976</v>
      </c>
      <c r="B806" s="3">
        <v>45292</v>
      </c>
      <c r="C806" t="s">
        <v>2977</v>
      </c>
      <c r="D806" t="s">
        <v>47</v>
      </c>
      <c r="E806">
        <v>3</v>
      </c>
      <c r="F806" s="4">
        <v>236.5</v>
      </c>
      <c r="G806" t="s">
        <v>2978</v>
      </c>
      <c r="H806" t="s">
        <v>33</v>
      </c>
      <c r="I806" t="s">
        <v>56</v>
      </c>
      <c r="J806" t="s">
        <v>2979</v>
      </c>
      <c r="K806">
        <v>8</v>
      </c>
      <c r="L806" t="s">
        <v>43</v>
      </c>
      <c r="M806" t="s">
        <v>44</v>
      </c>
      <c r="N806" s="4">
        <v>709.5</v>
      </c>
      <c r="O806" s="19" t="str">
        <f t="shared" si="60"/>
        <v>Jan-2024</v>
      </c>
      <c r="P806">
        <f t="shared" si="61"/>
        <v>2024</v>
      </c>
      <c r="Q806" t="str">
        <f t="shared" si="62"/>
        <v>OK</v>
      </c>
      <c r="R806">
        <v>1</v>
      </c>
      <c r="S806">
        <f t="shared" si="63"/>
        <v>0</v>
      </c>
      <c r="T806">
        <f t="shared" si="64"/>
        <v>0</v>
      </c>
    </row>
    <row r="807" spans="1:20">
      <c r="A807" t="s">
        <v>2980</v>
      </c>
      <c r="B807" s="3">
        <v>45580</v>
      </c>
      <c r="C807" t="s">
        <v>2981</v>
      </c>
      <c r="D807" t="s">
        <v>64</v>
      </c>
      <c r="E807">
        <v>5</v>
      </c>
      <c r="F807" s="4">
        <v>472.01</v>
      </c>
      <c r="G807" t="s">
        <v>2982</v>
      </c>
      <c r="H807" t="s">
        <v>66</v>
      </c>
      <c r="I807" t="s">
        <v>41</v>
      </c>
      <c r="J807" t="s">
        <v>2983</v>
      </c>
      <c r="K807">
        <v>10</v>
      </c>
      <c r="L807" t="s">
        <v>27</v>
      </c>
      <c r="M807" t="s">
        <v>44</v>
      </c>
      <c r="N807" s="4">
        <v>2360.0500000000002</v>
      </c>
      <c r="O807" s="19" t="str">
        <f t="shared" si="60"/>
        <v>Oct-2024</v>
      </c>
      <c r="P807">
        <f t="shared" si="61"/>
        <v>2024</v>
      </c>
      <c r="Q807" t="str">
        <f t="shared" si="62"/>
        <v>OK</v>
      </c>
      <c r="R807">
        <v>1</v>
      </c>
      <c r="S807">
        <f t="shared" si="63"/>
        <v>1</v>
      </c>
      <c r="T807">
        <f t="shared" si="64"/>
        <v>0</v>
      </c>
    </row>
    <row r="808" spans="1:20">
      <c r="A808" t="s">
        <v>2984</v>
      </c>
      <c r="B808" s="3">
        <v>45170</v>
      </c>
      <c r="C808" t="s">
        <v>2985</v>
      </c>
      <c r="D808" t="s">
        <v>47</v>
      </c>
      <c r="E808">
        <v>5</v>
      </c>
      <c r="F808" s="4">
        <v>253.75</v>
      </c>
      <c r="G808" t="s">
        <v>1127</v>
      </c>
      <c r="H808" t="s">
        <v>33</v>
      </c>
      <c r="I808" t="s">
        <v>95</v>
      </c>
      <c r="J808" t="s">
        <v>2986</v>
      </c>
      <c r="K808">
        <v>9</v>
      </c>
      <c r="L808" t="s">
        <v>87</v>
      </c>
      <c r="M808" t="s">
        <v>28</v>
      </c>
      <c r="N808" s="4">
        <v>1268.75</v>
      </c>
      <c r="O808" s="19" t="str">
        <f t="shared" si="60"/>
        <v>Sep-2023</v>
      </c>
      <c r="P808">
        <f t="shared" si="61"/>
        <v>2023</v>
      </c>
      <c r="Q808" t="str">
        <f t="shared" si="62"/>
        <v>OK</v>
      </c>
      <c r="R808">
        <v>1</v>
      </c>
      <c r="S808">
        <f t="shared" si="63"/>
        <v>0</v>
      </c>
      <c r="T808">
        <f t="shared" si="64"/>
        <v>0</v>
      </c>
    </row>
    <row r="809" spans="1:20">
      <c r="A809" t="s">
        <v>2987</v>
      </c>
      <c r="B809" s="3">
        <v>45606</v>
      </c>
      <c r="C809" t="s">
        <v>2988</v>
      </c>
      <c r="D809" t="s">
        <v>22</v>
      </c>
      <c r="E809">
        <v>3</v>
      </c>
      <c r="F809" s="4">
        <v>676.21</v>
      </c>
      <c r="G809" t="s">
        <v>2989</v>
      </c>
      <c r="H809" t="s">
        <v>33</v>
      </c>
      <c r="I809" t="s">
        <v>56</v>
      </c>
      <c r="J809" t="s">
        <v>2990</v>
      </c>
      <c r="K809">
        <v>5</v>
      </c>
      <c r="L809" t="s">
        <v>27</v>
      </c>
      <c r="M809" t="s">
        <v>82</v>
      </c>
      <c r="N809" s="4">
        <v>2028.63</v>
      </c>
      <c r="O809" s="19" t="str">
        <f t="shared" si="60"/>
        <v>Nov-2024</v>
      </c>
      <c r="P809">
        <f t="shared" si="61"/>
        <v>2024</v>
      </c>
      <c r="Q809" t="str">
        <f t="shared" si="62"/>
        <v>OK</v>
      </c>
      <c r="R809">
        <v>1</v>
      </c>
      <c r="S809">
        <f t="shared" si="63"/>
        <v>0</v>
      </c>
      <c r="T809">
        <f t="shared" si="64"/>
        <v>0</v>
      </c>
    </row>
    <row r="810" spans="1:20">
      <c r="A810" t="s">
        <v>2991</v>
      </c>
      <c r="B810" s="3">
        <v>45335</v>
      </c>
      <c r="C810" t="s">
        <v>2992</v>
      </c>
      <c r="D810" t="s">
        <v>79</v>
      </c>
      <c r="E810">
        <v>3</v>
      </c>
      <c r="F810" s="4">
        <v>134.05000000000001</v>
      </c>
      <c r="G810" t="s">
        <v>2993</v>
      </c>
      <c r="H810" t="s">
        <v>40</v>
      </c>
      <c r="I810" t="s">
        <v>25</v>
      </c>
      <c r="J810" t="s">
        <v>2994</v>
      </c>
      <c r="K810">
        <v>3</v>
      </c>
      <c r="M810" t="s">
        <v>82</v>
      </c>
      <c r="N810" s="4">
        <v>402.15</v>
      </c>
      <c r="O810" s="19" t="str">
        <f t="shared" si="60"/>
        <v>Feb-2024</v>
      </c>
      <c r="P810">
        <f t="shared" si="61"/>
        <v>2024</v>
      </c>
      <c r="Q810" t="str">
        <f t="shared" si="62"/>
        <v>OK</v>
      </c>
      <c r="R810">
        <v>1</v>
      </c>
      <c r="S810">
        <f t="shared" si="63"/>
        <v>0</v>
      </c>
      <c r="T810">
        <f t="shared" si="64"/>
        <v>0</v>
      </c>
    </row>
    <row r="811" spans="1:20">
      <c r="A811" t="s">
        <v>2995</v>
      </c>
      <c r="B811" s="3">
        <v>45391</v>
      </c>
      <c r="C811" t="s">
        <v>2996</v>
      </c>
      <c r="D811" t="s">
        <v>79</v>
      </c>
      <c r="E811">
        <v>5</v>
      </c>
      <c r="F811" s="4">
        <v>217.43</v>
      </c>
      <c r="G811" t="s">
        <v>299</v>
      </c>
      <c r="H811" t="s">
        <v>24</v>
      </c>
      <c r="I811" t="s">
        <v>25</v>
      </c>
      <c r="J811" t="s">
        <v>2997</v>
      </c>
      <c r="K811">
        <v>10</v>
      </c>
      <c r="L811" t="s">
        <v>27</v>
      </c>
      <c r="M811" t="s">
        <v>28</v>
      </c>
      <c r="N811" s="4">
        <v>1087.1500000000001</v>
      </c>
      <c r="O811" s="19" t="str">
        <f t="shared" si="60"/>
        <v>Apr-2024</v>
      </c>
      <c r="P811">
        <f t="shared" si="61"/>
        <v>2024</v>
      </c>
      <c r="Q811" t="str">
        <f t="shared" si="62"/>
        <v>OK</v>
      </c>
      <c r="R811">
        <v>1</v>
      </c>
      <c r="S811">
        <f t="shared" si="63"/>
        <v>0</v>
      </c>
      <c r="T811">
        <f t="shared" si="64"/>
        <v>0</v>
      </c>
    </row>
    <row r="812" spans="1:20">
      <c r="A812" t="s">
        <v>2998</v>
      </c>
      <c r="B812" s="3">
        <v>45077</v>
      </c>
      <c r="C812" t="s">
        <v>2999</v>
      </c>
      <c r="D812" t="s">
        <v>38</v>
      </c>
      <c r="E812">
        <v>1</v>
      </c>
      <c r="F812" s="4">
        <v>553.55999999999995</v>
      </c>
      <c r="G812" t="s">
        <v>3000</v>
      </c>
      <c r="H812" t="s">
        <v>40</v>
      </c>
      <c r="I812" t="s">
        <v>41</v>
      </c>
      <c r="J812" t="s">
        <v>3001</v>
      </c>
      <c r="K812">
        <v>5</v>
      </c>
      <c r="M812" t="s">
        <v>35</v>
      </c>
      <c r="N812" s="4">
        <v>553.55999999999995</v>
      </c>
      <c r="O812" s="19" t="str">
        <f t="shared" si="60"/>
        <v>May-2023</v>
      </c>
      <c r="P812">
        <f t="shared" si="61"/>
        <v>2023</v>
      </c>
      <c r="Q812" t="str">
        <f t="shared" si="62"/>
        <v>OK</v>
      </c>
      <c r="R812">
        <v>1</v>
      </c>
      <c r="S812">
        <f t="shared" si="63"/>
        <v>1</v>
      </c>
      <c r="T812">
        <f t="shared" si="64"/>
        <v>0</v>
      </c>
    </row>
    <row r="813" spans="1:20">
      <c r="A813" t="s">
        <v>3002</v>
      </c>
      <c r="B813" s="3">
        <v>45235</v>
      </c>
      <c r="C813" t="s">
        <v>3003</v>
      </c>
      <c r="D813" t="s">
        <v>64</v>
      </c>
      <c r="E813">
        <v>2</v>
      </c>
      <c r="F813" s="4">
        <v>28.55</v>
      </c>
      <c r="G813" t="s">
        <v>2800</v>
      </c>
      <c r="H813" t="s">
        <v>66</v>
      </c>
      <c r="I813" t="s">
        <v>25</v>
      </c>
      <c r="J813" t="s">
        <v>3004</v>
      </c>
      <c r="K813">
        <v>7</v>
      </c>
      <c r="L813" t="s">
        <v>27</v>
      </c>
      <c r="M813" t="s">
        <v>44</v>
      </c>
      <c r="N813" s="4">
        <v>57.1</v>
      </c>
      <c r="O813" s="19" t="str">
        <f t="shared" si="60"/>
        <v>Nov-2023</v>
      </c>
      <c r="P813">
        <f t="shared" si="61"/>
        <v>2023</v>
      </c>
      <c r="Q813" t="str">
        <f t="shared" si="62"/>
        <v>OK</v>
      </c>
      <c r="R813">
        <v>1</v>
      </c>
      <c r="S813">
        <f t="shared" si="63"/>
        <v>0</v>
      </c>
      <c r="T813">
        <f t="shared" si="64"/>
        <v>0</v>
      </c>
    </row>
    <row r="814" spans="1:20">
      <c r="A814" t="s">
        <v>3005</v>
      </c>
      <c r="B814" s="3">
        <v>45317</v>
      </c>
      <c r="C814" t="s">
        <v>3006</v>
      </c>
      <c r="D814" t="s">
        <v>31</v>
      </c>
      <c r="E814">
        <v>2</v>
      </c>
      <c r="F814" s="4">
        <v>255.26</v>
      </c>
      <c r="G814" t="s">
        <v>1076</v>
      </c>
      <c r="H814" t="s">
        <v>40</v>
      </c>
      <c r="I814" t="s">
        <v>41</v>
      </c>
      <c r="J814" t="s">
        <v>3007</v>
      </c>
      <c r="K814">
        <v>6</v>
      </c>
      <c r="L814" t="s">
        <v>43</v>
      </c>
      <c r="M814" t="s">
        <v>82</v>
      </c>
      <c r="N814" s="4">
        <v>510.52</v>
      </c>
      <c r="O814" s="19" t="str">
        <f t="shared" si="60"/>
        <v>Jan-2024</v>
      </c>
      <c r="P814">
        <f t="shared" si="61"/>
        <v>2024</v>
      </c>
      <c r="Q814" t="str">
        <f t="shared" si="62"/>
        <v>OK</v>
      </c>
      <c r="R814">
        <v>1</v>
      </c>
      <c r="S814">
        <f t="shared" si="63"/>
        <v>1</v>
      </c>
      <c r="T814">
        <f t="shared" si="64"/>
        <v>0</v>
      </c>
    </row>
    <row r="815" spans="1:20">
      <c r="A815" t="s">
        <v>3008</v>
      </c>
      <c r="B815" s="3">
        <v>45731</v>
      </c>
      <c r="C815" t="s">
        <v>3009</v>
      </c>
      <c r="D815" t="s">
        <v>64</v>
      </c>
      <c r="E815">
        <v>5</v>
      </c>
      <c r="F815" s="4">
        <v>292.54000000000002</v>
      </c>
      <c r="G815" t="s">
        <v>1123</v>
      </c>
      <c r="H815" t="s">
        <v>24</v>
      </c>
      <c r="I815" t="s">
        <v>41</v>
      </c>
      <c r="J815" t="s">
        <v>3010</v>
      </c>
      <c r="K815">
        <v>8</v>
      </c>
      <c r="L815" t="s">
        <v>43</v>
      </c>
      <c r="M815" t="s">
        <v>44</v>
      </c>
      <c r="N815" s="4">
        <v>1462.7</v>
      </c>
      <c r="O815" s="19" t="str">
        <f t="shared" si="60"/>
        <v>Mar-2025</v>
      </c>
      <c r="P815">
        <f t="shared" si="61"/>
        <v>2025</v>
      </c>
      <c r="Q815" t="str">
        <f t="shared" si="62"/>
        <v>OK</v>
      </c>
      <c r="R815">
        <v>1</v>
      </c>
      <c r="S815">
        <f t="shared" si="63"/>
        <v>1</v>
      </c>
      <c r="T815">
        <f t="shared" si="64"/>
        <v>0</v>
      </c>
    </row>
    <row r="816" spans="1:20">
      <c r="A816" t="s">
        <v>3011</v>
      </c>
      <c r="B816" s="3">
        <v>45637</v>
      </c>
      <c r="C816" t="s">
        <v>3012</v>
      </c>
      <c r="D816" t="s">
        <v>47</v>
      </c>
      <c r="E816">
        <v>4</v>
      </c>
      <c r="F816" s="4">
        <v>147.51</v>
      </c>
      <c r="G816" t="s">
        <v>3013</v>
      </c>
      <c r="H816" t="s">
        <v>24</v>
      </c>
      <c r="I816" t="s">
        <v>95</v>
      </c>
      <c r="J816" t="s">
        <v>3014</v>
      </c>
      <c r="K816">
        <v>4</v>
      </c>
      <c r="L816" t="s">
        <v>87</v>
      </c>
      <c r="M816" t="s">
        <v>28</v>
      </c>
      <c r="N816" s="4">
        <v>590.04</v>
      </c>
      <c r="O816" s="19" t="str">
        <f t="shared" si="60"/>
        <v>Dec-2024</v>
      </c>
      <c r="P816">
        <f t="shared" si="61"/>
        <v>2024</v>
      </c>
      <c r="Q816" t="str">
        <f t="shared" si="62"/>
        <v>OK</v>
      </c>
      <c r="R816">
        <v>1</v>
      </c>
      <c r="S816">
        <f t="shared" si="63"/>
        <v>0</v>
      </c>
      <c r="T816">
        <f t="shared" si="64"/>
        <v>0</v>
      </c>
    </row>
    <row r="817" spans="1:20">
      <c r="A817" t="s">
        <v>3015</v>
      </c>
      <c r="B817" s="3">
        <v>45508</v>
      </c>
      <c r="C817" t="s">
        <v>3016</v>
      </c>
      <c r="D817" t="s">
        <v>54</v>
      </c>
      <c r="E817">
        <v>3</v>
      </c>
      <c r="F817" s="4">
        <v>569.84</v>
      </c>
      <c r="G817" t="s">
        <v>3017</v>
      </c>
      <c r="H817" t="s">
        <v>66</v>
      </c>
      <c r="I817" t="s">
        <v>41</v>
      </c>
      <c r="J817" t="s">
        <v>3018</v>
      </c>
      <c r="K817">
        <v>8</v>
      </c>
      <c r="L817" t="s">
        <v>87</v>
      </c>
      <c r="M817" t="s">
        <v>28</v>
      </c>
      <c r="N817" s="4">
        <v>1709.52</v>
      </c>
      <c r="O817" s="19" t="str">
        <f t="shared" si="60"/>
        <v>Aug-2024</v>
      </c>
      <c r="P817">
        <f t="shared" si="61"/>
        <v>2024</v>
      </c>
      <c r="Q817" t="str">
        <f t="shared" si="62"/>
        <v>OK</v>
      </c>
      <c r="R817">
        <v>1</v>
      </c>
      <c r="S817">
        <f t="shared" si="63"/>
        <v>1</v>
      </c>
      <c r="T817">
        <f t="shared" si="64"/>
        <v>0</v>
      </c>
    </row>
    <row r="818" spans="1:20">
      <c r="A818" t="s">
        <v>3019</v>
      </c>
      <c r="B818" s="3">
        <v>45343</v>
      </c>
      <c r="C818" t="s">
        <v>3020</v>
      </c>
      <c r="D818" t="s">
        <v>38</v>
      </c>
      <c r="E818">
        <v>5</v>
      </c>
      <c r="F818" s="4">
        <v>574.79</v>
      </c>
      <c r="G818" t="s">
        <v>898</v>
      </c>
      <c r="H818" t="s">
        <v>40</v>
      </c>
      <c r="I818" t="s">
        <v>95</v>
      </c>
      <c r="J818" t="s">
        <v>3021</v>
      </c>
      <c r="K818">
        <v>8</v>
      </c>
      <c r="L818" t="s">
        <v>87</v>
      </c>
      <c r="M818" t="s">
        <v>35</v>
      </c>
      <c r="N818" s="4">
        <v>2873.95</v>
      </c>
      <c r="O818" s="19" t="str">
        <f t="shared" si="60"/>
        <v>Feb-2024</v>
      </c>
      <c r="P818">
        <f t="shared" si="61"/>
        <v>2024</v>
      </c>
      <c r="Q818" t="str">
        <f t="shared" si="62"/>
        <v>OK</v>
      </c>
      <c r="R818">
        <v>1</v>
      </c>
      <c r="S818">
        <f t="shared" si="63"/>
        <v>0</v>
      </c>
      <c r="T818">
        <f t="shared" si="64"/>
        <v>0</v>
      </c>
    </row>
    <row r="819" spans="1:20">
      <c r="A819" t="s">
        <v>3022</v>
      </c>
      <c r="B819" s="3">
        <v>45204</v>
      </c>
      <c r="C819" t="s">
        <v>3023</v>
      </c>
      <c r="D819" t="s">
        <v>47</v>
      </c>
      <c r="E819">
        <v>4</v>
      </c>
      <c r="F819" s="4">
        <v>598.19000000000005</v>
      </c>
      <c r="G819" t="s">
        <v>3024</v>
      </c>
      <c r="H819" t="s">
        <v>40</v>
      </c>
      <c r="I819" t="s">
        <v>56</v>
      </c>
      <c r="J819" t="s">
        <v>3025</v>
      </c>
      <c r="K819">
        <v>7</v>
      </c>
      <c r="L819" t="s">
        <v>87</v>
      </c>
      <c r="M819" t="s">
        <v>44</v>
      </c>
      <c r="N819" s="4">
        <v>2392.7600000000002</v>
      </c>
      <c r="O819" s="19" t="str">
        <f t="shared" si="60"/>
        <v>Oct-2023</v>
      </c>
      <c r="P819">
        <f t="shared" si="61"/>
        <v>2023</v>
      </c>
      <c r="Q819" t="str">
        <f t="shared" si="62"/>
        <v>OK</v>
      </c>
      <c r="R819">
        <v>1</v>
      </c>
      <c r="S819">
        <f t="shared" si="63"/>
        <v>0</v>
      </c>
      <c r="T819">
        <f t="shared" si="64"/>
        <v>0</v>
      </c>
    </row>
    <row r="820" spans="1:20">
      <c r="A820" t="s">
        <v>3026</v>
      </c>
      <c r="B820" s="3">
        <v>44987</v>
      </c>
      <c r="C820" t="s">
        <v>3027</v>
      </c>
      <c r="D820" t="s">
        <v>31</v>
      </c>
      <c r="E820">
        <v>4</v>
      </c>
      <c r="F820" s="4">
        <v>390.84</v>
      </c>
      <c r="G820" t="s">
        <v>2525</v>
      </c>
      <c r="H820" t="s">
        <v>40</v>
      </c>
      <c r="I820" t="s">
        <v>41</v>
      </c>
      <c r="J820" t="s">
        <v>3028</v>
      </c>
      <c r="K820">
        <v>9</v>
      </c>
      <c r="L820" t="s">
        <v>87</v>
      </c>
      <c r="M820" t="s">
        <v>35</v>
      </c>
      <c r="N820" s="4">
        <v>1563.36</v>
      </c>
      <c r="O820" s="19" t="str">
        <f t="shared" si="60"/>
        <v>Mar-2023</v>
      </c>
      <c r="P820">
        <f t="shared" si="61"/>
        <v>2023</v>
      </c>
      <c r="Q820" t="str">
        <f t="shared" si="62"/>
        <v>OK</v>
      </c>
      <c r="R820">
        <v>1</v>
      </c>
      <c r="S820">
        <f t="shared" si="63"/>
        <v>1</v>
      </c>
      <c r="T820">
        <f t="shared" si="64"/>
        <v>0</v>
      </c>
    </row>
    <row r="821" spans="1:20">
      <c r="A821" t="s">
        <v>3029</v>
      </c>
      <c r="B821" s="3">
        <v>45563</v>
      </c>
      <c r="C821" t="s">
        <v>3030</v>
      </c>
      <c r="D821" t="s">
        <v>31</v>
      </c>
      <c r="E821">
        <v>2</v>
      </c>
      <c r="F821" s="4">
        <v>398.45</v>
      </c>
      <c r="G821" t="s">
        <v>3031</v>
      </c>
      <c r="H821" t="s">
        <v>24</v>
      </c>
      <c r="I821" t="s">
        <v>41</v>
      </c>
      <c r="J821" t="s">
        <v>3032</v>
      </c>
      <c r="K821">
        <v>7</v>
      </c>
      <c r="L821" t="s">
        <v>27</v>
      </c>
      <c r="M821" t="s">
        <v>82</v>
      </c>
      <c r="N821" s="4">
        <v>796.9</v>
      </c>
      <c r="O821" s="19" t="str">
        <f t="shared" si="60"/>
        <v>Sep-2024</v>
      </c>
      <c r="P821">
        <f t="shared" si="61"/>
        <v>2024</v>
      </c>
      <c r="Q821" t="str">
        <f t="shared" si="62"/>
        <v>OK</v>
      </c>
      <c r="R821">
        <v>1</v>
      </c>
      <c r="S821">
        <f t="shared" si="63"/>
        <v>1</v>
      </c>
      <c r="T821">
        <f t="shared" si="64"/>
        <v>0</v>
      </c>
    </row>
    <row r="822" spans="1:20">
      <c r="A822" t="s">
        <v>3033</v>
      </c>
      <c r="B822" s="3">
        <v>45073</v>
      </c>
      <c r="C822" t="s">
        <v>3034</v>
      </c>
      <c r="D822" t="s">
        <v>31</v>
      </c>
      <c r="E822">
        <v>5</v>
      </c>
      <c r="F822" s="4">
        <v>623.80999999999995</v>
      </c>
      <c r="G822" t="s">
        <v>1402</v>
      </c>
      <c r="H822" t="s">
        <v>71</v>
      </c>
      <c r="I822" t="s">
        <v>49</v>
      </c>
      <c r="J822" t="s">
        <v>3035</v>
      </c>
      <c r="K822">
        <v>6</v>
      </c>
      <c r="L822" t="s">
        <v>43</v>
      </c>
      <c r="M822" t="s">
        <v>44</v>
      </c>
      <c r="N822" s="4">
        <v>3119.05</v>
      </c>
      <c r="O822" s="19" t="str">
        <f t="shared" si="60"/>
        <v>May-2023</v>
      </c>
      <c r="P822">
        <f t="shared" si="61"/>
        <v>2023</v>
      </c>
      <c r="Q822" t="str">
        <f t="shared" si="62"/>
        <v>OK</v>
      </c>
      <c r="R822">
        <v>1</v>
      </c>
      <c r="S822">
        <f t="shared" si="63"/>
        <v>0</v>
      </c>
      <c r="T822">
        <f t="shared" si="64"/>
        <v>1</v>
      </c>
    </row>
    <row r="823" spans="1:20">
      <c r="A823" t="s">
        <v>3036</v>
      </c>
      <c r="B823" s="3">
        <v>45640</v>
      </c>
      <c r="C823" t="s">
        <v>3037</v>
      </c>
      <c r="D823" t="s">
        <v>64</v>
      </c>
      <c r="E823">
        <v>4</v>
      </c>
      <c r="F823" s="4">
        <v>174.49</v>
      </c>
      <c r="G823" t="s">
        <v>1370</v>
      </c>
      <c r="H823" t="s">
        <v>40</v>
      </c>
      <c r="I823" t="s">
        <v>56</v>
      </c>
      <c r="J823" t="s">
        <v>3038</v>
      </c>
      <c r="K823">
        <v>5</v>
      </c>
      <c r="L823" t="s">
        <v>27</v>
      </c>
      <c r="M823" t="s">
        <v>51</v>
      </c>
      <c r="N823" s="4">
        <v>697.96</v>
      </c>
      <c r="O823" s="19" t="str">
        <f t="shared" si="60"/>
        <v>Dec-2024</v>
      </c>
      <c r="P823">
        <f t="shared" si="61"/>
        <v>2024</v>
      </c>
      <c r="Q823" t="str">
        <f t="shared" si="62"/>
        <v>OK</v>
      </c>
      <c r="R823">
        <v>1</v>
      </c>
      <c r="S823">
        <f t="shared" si="63"/>
        <v>0</v>
      </c>
      <c r="T823">
        <f t="shared" si="64"/>
        <v>0</v>
      </c>
    </row>
    <row r="824" spans="1:20">
      <c r="A824" t="s">
        <v>3039</v>
      </c>
      <c r="B824" s="3">
        <v>45731</v>
      </c>
      <c r="C824" t="s">
        <v>3040</v>
      </c>
      <c r="D824" t="s">
        <v>31</v>
      </c>
      <c r="E824">
        <v>1</v>
      </c>
      <c r="F824" s="4">
        <v>479.56</v>
      </c>
      <c r="G824" t="s">
        <v>326</v>
      </c>
      <c r="H824" t="s">
        <v>66</v>
      </c>
      <c r="I824" t="s">
        <v>49</v>
      </c>
      <c r="J824" t="s">
        <v>3041</v>
      </c>
      <c r="K824">
        <v>1</v>
      </c>
      <c r="L824" t="s">
        <v>27</v>
      </c>
      <c r="M824" t="s">
        <v>82</v>
      </c>
      <c r="N824" s="4">
        <v>479.56</v>
      </c>
      <c r="O824" s="19" t="str">
        <f t="shared" si="60"/>
        <v>Mar-2025</v>
      </c>
      <c r="P824">
        <f t="shared" si="61"/>
        <v>2025</v>
      </c>
      <c r="Q824" t="str">
        <f t="shared" si="62"/>
        <v>OK</v>
      </c>
      <c r="R824">
        <v>1</v>
      </c>
      <c r="S824">
        <f t="shared" si="63"/>
        <v>0</v>
      </c>
      <c r="T824">
        <f t="shared" si="64"/>
        <v>1</v>
      </c>
    </row>
    <row r="825" spans="1:20">
      <c r="A825" t="s">
        <v>3042</v>
      </c>
      <c r="B825" s="3">
        <v>45572</v>
      </c>
      <c r="C825" t="s">
        <v>3043</v>
      </c>
      <c r="D825" t="s">
        <v>64</v>
      </c>
      <c r="E825">
        <v>4</v>
      </c>
      <c r="F825" s="4">
        <v>653.13</v>
      </c>
      <c r="G825" t="s">
        <v>3044</v>
      </c>
      <c r="H825" t="s">
        <v>40</v>
      </c>
      <c r="I825" t="s">
        <v>25</v>
      </c>
      <c r="J825" t="s">
        <v>3045</v>
      </c>
      <c r="K825">
        <v>8</v>
      </c>
      <c r="L825" t="s">
        <v>87</v>
      </c>
      <c r="M825" t="s">
        <v>28</v>
      </c>
      <c r="N825" s="4">
        <v>2612.52</v>
      </c>
      <c r="O825" s="19" t="str">
        <f t="shared" si="60"/>
        <v>Oct-2024</v>
      </c>
      <c r="P825">
        <f t="shared" si="61"/>
        <v>2024</v>
      </c>
      <c r="Q825" t="str">
        <f t="shared" si="62"/>
        <v>OK</v>
      </c>
      <c r="R825">
        <v>1</v>
      </c>
      <c r="S825">
        <f t="shared" si="63"/>
        <v>0</v>
      </c>
      <c r="T825">
        <f t="shared" si="64"/>
        <v>0</v>
      </c>
    </row>
    <row r="826" spans="1:20">
      <c r="A826" t="s">
        <v>3046</v>
      </c>
      <c r="B826" s="3">
        <v>45167</v>
      </c>
      <c r="C826" t="s">
        <v>3047</v>
      </c>
      <c r="D826" t="s">
        <v>22</v>
      </c>
      <c r="E826">
        <v>3</v>
      </c>
      <c r="F826" s="4">
        <v>481.1</v>
      </c>
      <c r="G826" t="s">
        <v>3048</v>
      </c>
      <c r="H826" t="s">
        <v>40</v>
      </c>
      <c r="I826" t="s">
        <v>49</v>
      </c>
      <c r="J826" t="s">
        <v>3049</v>
      </c>
      <c r="K826">
        <v>3</v>
      </c>
      <c r="L826" t="s">
        <v>43</v>
      </c>
      <c r="M826" t="s">
        <v>51</v>
      </c>
      <c r="N826" s="4">
        <v>1443.3</v>
      </c>
      <c r="O826" s="19" t="str">
        <f t="shared" si="60"/>
        <v>Aug-2023</v>
      </c>
      <c r="P826">
        <f t="shared" si="61"/>
        <v>2023</v>
      </c>
      <c r="Q826" t="str">
        <f t="shared" si="62"/>
        <v>OK</v>
      </c>
      <c r="R826">
        <v>1</v>
      </c>
      <c r="S826">
        <f t="shared" si="63"/>
        <v>0</v>
      </c>
      <c r="T826">
        <f t="shared" si="64"/>
        <v>1</v>
      </c>
    </row>
    <row r="827" spans="1:20">
      <c r="A827" t="s">
        <v>3050</v>
      </c>
      <c r="B827" s="3">
        <v>45742</v>
      </c>
      <c r="C827" t="s">
        <v>3051</v>
      </c>
      <c r="D827" t="s">
        <v>79</v>
      </c>
      <c r="E827">
        <v>5</v>
      </c>
      <c r="F827" s="4">
        <v>271.69</v>
      </c>
      <c r="G827" t="s">
        <v>3052</v>
      </c>
      <c r="H827" t="s">
        <v>33</v>
      </c>
      <c r="I827" t="s">
        <v>49</v>
      </c>
      <c r="J827" t="s">
        <v>3053</v>
      </c>
      <c r="K827">
        <v>7</v>
      </c>
      <c r="L827" t="s">
        <v>43</v>
      </c>
      <c r="M827" t="s">
        <v>28</v>
      </c>
      <c r="N827" s="4">
        <v>1358.45</v>
      </c>
      <c r="O827" s="19" t="str">
        <f t="shared" si="60"/>
        <v>Mar-2025</v>
      </c>
      <c r="P827">
        <f t="shared" si="61"/>
        <v>2025</v>
      </c>
      <c r="Q827" t="str">
        <f t="shared" si="62"/>
        <v>OK</v>
      </c>
      <c r="R827">
        <v>1</v>
      </c>
      <c r="S827">
        <f t="shared" si="63"/>
        <v>0</v>
      </c>
      <c r="T827">
        <f t="shared" si="64"/>
        <v>1</v>
      </c>
    </row>
    <row r="828" spans="1:20">
      <c r="A828" t="s">
        <v>3054</v>
      </c>
      <c r="B828" s="3">
        <v>45724</v>
      </c>
      <c r="C828" t="s">
        <v>3055</v>
      </c>
      <c r="D828" t="s">
        <v>54</v>
      </c>
      <c r="E828">
        <v>3</v>
      </c>
      <c r="F828" s="4">
        <v>463.81</v>
      </c>
      <c r="G828" t="s">
        <v>741</v>
      </c>
      <c r="H828" t="s">
        <v>33</v>
      </c>
      <c r="I828" t="s">
        <v>49</v>
      </c>
      <c r="J828" t="s">
        <v>3056</v>
      </c>
      <c r="K828">
        <v>8</v>
      </c>
      <c r="L828" t="s">
        <v>87</v>
      </c>
      <c r="M828" t="s">
        <v>44</v>
      </c>
      <c r="N828" s="4">
        <v>1391.43</v>
      </c>
      <c r="O828" s="19" t="str">
        <f t="shared" si="60"/>
        <v>Mar-2025</v>
      </c>
      <c r="P828">
        <f t="shared" si="61"/>
        <v>2025</v>
      </c>
      <c r="Q828" t="str">
        <f t="shared" si="62"/>
        <v>OK</v>
      </c>
      <c r="R828">
        <v>1</v>
      </c>
      <c r="S828">
        <f t="shared" si="63"/>
        <v>0</v>
      </c>
      <c r="T828">
        <f t="shared" si="64"/>
        <v>1</v>
      </c>
    </row>
    <row r="829" spans="1:20">
      <c r="A829" t="s">
        <v>3057</v>
      </c>
      <c r="B829" s="3">
        <v>45071</v>
      </c>
      <c r="C829" t="s">
        <v>3058</v>
      </c>
      <c r="D829" t="s">
        <v>38</v>
      </c>
      <c r="E829">
        <v>2</v>
      </c>
      <c r="F829" s="4">
        <v>639.88</v>
      </c>
      <c r="G829" t="s">
        <v>879</v>
      </c>
      <c r="H829" t="s">
        <v>71</v>
      </c>
      <c r="I829" t="s">
        <v>56</v>
      </c>
      <c r="J829" t="s">
        <v>3059</v>
      </c>
      <c r="K829">
        <v>5</v>
      </c>
      <c r="L829" t="s">
        <v>87</v>
      </c>
      <c r="M829" t="s">
        <v>28</v>
      </c>
      <c r="N829" s="4">
        <v>1279.76</v>
      </c>
      <c r="O829" s="19" t="str">
        <f t="shared" si="60"/>
        <v>May-2023</v>
      </c>
      <c r="P829">
        <f t="shared" si="61"/>
        <v>2023</v>
      </c>
      <c r="Q829" t="str">
        <f t="shared" si="62"/>
        <v>OK</v>
      </c>
      <c r="R829">
        <v>1</v>
      </c>
      <c r="S829">
        <f t="shared" si="63"/>
        <v>0</v>
      </c>
      <c r="T829">
        <f t="shared" si="64"/>
        <v>0</v>
      </c>
    </row>
    <row r="830" spans="1:20">
      <c r="A830" t="s">
        <v>3060</v>
      </c>
      <c r="B830" s="3">
        <v>45497</v>
      </c>
      <c r="C830" t="s">
        <v>3061</v>
      </c>
      <c r="D830" t="s">
        <v>47</v>
      </c>
      <c r="E830">
        <v>4</v>
      </c>
      <c r="F830" s="4">
        <v>404.58</v>
      </c>
      <c r="G830" t="s">
        <v>3062</v>
      </c>
      <c r="H830" t="s">
        <v>71</v>
      </c>
      <c r="I830" t="s">
        <v>25</v>
      </c>
      <c r="J830" t="s">
        <v>3063</v>
      </c>
      <c r="K830">
        <v>5</v>
      </c>
      <c r="L830" t="s">
        <v>43</v>
      </c>
      <c r="M830" t="s">
        <v>28</v>
      </c>
      <c r="N830" s="4">
        <v>1618.32</v>
      </c>
      <c r="O830" s="19" t="str">
        <f t="shared" si="60"/>
        <v>Jul-2024</v>
      </c>
      <c r="P830">
        <f t="shared" si="61"/>
        <v>2024</v>
      </c>
      <c r="Q830" t="str">
        <f t="shared" si="62"/>
        <v>OK</v>
      </c>
      <c r="R830">
        <v>1</v>
      </c>
      <c r="S830">
        <f t="shared" si="63"/>
        <v>0</v>
      </c>
      <c r="T830">
        <f t="shared" si="64"/>
        <v>0</v>
      </c>
    </row>
    <row r="831" spans="1:20">
      <c r="A831" t="s">
        <v>3064</v>
      </c>
      <c r="B831" s="3">
        <v>44962</v>
      </c>
      <c r="C831" t="s">
        <v>3065</v>
      </c>
      <c r="D831" t="s">
        <v>22</v>
      </c>
      <c r="E831">
        <v>1</v>
      </c>
      <c r="F831" s="4">
        <v>76.930000000000007</v>
      </c>
      <c r="G831" t="s">
        <v>3066</v>
      </c>
      <c r="H831" t="s">
        <v>24</v>
      </c>
      <c r="I831" t="s">
        <v>56</v>
      </c>
      <c r="J831" t="s">
        <v>3067</v>
      </c>
      <c r="K831">
        <v>6</v>
      </c>
      <c r="L831" t="s">
        <v>87</v>
      </c>
      <c r="M831" t="s">
        <v>28</v>
      </c>
      <c r="N831" s="4">
        <v>76.930000000000007</v>
      </c>
      <c r="O831" s="19" t="str">
        <f t="shared" si="60"/>
        <v>Feb-2023</v>
      </c>
      <c r="P831">
        <f t="shared" si="61"/>
        <v>2023</v>
      </c>
      <c r="Q831" t="str">
        <f t="shared" si="62"/>
        <v>OK</v>
      </c>
      <c r="R831">
        <v>1</v>
      </c>
      <c r="S831">
        <f t="shared" si="63"/>
        <v>0</v>
      </c>
      <c r="T831">
        <f t="shared" si="64"/>
        <v>0</v>
      </c>
    </row>
    <row r="832" spans="1:20">
      <c r="A832" t="s">
        <v>3068</v>
      </c>
      <c r="B832" s="3">
        <v>45637</v>
      </c>
      <c r="C832" t="s">
        <v>3069</v>
      </c>
      <c r="D832" t="s">
        <v>38</v>
      </c>
      <c r="E832">
        <v>4</v>
      </c>
      <c r="F832" s="4">
        <v>190.64</v>
      </c>
      <c r="G832" t="s">
        <v>3070</v>
      </c>
      <c r="H832" t="s">
        <v>71</v>
      </c>
      <c r="I832" t="s">
        <v>56</v>
      </c>
      <c r="J832" t="s">
        <v>3071</v>
      </c>
      <c r="K832">
        <v>5</v>
      </c>
      <c r="L832" t="s">
        <v>27</v>
      </c>
      <c r="M832" t="s">
        <v>44</v>
      </c>
      <c r="N832" s="4">
        <v>762.56</v>
      </c>
      <c r="O832" s="19" t="str">
        <f t="shared" si="60"/>
        <v>Dec-2024</v>
      </c>
      <c r="P832">
        <f t="shared" si="61"/>
        <v>2024</v>
      </c>
      <c r="Q832" t="str">
        <f t="shared" si="62"/>
        <v>OK</v>
      </c>
      <c r="R832">
        <v>1</v>
      </c>
      <c r="S832">
        <f t="shared" si="63"/>
        <v>0</v>
      </c>
      <c r="T832">
        <f t="shared" si="64"/>
        <v>0</v>
      </c>
    </row>
    <row r="833" spans="1:20">
      <c r="A833" t="s">
        <v>3072</v>
      </c>
      <c r="B833" s="3">
        <v>45278</v>
      </c>
      <c r="C833" t="s">
        <v>3073</v>
      </c>
      <c r="D833" t="s">
        <v>54</v>
      </c>
      <c r="E833">
        <v>2</v>
      </c>
      <c r="F833" s="4">
        <v>88.73</v>
      </c>
      <c r="G833" t="s">
        <v>2377</v>
      </c>
      <c r="H833" t="s">
        <v>33</v>
      </c>
      <c r="I833" t="s">
        <v>95</v>
      </c>
      <c r="J833" t="s">
        <v>3074</v>
      </c>
      <c r="K833">
        <v>5</v>
      </c>
      <c r="M833" t="s">
        <v>82</v>
      </c>
      <c r="N833" s="4">
        <v>177.46</v>
      </c>
      <c r="O833" s="19" t="str">
        <f t="shared" si="60"/>
        <v>Dec-2023</v>
      </c>
      <c r="P833">
        <f t="shared" si="61"/>
        <v>2023</v>
      </c>
      <c r="Q833" t="str">
        <f t="shared" si="62"/>
        <v>OK</v>
      </c>
      <c r="R833">
        <v>1</v>
      </c>
      <c r="S833">
        <f t="shared" si="63"/>
        <v>0</v>
      </c>
      <c r="T833">
        <f t="shared" si="64"/>
        <v>0</v>
      </c>
    </row>
    <row r="834" spans="1:20">
      <c r="A834" t="s">
        <v>3075</v>
      </c>
      <c r="B834" s="3">
        <v>45363</v>
      </c>
      <c r="C834" t="s">
        <v>3076</v>
      </c>
      <c r="D834" t="s">
        <v>47</v>
      </c>
      <c r="E834">
        <v>5</v>
      </c>
      <c r="F834" s="4">
        <v>485.71</v>
      </c>
      <c r="G834" t="s">
        <v>99</v>
      </c>
      <c r="H834" t="s">
        <v>33</v>
      </c>
      <c r="I834" t="s">
        <v>95</v>
      </c>
      <c r="J834" t="s">
        <v>3077</v>
      </c>
      <c r="K834">
        <v>10</v>
      </c>
      <c r="L834" t="s">
        <v>27</v>
      </c>
      <c r="M834" t="s">
        <v>35</v>
      </c>
      <c r="N834" s="4">
        <v>2428.5500000000002</v>
      </c>
      <c r="O834" s="19" t="str">
        <f t="shared" ref="O834:O897" si="65">TEXT(B834,"mmm-yyyy")</f>
        <v>Mar-2024</v>
      </c>
      <c r="P834">
        <f t="shared" ref="P834:P897" si="66">YEAR(B834)</f>
        <v>2024</v>
      </c>
      <c r="Q834" t="str">
        <f t="shared" ref="Q834:Q897" si="67">IF(ABS(N834-(E834*F834))&lt;0.01,"OK","CHECK")</f>
        <v>OK</v>
      </c>
      <c r="R834">
        <v>1</v>
      </c>
      <c r="S834">
        <f t="shared" ref="S834:S897" si="68">IF(I834="Cancelled",1,0)</f>
        <v>0</v>
      </c>
      <c r="T834">
        <f t="shared" ref="T834:T897" si="69">IF(I834="Returned",1,0)</f>
        <v>0</v>
      </c>
    </row>
    <row r="835" spans="1:20">
      <c r="A835" t="s">
        <v>3078</v>
      </c>
      <c r="B835" s="3">
        <v>45730</v>
      </c>
      <c r="C835" t="s">
        <v>3079</v>
      </c>
      <c r="D835" t="s">
        <v>31</v>
      </c>
      <c r="E835">
        <v>5</v>
      </c>
      <c r="F835" s="4">
        <v>78.290000000000006</v>
      </c>
      <c r="G835" t="s">
        <v>3080</v>
      </c>
      <c r="H835" t="s">
        <v>40</v>
      </c>
      <c r="I835" t="s">
        <v>25</v>
      </c>
      <c r="J835" t="s">
        <v>3081</v>
      </c>
      <c r="K835">
        <v>5</v>
      </c>
      <c r="L835" t="s">
        <v>87</v>
      </c>
      <c r="M835" t="s">
        <v>35</v>
      </c>
      <c r="N835" s="4">
        <v>391.45</v>
      </c>
      <c r="O835" s="19" t="str">
        <f t="shared" si="65"/>
        <v>Mar-2025</v>
      </c>
      <c r="P835">
        <f t="shared" si="66"/>
        <v>2025</v>
      </c>
      <c r="Q835" t="str">
        <f t="shared" si="67"/>
        <v>OK</v>
      </c>
      <c r="R835">
        <v>1</v>
      </c>
      <c r="S835">
        <f t="shared" si="68"/>
        <v>0</v>
      </c>
      <c r="T835">
        <f t="shared" si="69"/>
        <v>0</v>
      </c>
    </row>
    <row r="836" spans="1:20">
      <c r="A836" t="s">
        <v>3082</v>
      </c>
      <c r="B836" s="3">
        <v>45393</v>
      </c>
      <c r="C836" t="s">
        <v>3083</v>
      </c>
      <c r="D836" t="s">
        <v>54</v>
      </c>
      <c r="E836">
        <v>5</v>
      </c>
      <c r="F836" s="4">
        <v>22.14</v>
      </c>
      <c r="G836" t="s">
        <v>970</v>
      </c>
      <c r="H836" t="s">
        <v>71</v>
      </c>
      <c r="I836" t="s">
        <v>49</v>
      </c>
      <c r="J836" t="s">
        <v>3084</v>
      </c>
      <c r="K836">
        <v>10</v>
      </c>
      <c r="M836" t="s">
        <v>28</v>
      </c>
      <c r="N836" s="4">
        <v>110.7</v>
      </c>
      <c r="O836" s="19" t="str">
        <f t="shared" si="65"/>
        <v>Apr-2024</v>
      </c>
      <c r="P836">
        <f t="shared" si="66"/>
        <v>2024</v>
      </c>
      <c r="Q836" t="str">
        <f t="shared" si="67"/>
        <v>OK</v>
      </c>
      <c r="R836">
        <v>1</v>
      </c>
      <c r="S836">
        <f t="shared" si="68"/>
        <v>0</v>
      </c>
      <c r="T836">
        <f t="shared" si="69"/>
        <v>1</v>
      </c>
    </row>
    <row r="837" spans="1:20">
      <c r="A837" t="s">
        <v>3085</v>
      </c>
      <c r="B837" s="3">
        <v>45377</v>
      </c>
      <c r="C837" t="s">
        <v>3086</v>
      </c>
      <c r="D837" t="s">
        <v>79</v>
      </c>
      <c r="E837">
        <v>1</v>
      </c>
      <c r="F837" s="4">
        <v>679.65</v>
      </c>
      <c r="G837" t="s">
        <v>3087</v>
      </c>
      <c r="H837" t="s">
        <v>24</v>
      </c>
      <c r="I837" t="s">
        <v>25</v>
      </c>
      <c r="J837" t="s">
        <v>3088</v>
      </c>
      <c r="K837">
        <v>6</v>
      </c>
      <c r="L837" t="s">
        <v>43</v>
      </c>
      <c r="M837" t="s">
        <v>82</v>
      </c>
      <c r="N837" s="4">
        <v>679.65</v>
      </c>
      <c r="O837" s="19" t="str">
        <f t="shared" si="65"/>
        <v>Mar-2024</v>
      </c>
      <c r="P837">
        <f t="shared" si="66"/>
        <v>2024</v>
      </c>
      <c r="Q837" t="str">
        <f t="shared" si="67"/>
        <v>OK</v>
      </c>
      <c r="R837">
        <v>1</v>
      </c>
      <c r="S837">
        <f t="shared" si="68"/>
        <v>0</v>
      </c>
      <c r="T837">
        <f t="shared" si="69"/>
        <v>0</v>
      </c>
    </row>
    <row r="838" spans="1:20">
      <c r="A838" t="s">
        <v>3089</v>
      </c>
      <c r="B838" s="3">
        <v>44959</v>
      </c>
      <c r="C838" t="s">
        <v>3090</v>
      </c>
      <c r="D838" t="s">
        <v>31</v>
      </c>
      <c r="E838">
        <v>1</v>
      </c>
      <c r="F838" s="4">
        <v>178.44</v>
      </c>
      <c r="G838" t="s">
        <v>2452</v>
      </c>
      <c r="H838" t="s">
        <v>40</v>
      </c>
      <c r="I838" t="s">
        <v>41</v>
      </c>
      <c r="J838" t="s">
        <v>3091</v>
      </c>
      <c r="K838">
        <v>2</v>
      </c>
      <c r="L838" t="s">
        <v>43</v>
      </c>
      <c r="M838" t="s">
        <v>82</v>
      </c>
      <c r="N838" s="4">
        <v>178.44</v>
      </c>
      <c r="O838" s="19" t="str">
        <f t="shared" si="65"/>
        <v>Feb-2023</v>
      </c>
      <c r="P838">
        <f t="shared" si="66"/>
        <v>2023</v>
      </c>
      <c r="Q838" t="str">
        <f t="shared" si="67"/>
        <v>OK</v>
      </c>
      <c r="R838">
        <v>1</v>
      </c>
      <c r="S838">
        <f t="shared" si="68"/>
        <v>1</v>
      </c>
      <c r="T838">
        <f t="shared" si="69"/>
        <v>0</v>
      </c>
    </row>
    <row r="839" spans="1:20">
      <c r="A839" t="s">
        <v>3092</v>
      </c>
      <c r="B839" s="3">
        <v>45822</v>
      </c>
      <c r="C839" t="s">
        <v>3093</v>
      </c>
      <c r="D839" t="s">
        <v>47</v>
      </c>
      <c r="E839">
        <v>5</v>
      </c>
      <c r="F839" s="4">
        <v>655.55</v>
      </c>
      <c r="G839" t="s">
        <v>2296</v>
      </c>
      <c r="H839" t="s">
        <v>33</v>
      </c>
      <c r="I839" t="s">
        <v>56</v>
      </c>
      <c r="J839" t="s">
        <v>3094</v>
      </c>
      <c r="K839">
        <v>5</v>
      </c>
      <c r="M839" t="s">
        <v>44</v>
      </c>
      <c r="N839" s="4">
        <v>3277.75</v>
      </c>
      <c r="O839" s="19" t="str">
        <f t="shared" si="65"/>
        <v>Jun-2025</v>
      </c>
      <c r="P839">
        <f t="shared" si="66"/>
        <v>2025</v>
      </c>
      <c r="Q839" t="str">
        <f t="shared" si="67"/>
        <v>OK</v>
      </c>
      <c r="R839">
        <v>1</v>
      </c>
      <c r="S839">
        <f t="shared" si="68"/>
        <v>0</v>
      </c>
      <c r="T839">
        <f t="shared" si="69"/>
        <v>0</v>
      </c>
    </row>
    <row r="840" spans="1:20">
      <c r="A840" t="s">
        <v>3095</v>
      </c>
      <c r="B840" s="3">
        <v>45393</v>
      </c>
      <c r="C840" t="s">
        <v>3096</v>
      </c>
      <c r="D840" t="s">
        <v>79</v>
      </c>
      <c r="E840">
        <v>4</v>
      </c>
      <c r="F840" s="4">
        <v>577.08000000000004</v>
      </c>
      <c r="G840" t="s">
        <v>322</v>
      </c>
      <c r="H840" t="s">
        <v>33</v>
      </c>
      <c r="I840" t="s">
        <v>95</v>
      </c>
      <c r="J840" t="s">
        <v>3097</v>
      </c>
      <c r="K840">
        <v>8</v>
      </c>
      <c r="M840" t="s">
        <v>51</v>
      </c>
      <c r="N840" s="4">
        <v>2308.3200000000002</v>
      </c>
      <c r="O840" s="19" t="str">
        <f t="shared" si="65"/>
        <v>Apr-2024</v>
      </c>
      <c r="P840">
        <f t="shared" si="66"/>
        <v>2024</v>
      </c>
      <c r="Q840" t="str">
        <f t="shared" si="67"/>
        <v>OK</v>
      </c>
      <c r="R840">
        <v>1</v>
      </c>
      <c r="S840">
        <f t="shared" si="68"/>
        <v>0</v>
      </c>
      <c r="T840">
        <f t="shared" si="69"/>
        <v>0</v>
      </c>
    </row>
    <row r="841" spans="1:20">
      <c r="A841" t="s">
        <v>3098</v>
      </c>
      <c r="B841" s="3">
        <v>45162</v>
      </c>
      <c r="C841" t="s">
        <v>3099</v>
      </c>
      <c r="D841" t="s">
        <v>47</v>
      </c>
      <c r="E841">
        <v>3</v>
      </c>
      <c r="F841" s="4">
        <v>197.97</v>
      </c>
      <c r="G841" t="s">
        <v>2774</v>
      </c>
      <c r="H841" t="s">
        <v>33</v>
      </c>
      <c r="I841" t="s">
        <v>41</v>
      </c>
      <c r="J841" t="s">
        <v>3100</v>
      </c>
      <c r="K841">
        <v>5</v>
      </c>
      <c r="M841" t="s">
        <v>82</v>
      </c>
      <c r="N841" s="4">
        <v>593.91</v>
      </c>
      <c r="O841" s="19" t="str">
        <f t="shared" si="65"/>
        <v>Aug-2023</v>
      </c>
      <c r="P841">
        <f t="shared" si="66"/>
        <v>2023</v>
      </c>
      <c r="Q841" t="str">
        <f t="shared" si="67"/>
        <v>OK</v>
      </c>
      <c r="R841">
        <v>1</v>
      </c>
      <c r="S841">
        <f t="shared" si="68"/>
        <v>1</v>
      </c>
      <c r="T841">
        <f t="shared" si="69"/>
        <v>0</v>
      </c>
    </row>
    <row r="842" spans="1:20">
      <c r="A842" t="s">
        <v>3101</v>
      </c>
      <c r="B842" s="3">
        <v>45305</v>
      </c>
      <c r="C842" t="s">
        <v>3102</v>
      </c>
      <c r="D842" t="s">
        <v>47</v>
      </c>
      <c r="E842">
        <v>3</v>
      </c>
      <c r="F842" s="4">
        <v>411.95</v>
      </c>
      <c r="G842" t="s">
        <v>1821</v>
      </c>
      <c r="H842" t="s">
        <v>40</v>
      </c>
      <c r="I842" t="s">
        <v>56</v>
      </c>
      <c r="J842" t="s">
        <v>3103</v>
      </c>
      <c r="K842">
        <v>7</v>
      </c>
      <c r="L842" t="s">
        <v>43</v>
      </c>
      <c r="M842" t="s">
        <v>35</v>
      </c>
      <c r="N842" s="4">
        <v>1235.8499999999999</v>
      </c>
      <c r="O842" s="19" t="str">
        <f t="shared" si="65"/>
        <v>Jan-2024</v>
      </c>
      <c r="P842">
        <f t="shared" si="66"/>
        <v>2024</v>
      </c>
      <c r="Q842" t="str">
        <f t="shared" si="67"/>
        <v>OK</v>
      </c>
      <c r="R842">
        <v>1</v>
      </c>
      <c r="S842">
        <f t="shared" si="68"/>
        <v>0</v>
      </c>
      <c r="T842">
        <f t="shared" si="69"/>
        <v>0</v>
      </c>
    </row>
    <row r="843" spans="1:20">
      <c r="A843" t="s">
        <v>3104</v>
      </c>
      <c r="B843" s="3">
        <v>45554</v>
      </c>
      <c r="C843" t="s">
        <v>3105</v>
      </c>
      <c r="D843" t="s">
        <v>54</v>
      </c>
      <c r="E843">
        <v>2</v>
      </c>
      <c r="F843" s="4">
        <v>443.22</v>
      </c>
      <c r="G843" t="s">
        <v>3106</v>
      </c>
      <c r="H843" t="s">
        <v>40</v>
      </c>
      <c r="I843" t="s">
        <v>56</v>
      </c>
      <c r="J843" t="s">
        <v>3107</v>
      </c>
      <c r="K843">
        <v>5</v>
      </c>
      <c r="M843" t="s">
        <v>51</v>
      </c>
      <c r="N843" s="4">
        <v>886.44</v>
      </c>
      <c r="O843" s="19" t="str">
        <f t="shared" si="65"/>
        <v>Sep-2024</v>
      </c>
      <c r="P843">
        <f t="shared" si="66"/>
        <v>2024</v>
      </c>
      <c r="Q843" t="str">
        <f t="shared" si="67"/>
        <v>OK</v>
      </c>
      <c r="R843">
        <v>1</v>
      </c>
      <c r="S843">
        <f t="shared" si="68"/>
        <v>0</v>
      </c>
      <c r="T843">
        <f t="shared" si="69"/>
        <v>0</v>
      </c>
    </row>
    <row r="844" spans="1:20">
      <c r="A844" t="s">
        <v>3108</v>
      </c>
      <c r="B844" s="3">
        <v>45784</v>
      </c>
      <c r="C844" t="s">
        <v>3109</v>
      </c>
      <c r="D844" t="s">
        <v>64</v>
      </c>
      <c r="E844">
        <v>3</v>
      </c>
      <c r="F844" s="4">
        <v>364.14</v>
      </c>
      <c r="G844" t="s">
        <v>2585</v>
      </c>
      <c r="H844" t="s">
        <v>33</v>
      </c>
      <c r="I844" t="s">
        <v>95</v>
      </c>
      <c r="J844" t="s">
        <v>3110</v>
      </c>
      <c r="K844">
        <v>7</v>
      </c>
      <c r="L844" t="s">
        <v>87</v>
      </c>
      <c r="M844" t="s">
        <v>35</v>
      </c>
      <c r="N844" s="4">
        <v>1092.42</v>
      </c>
      <c r="O844" s="19" t="str">
        <f t="shared" si="65"/>
        <v>May-2025</v>
      </c>
      <c r="P844">
        <f t="shared" si="66"/>
        <v>2025</v>
      </c>
      <c r="Q844" t="str">
        <f t="shared" si="67"/>
        <v>OK</v>
      </c>
      <c r="R844">
        <v>1</v>
      </c>
      <c r="S844">
        <f t="shared" si="68"/>
        <v>0</v>
      </c>
      <c r="T844">
        <f t="shared" si="69"/>
        <v>0</v>
      </c>
    </row>
    <row r="845" spans="1:20">
      <c r="A845" t="s">
        <v>3111</v>
      </c>
      <c r="B845" s="3">
        <v>45790</v>
      </c>
      <c r="C845" t="s">
        <v>3112</v>
      </c>
      <c r="D845" t="s">
        <v>79</v>
      </c>
      <c r="E845">
        <v>3</v>
      </c>
      <c r="F845" s="4">
        <v>430.06</v>
      </c>
      <c r="G845" t="s">
        <v>3113</v>
      </c>
      <c r="H845" t="s">
        <v>66</v>
      </c>
      <c r="I845" t="s">
        <v>41</v>
      </c>
      <c r="J845" t="s">
        <v>3114</v>
      </c>
      <c r="K845">
        <v>8</v>
      </c>
      <c r="L845" t="s">
        <v>43</v>
      </c>
      <c r="M845" t="s">
        <v>28</v>
      </c>
      <c r="N845" s="4">
        <v>1290.18</v>
      </c>
      <c r="O845" s="19" t="str">
        <f t="shared" si="65"/>
        <v>May-2025</v>
      </c>
      <c r="P845">
        <f t="shared" si="66"/>
        <v>2025</v>
      </c>
      <c r="Q845" t="str">
        <f t="shared" si="67"/>
        <v>OK</v>
      </c>
      <c r="R845">
        <v>1</v>
      </c>
      <c r="S845">
        <f t="shared" si="68"/>
        <v>1</v>
      </c>
      <c r="T845">
        <f t="shared" si="69"/>
        <v>0</v>
      </c>
    </row>
    <row r="846" spans="1:20">
      <c r="A846" t="s">
        <v>3115</v>
      </c>
      <c r="B846" s="3">
        <v>45630</v>
      </c>
      <c r="C846" t="s">
        <v>3116</v>
      </c>
      <c r="D846" t="s">
        <v>47</v>
      </c>
      <c r="E846">
        <v>1</v>
      </c>
      <c r="F846" s="4">
        <v>320.92</v>
      </c>
      <c r="G846" t="s">
        <v>3117</v>
      </c>
      <c r="H846" t="s">
        <v>33</v>
      </c>
      <c r="I846" t="s">
        <v>49</v>
      </c>
      <c r="J846" t="s">
        <v>3118</v>
      </c>
      <c r="K846">
        <v>5</v>
      </c>
      <c r="L846" t="s">
        <v>43</v>
      </c>
      <c r="M846" t="s">
        <v>51</v>
      </c>
      <c r="N846" s="4">
        <v>320.92</v>
      </c>
      <c r="O846" s="19" t="str">
        <f t="shared" si="65"/>
        <v>Dec-2024</v>
      </c>
      <c r="P846">
        <f t="shared" si="66"/>
        <v>2024</v>
      </c>
      <c r="Q846" t="str">
        <f t="shared" si="67"/>
        <v>OK</v>
      </c>
      <c r="R846">
        <v>1</v>
      </c>
      <c r="S846">
        <f t="shared" si="68"/>
        <v>0</v>
      </c>
      <c r="T846">
        <f t="shared" si="69"/>
        <v>1</v>
      </c>
    </row>
    <row r="847" spans="1:20">
      <c r="A847" t="s">
        <v>3119</v>
      </c>
      <c r="B847" s="3">
        <v>45207</v>
      </c>
      <c r="C847" t="s">
        <v>3120</v>
      </c>
      <c r="D847" t="s">
        <v>31</v>
      </c>
      <c r="E847">
        <v>3</v>
      </c>
      <c r="F847" s="4">
        <v>107.36</v>
      </c>
      <c r="G847" t="s">
        <v>3121</v>
      </c>
      <c r="H847" t="s">
        <v>66</v>
      </c>
      <c r="I847" t="s">
        <v>56</v>
      </c>
      <c r="J847" t="s">
        <v>3122</v>
      </c>
      <c r="K847">
        <v>5</v>
      </c>
      <c r="L847" t="s">
        <v>43</v>
      </c>
      <c r="M847" t="s">
        <v>82</v>
      </c>
      <c r="N847" s="4">
        <v>322.08</v>
      </c>
      <c r="O847" s="19" t="str">
        <f t="shared" si="65"/>
        <v>Oct-2023</v>
      </c>
      <c r="P847">
        <f t="shared" si="66"/>
        <v>2023</v>
      </c>
      <c r="Q847" t="str">
        <f t="shared" si="67"/>
        <v>OK</v>
      </c>
      <c r="R847">
        <v>1</v>
      </c>
      <c r="S847">
        <f t="shared" si="68"/>
        <v>0</v>
      </c>
      <c r="T847">
        <f t="shared" si="69"/>
        <v>0</v>
      </c>
    </row>
    <row r="848" spans="1:20">
      <c r="A848" t="s">
        <v>3123</v>
      </c>
      <c r="B848" s="3">
        <v>45477</v>
      </c>
      <c r="C848" t="s">
        <v>3124</v>
      </c>
      <c r="D848" t="s">
        <v>79</v>
      </c>
      <c r="E848">
        <v>2</v>
      </c>
      <c r="F848" s="4">
        <v>359.86</v>
      </c>
      <c r="G848" t="s">
        <v>3125</v>
      </c>
      <c r="H848" t="s">
        <v>24</v>
      </c>
      <c r="I848" t="s">
        <v>41</v>
      </c>
      <c r="J848" t="s">
        <v>3126</v>
      </c>
      <c r="K848">
        <v>4</v>
      </c>
      <c r="M848" t="s">
        <v>35</v>
      </c>
      <c r="N848" s="4">
        <v>719.72</v>
      </c>
      <c r="O848" s="19" t="str">
        <f t="shared" si="65"/>
        <v>Jul-2024</v>
      </c>
      <c r="P848">
        <f t="shared" si="66"/>
        <v>2024</v>
      </c>
      <c r="Q848" t="str">
        <f t="shared" si="67"/>
        <v>OK</v>
      </c>
      <c r="R848">
        <v>1</v>
      </c>
      <c r="S848">
        <f t="shared" si="68"/>
        <v>1</v>
      </c>
      <c r="T848">
        <f t="shared" si="69"/>
        <v>0</v>
      </c>
    </row>
    <row r="849" spans="1:20">
      <c r="A849" t="s">
        <v>3127</v>
      </c>
      <c r="B849" s="3">
        <v>45614</v>
      </c>
      <c r="C849" t="s">
        <v>3128</v>
      </c>
      <c r="D849" t="s">
        <v>54</v>
      </c>
      <c r="E849">
        <v>4</v>
      </c>
      <c r="F849" s="4">
        <v>434.23</v>
      </c>
      <c r="G849" t="s">
        <v>1167</v>
      </c>
      <c r="H849" t="s">
        <v>33</v>
      </c>
      <c r="I849" t="s">
        <v>25</v>
      </c>
      <c r="J849" t="s">
        <v>3129</v>
      </c>
      <c r="K849">
        <v>8</v>
      </c>
      <c r="L849" t="s">
        <v>43</v>
      </c>
      <c r="M849" t="s">
        <v>44</v>
      </c>
      <c r="N849" s="4">
        <v>1736.92</v>
      </c>
      <c r="O849" s="19" t="str">
        <f t="shared" si="65"/>
        <v>Nov-2024</v>
      </c>
      <c r="P849">
        <f t="shared" si="66"/>
        <v>2024</v>
      </c>
      <c r="Q849" t="str">
        <f t="shared" si="67"/>
        <v>OK</v>
      </c>
      <c r="R849">
        <v>1</v>
      </c>
      <c r="S849">
        <f t="shared" si="68"/>
        <v>0</v>
      </c>
      <c r="T849">
        <f t="shared" si="69"/>
        <v>0</v>
      </c>
    </row>
    <row r="850" spans="1:20">
      <c r="A850" t="s">
        <v>3130</v>
      </c>
      <c r="B850" s="3">
        <v>44927</v>
      </c>
      <c r="C850" t="s">
        <v>3131</v>
      </c>
      <c r="D850" t="s">
        <v>47</v>
      </c>
      <c r="E850">
        <v>2</v>
      </c>
      <c r="F850" s="4">
        <v>645.85</v>
      </c>
      <c r="G850" t="s">
        <v>283</v>
      </c>
      <c r="H850" t="s">
        <v>33</v>
      </c>
      <c r="I850" t="s">
        <v>25</v>
      </c>
      <c r="J850" t="s">
        <v>3132</v>
      </c>
      <c r="K850">
        <v>5</v>
      </c>
      <c r="M850" t="s">
        <v>35</v>
      </c>
      <c r="N850" s="4">
        <v>1291.7</v>
      </c>
      <c r="O850" s="19" t="str">
        <f t="shared" si="65"/>
        <v>Jan-2023</v>
      </c>
      <c r="P850">
        <f t="shared" si="66"/>
        <v>2023</v>
      </c>
      <c r="Q850" t="str">
        <f t="shared" si="67"/>
        <v>OK</v>
      </c>
      <c r="R850">
        <v>1</v>
      </c>
      <c r="S850">
        <f t="shared" si="68"/>
        <v>0</v>
      </c>
      <c r="T850">
        <f t="shared" si="69"/>
        <v>0</v>
      </c>
    </row>
    <row r="851" spans="1:20">
      <c r="A851" t="s">
        <v>3133</v>
      </c>
      <c r="B851" s="3">
        <v>45817</v>
      </c>
      <c r="C851" t="s">
        <v>3134</v>
      </c>
      <c r="D851" t="s">
        <v>54</v>
      </c>
      <c r="E851">
        <v>4</v>
      </c>
      <c r="F851" s="4">
        <v>214.35</v>
      </c>
      <c r="G851" t="s">
        <v>3048</v>
      </c>
      <c r="H851" t="s">
        <v>24</v>
      </c>
      <c r="I851" t="s">
        <v>41</v>
      </c>
      <c r="J851" t="s">
        <v>3135</v>
      </c>
      <c r="K851">
        <v>7</v>
      </c>
      <c r="L851" t="s">
        <v>87</v>
      </c>
      <c r="M851" t="s">
        <v>35</v>
      </c>
      <c r="N851" s="4">
        <v>857.4</v>
      </c>
      <c r="O851" s="19" t="str">
        <f t="shared" si="65"/>
        <v>Jun-2025</v>
      </c>
      <c r="P851">
        <f t="shared" si="66"/>
        <v>2025</v>
      </c>
      <c r="Q851" t="str">
        <f t="shared" si="67"/>
        <v>OK</v>
      </c>
      <c r="R851">
        <v>1</v>
      </c>
      <c r="S851">
        <f t="shared" si="68"/>
        <v>1</v>
      </c>
      <c r="T851">
        <f t="shared" si="69"/>
        <v>0</v>
      </c>
    </row>
    <row r="852" spans="1:20">
      <c r="A852" t="s">
        <v>3136</v>
      </c>
      <c r="B852" s="3">
        <v>45774</v>
      </c>
      <c r="C852" t="s">
        <v>3137</v>
      </c>
      <c r="D852" t="s">
        <v>22</v>
      </c>
      <c r="E852">
        <v>3</v>
      </c>
      <c r="F852" s="4">
        <v>638.5</v>
      </c>
      <c r="G852" t="s">
        <v>2690</v>
      </c>
      <c r="H852" t="s">
        <v>24</v>
      </c>
      <c r="I852" t="s">
        <v>41</v>
      </c>
      <c r="J852" t="s">
        <v>3138</v>
      </c>
      <c r="K852">
        <v>4</v>
      </c>
      <c r="L852" t="s">
        <v>43</v>
      </c>
      <c r="M852" t="s">
        <v>28</v>
      </c>
      <c r="N852" s="4">
        <v>1915.5</v>
      </c>
      <c r="O852" s="19" t="str">
        <f t="shared" si="65"/>
        <v>Apr-2025</v>
      </c>
      <c r="P852">
        <f t="shared" si="66"/>
        <v>2025</v>
      </c>
      <c r="Q852" t="str">
        <f t="shared" si="67"/>
        <v>OK</v>
      </c>
      <c r="R852">
        <v>1</v>
      </c>
      <c r="S852">
        <f t="shared" si="68"/>
        <v>1</v>
      </c>
      <c r="T852">
        <f t="shared" si="69"/>
        <v>0</v>
      </c>
    </row>
    <row r="853" spans="1:20">
      <c r="A853" t="s">
        <v>3139</v>
      </c>
      <c r="B853" s="3">
        <v>45272</v>
      </c>
      <c r="C853" t="s">
        <v>3140</v>
      </c>
      <c r="D853" t="s">
        <v>64</v>
      </c>
      <c r="E853">
        <v>1</v>
      </c>
      <c r="F853" s="4">
        <v>365.57</v>
      </c>
      <c r="G853" t="s">
        <v>353</v>
      </c>
      <c r="H853" t="s">
        <v>33</v>
      </c>
      <c r="I853" t="s">
        <v>41</v>
      </c>
      <c r="J853" t="s">
        <v>3141</v>
      </c>
      <c r="K853">
        <v>5</v>
      </c>
      <c r="L853" t="s">
        <v>27</v>
      </c>
      <c r="M853" t="s">
        <v>44</v>
      </c>
      <c r="N853" s="4">
        <v>365.57</v>
      </c>
      <c r="O853" s="19" t="str">
        <f t="shared" si="65"/>
        <v>Dec-2023</v>
      </c>
      <c r="P853">
        <f t="shared" si="66"/>
        <v>2023</v>
      </c>
      <c r="Q853" t="str">
        <f t="shared" si="67"/>
        <v>OK</v>
      </c>
      <c r="R853">
        <v>1</v>
      </c>
      <c r="S853">
        <f t="shared" si="68"/>
        <v>1</v>
      </c>
      <c r="T853">
        <f t="shared" si="69"/>
        <v>0</v>
      </c>
    </row>
    <row r="854" spans="1:20">
      <c r="A854" t="s">
        <v>3142</v>
      </c>
      <c r="B854" s="3">
        <v>45589</v>
      </c>
      <c r="C854" t="s">
        <v>3143</v>
      </c>
      <c r="D854" t="s">
        <v>79</v>
      </c>
      <c r="E854">
        <v>3</v>
      </c>
      <c r="F854" s="4">
        <v>568.04999999999995</v>
      </c>
      <c r="G854" t="s">
        <v>3144</v>
      </c>
      <c r="H854" t="s">
        <v>66</v>
      </c>
      <c r="I854" t="s">
        <v>95</v>
      </c>
      <c r="J854" t="s">
        <v>3145</v>
      </c>
      <c r="K854">
        <v>6</v>
      </c>
      <c r="L854" t="s">
        <v>27</v>
      </c>
      <c r="M854" t="s">
        <v>82</v>
      </c>
      <c r="N854" s="4">
        <v>1704.15</v>
      </c>
      <c r="O854" s="19" t="str">
        <f t="shared" si="65"/>
        <v>Oct-2024</v>
      </c>
      <c r="P854">
        <f t="shared" si="66"/>
        <v>2024</v>
      </c>
      <c r="Q854" t="str">
        <f t="shared" si="67"/>
        <v>OK</v>
      </c>
      <c r="R854">
        <v>1</v>
      </c>
      <c r="S854">
        <f t="shared" si="68"/>
        <v>0</v>
      </c>
      <c r="T854">
        <f t="shared" si="69"/>
        <v>0</v>
      </c>
    </row>
    <row r="855" spans="1:20">
      <c r="A855" t="s">
        <v>3146</v>
      </c>
      <c r="B855" s="3">
        <v>45215</v>
      </c>
      <c r="C855" t="s">
        <v>3147</v>
      </c>
      <c r="D855" t="s">
        <v>54</v>
      </c>
      <c r="E855">
        <v>3</v>
      </c>
      <c r="F855" s="4">
        <v>490.01</v>
      </c>
      <c r="G855" t="s">
        <v>1200</v>
      </c>
      <c r="H855" t="s">
        <v>71</v>
      </c>
      <c r="I855" t="s">
        <v>49</v>
      </c>
      <c r="J855" t="s">
        <v>3148</v>
      </c>
      <c r="K855">
        <v>4</v>
      </c>
      <c r="L855" t="s">
        <v>27</v>
      </c>
      <c r="M855" t="s">
        <v>51</v>
      </c>
      <c r="N855" s="4">
        <v>1470.03</v>
      </c>
      <c r="O855" s="19" t="str">
        <f t="shared" si="65"/>
        <v>Oct-2023</v>
      </c>
      <c r="P855">
        <f t="shared" si="66"/>
        <v>2023</v>
      </c>
      <c r="Q855" t="str">
        <f t="shared" si="67"/>
        <v>OK</v>
      </c>
      <c r="R855">
        <v>1</v>
      </c>
      <c r="S855">
        <f t="shared" si="68"/>
        <v>0</v>
      </c>
      <c r="T855">
        <f t="shared" si="69"/>
        <v>1</v>
      </c>
    </row>
    <row r="856" spans="1:20">
      <c r="A856" t="s">
        <v>3149</v>
      </c>
      <c r="B856" s="3">
        <v>45821</v>
      </c>
      <c r="C856" t="s">
        <v>3150</v>
      </c>
      <c r="D856" t="s">
        <v>64</v>
      </c>
      <c r="E856">
        <v>3</v>
      </c>
      <c r="F856" s="4">
        <v>372.6</v>
      </c>
      <c r="G856" t="s">
        <v>1737</v>
      </c>
      <c r="H856" t="s">
        <v>40</v>
      </c>
      <c r="I856" t="s">
        <v>56</v>
      </c>
      <c r="J856" t="s">
        <v>3151</v>
      </c>
      <c r="K856">
        <v>7</v>
      </c>
      <c r="L856" t="s">
        <v>87</v>
      </c>
      <c r="M856" t="s">
        <v>35</v>
      </c>
      <c r="N856" s="4">
        <v>1117.8</v>
      </c>
      <c r="O856" s="19" t="str">
        <f t="shared" si="65"/>
        <v>Jun-2025</v>
      </c>
      <c r="P856">
        <f t="shared" si="66"/>
        <v>2025</v>
      </c>
      <c r="Q856" t="str">
        <f t="shared" si="67"/>
        <v>OK</v>
      </c>
      <c r="R856">
        <v>1</v>
      </c>
      <c r="S856">
        <f t="shared" si="68"/>
        <v>0</v>
      </c>
      <c r="T856">
        <f t="shared" si="69"/>
        <v>0</v>
      </c>
    </row>
    <row r="857" spans="1:20">
      <c r="A857" t="s">
        <v>3152</v>
      </c>
      <c r="B857" s="3">
        <v>45071</v>
      </c>
      <c r="C857" t="s">
        <v>3153</v>
      </c>
      <c r="D857" t="s">
        <v>22</v>
      </c>
      <c r="E857">
        <v>5</v>
      </c>
      <c r="F857" s="4">
        <v>240.61</v>
      </c>
      <c r="G857" t="s">
        <v>1002</v>
      </c>
      <c r="H857" t="s">
        <v>40</v>
      </c>
      <c r="I857" t="s">
        <v>25</v>
      </c>
      <c r="J857" t="s">
        <v>3154</v>
      </c>
      <c r="K857">
        <v>10</v>
      </c>
      <c r="L857" t="s">
        <v>43</v>
      </c>
      <c r="M857" t="s">
        <v>44</v>
      </c>
      <c r="N857" s="4">
        <v>1203.05</v>
      </c>
      <c r="O857" s="19" t="str">
        <f t="shared" si="65"/>
        <v>May-2023</v>
      </c>
      <c r="P857">
        <f t="shared" si="66"/>
        <v>2023</v>
      </c>
      <c r="Q857" t="str">
        <f t="shared" si="67"/>
        <v>OK</v>
      </c>
      <c r="R857">
        <v>1</v>
      </c>
      <c r="S857">
        <f t="shared" si="68"/>
        <v>0</v>
      </c>
      <c r="T857">
        <f t="shared" si="69"/>
        <v>0</v>
      </c>
    </row>
    <row r="858" spans="1:20">
      <c r="A858" t="s">
        <v>3155</v>
      </c>
      <c r="B858" s="3">
        <v>45446</v>
      </c>
      <c r="C858" t="s">
        <v>3156</v>
      </c>
      <c r="D858" t="s">
        <v>31</v>
      </c>
      <c r="E858">
        <v>1</v>
      </c>
      <c r="F858" s="4">
        <v>586.62</v>
      </c>
      <c r="G858" t="s">
        <v>218</v>
      </c>
      <c r="H858" t="s">
        <v>24</v>
      </c>
      <c r="I858" t="s">
        <v>25</v>
      </c>
      <c r="J858" t="s">
        <v>3157</v>
      </c>
      <c r="K858">
        <v>5</v>
      </c>
      <c r="M858" t="s">
        <v>51</v>
      </c>
      <c r="N858" s="4">
        <v>586.62</v>
      </c>
      <c r="O858" s="19" t="str">
        <f t="shared" si="65"/>
        <v>Jun-2024</v>
      </c>
      <c r="P858">
        <f t="shared" si="66"/>
        <v>2024</v>
      </c>
      <c r="Q858" t="str">
        <f t="shared" si="67"/>
        <v>OK</v>
      </c>
      <c r="R858">
        <v>1</v>
      </c>
      <c r="S858">
        <f t="shared" si="68"/>
        <v>0</v>
      </c>
      <c r="T858">
        <f t="shared" si="69"/>
        <v>0</v>
      </c>
    </row>
    <row r="859" spans="1:20">
      <c r="A859" t="s">
        <v>3158</v>
      </c>
      <c r="B859" s="3">
        <v>45361</v>
      </c>
      <c r="C859" t="s">
        <v>3159</v>
      </c>
      <c r="D859" t="s">
        <v>31</v>
      </c>
      <c r="E859">
        <v>3</v>
      </c>
      <c r="F859" s="4">
        <v>257.83999999999997</v>
      </c>
      <c r="G859" t="s">
        <v>864</v>
      </c>
      <c r="H859" t="s">
        <v>33</v>
      </c>
      <c r="I859" t="s">
        <v>56</v>
      </c>
      <c r="J859" t="s">
        <v>3160</v>
      </c>
      <c r="K859">
        <v>4</v>
      </c>
      <c r="M859" t="s">
        <v>28</v>
      </c>
      <c r="N859" s="4">
        <v>773.52</v>
      </c>
      <c r="O859" s="19" t="str">
        <f t="shared" si="65"/>
        <v>Mar-2024</v>
      </c>
      <c r="P859">
        <f t="shared" si="66"/>
        <v>2024</v>
      </c>
      <c r="Q859" t="str">
        <f t="shared" si="67"/>
        <v>OK</v>
      </c>
      <c r="R859">
        <v>1</v>
      </c>
      <c r="S859">
        <f t="shared" si="68"/>
        <v>0</v>
      </c>
      <c r="T859">
        <f t="shared" si="69"/>
        <v>0</v>
      </c>
    </row>
    <row r="860" spans="1:20">
      <c r="A860" t="s">
        <v>3161</v>
      </c>
      <c r="B860" s="3">
        <v>45158</v>
      </c>
      <c r="C860" t="s">
        <v>3162</v>
      </c>
      <c r="D860" t="s">
        <v>38</v>
      </c>
      <c r="E860">
        <v>5</v>
      </c>
      <c r="F860" s="4">
        <v>435.66</v>
      </c>
      <c r="G860" t="s">
        <v>119</v>
      </c>
      <c r="H860" t="s">
        <v>33</v>
      </c>
      <c r="I860" t="s">
        <v>95</v>
      </c>
      <c r="J860" t="s">
        <v>3163</v>
      </c>
      <c r="K860">
        <v>9</v>
      </c>
      <c r="M860" t="s">
        <v>51</v>
      </c>
      <c r="N860" s="4">
        <v>2178.3000000000002</v>
      </c>
      <c r="O860" s="19" t="str">
        <f t="shared" si="65"/>
        <v>Aug-2023</v>
      </c>
      <c r="P860">
        <f t="shared" si="66"/>
        <v>2023</v>
      </c>
      <c r="Q860" t="str">
        <f t="shared" si="67"/>
        <v>OK</v>
      </c>
      <c r="R860">
        <v>1</v>
      </c>
      <c r="S860">
        <f t="shared" si="68"/>
        <v>0</v>
      </c>
      <c r="T860">
        <f t="shared" si="69"/>
        <v>0</v>
      </c>
    </row>
    <row r="861" spans="1:20">
      <c r="A861" t="s">
        <v>3164</v>
      </c>
      <c r="B861" s="3">
        <v>45532</v>
      </c>
      <c r="C861" t="s">
        <v>3165</v>
      </c>
      <c r="D861" t="s">
        <v>47</v>
      </c>
      <c r="E861">
        <v>5</v>
      </c>
      <c r="F861" s="4">
        <v>261.33</v>
      </c>
      <c r="G861" t="s">
        <v>2317</v>
      </c>
      <c r="H861" t="s">
        <v>40</v>
      </c>
      <c r="I861" t="s">
        <v>49</v>
      </c>
      <c r="J861" t="s">
        <v>3166</v>
      </c>
      <c r="K861">
        <v>5</v>
      </c>
      <c r="L861" t="s">
        <v>27</v>
      </c>
      <c r="M861" t="s">
        <v>35</v>
      </c>
      <c r="N861" s="4">
        <v>1306.6500000000001</v>
      </c>
      <c r="O861" s="19" t="str">
        <f t="shared" si="65"/>
        <v>Aug-2024</v>
      </c>
      <c r="P861">
        <f t="shared" si="66"/>
        <v>2024</v>
      </c>
      <c r="Q861" t="str">
        <f t="shared" si="67"/>
        <v>OK</v>
      </c>
      <c r="R861">
        <v>1</v>
      </c>
      <c r="S861">
        <f t="shared" si="68"/>
        <v>0</v>
      </c>
      <c r="T861">
        <f t="shared" si="69"/>
        <v>1</v>
      </c>
    </row>
    <row r="862" spans="1:20">
      <c r="A862" t="s">
        <v>3167</v>
      </c>
      <c r="B862" s="3">
        <v>45314</v>
      </c>
      <c r="C862" t="s">
        <v>3168</v>
      </c>
      <c r="D862" t="s">
        <v>54</v>
      </c>
      <c r="E862">
        <v>1</v>
      </c>
      <c r="F862" s="4">
        <v>422.54</v>
      </c>
      <c r="G862" t="s">
        <v>1374</v>
      </c>
      <c r="H862" t="s">
        <v>71</v>
      </c>
      <c r="I862" t="s">
        <v>56</v>
      </c>
      <c r="J862" t="s">
        <v>3169</v>
      </c>
      <c r="K862">
        <v>1</v>
      </c>
      <c r="L862" t="s">
        <v>27</v>
      </c>
      <c r="M862" t="s">
        <v>82</v>
      </c>
      <c r="N862" s="4">
        <v>422.54</v>
      </c>
      <c r="O862" s="19" t="str">
        <f t="shared" si="65"/>
        <v>Jan-2024</v>
      </c>
      <c r="P862">
        <f t="shared" si="66"/>
        <v>2024</v>
      </c>
      <c r="Q862" t="str">
        <f t="shared" si="67"/>
        <v>OK</v>
      </c>
      <c r="R862">
        <v>1</v>
      </c>
      <c r="S862">
        <f t="shared" si="68"/>
        <v>0</v>
      </c>
      <c r="T862">
        <f t="shared" si="69"/>
        <v>0</v>
      </c>
    </row>
    <row r="863" spans="1:20">
      <c r="A863" t="s">
        <v>3170</v>
      </c>
      <c r="B863" s="3">
        <v>45004</v>
      </c>
      <c r="C863" t="s">
        <v>3171</v>
      </c>
      <c r="D863" t="s">
        <v>79</v>
      </c>
      <c r="E863">
        <v>5</v>
      </c>
      <c r="F863" s="4">
        <v>330.45</v>
      </c>
      <c r="G863" t="s">
        <v>3172</v>
      </c>
      <c r="H863" t="s">
        <v>66</v>
      </c>
      <c r="I863" t="s">
        <v>25</v>
      </c>
      <c r="J863" t="s">
        <v>3173</v>
      </c>
      <c r="K863">
        <v>10</v>
      </c>
      <c r="L863" t="s">
        <v>43</v>
      </c>
      <c r="M863" t="s">
        <v>82</v>
      </c>
      <c r="N863" s="4">
        <v>1652.25</v>
      </c>
      <c r="O863" s="19" t="str">
        <f t="shared" si="65"/>
        <v>Mar-2023</v>
      </c>
      <c r="P863">
        <f t="shared" si="66"/>
        <v>2023</v>
      </c>
      <c r="Q863" t="str">
        <f t="shared" si="67"/>
        <v>OK</v>
      </c>
      <c r="R863">
        <v>1</v>
      </c>
      <c r="S863">
        <f t="shared" si="68"/>
        <v>0</v>
      </c>
      <c r="T863">
        <f t="shared" si="69"/>
        <v>0</v>
      </c>
    </row>
    <row r="864" spans="1:20">
      <c r="A864" t="s">
        <v>3174</v>
      </c>
      <c r="B864" s="3">
        <v>45262</v>
      </c>
      <c r="C864" t="s">
        <v>3175</v>
      </c>
      <c r="D864" t="s">
        <v>79</v>
      </c>
      <c r="E864">
        <v>3</v>
      </c>
      <c r="F864" s="4">
        <v>120.82</v>
      </c>
      <c r="G864" t="s">
        <v>2626</v>
      </c>
      <c r="H864" t="s">
        <v>40</v>
      </c>
      <c r="I864" t="s">
        <v>25</v>
      </c>
      <c r="J864" t="s">
        <v>3176</v>
      </c>
      <c r="K864">
        <v>5</v>
      </c>
      <c r="L864" t="s">
        <v>27</v>
      </c>
      <c r="M864" t="s">
        <v>35</v>
      </c>
      <c r="N864" s="4">
        <v>362.46</v>
      </c>
      <c r="O864" s="19" t="str">
        <f t="shared" si="65"/>
        <v>Dec-2023</v>
      </c>
      <c r="P864">
        <f t="shared" si="66"/>
        <v>2023</v>
      </c>
      <c r="Q864" t="str">
        <f t="shared" si="67"/>
        <v>OK</v>
      </c>
      <c r="R864">
        <v>1</v>
      </c>
      <c r="S864">
        <f t="shared" si="68"/>
        <v>0</v>
      </c>
      <c r="T864">
        <f t="shared" si="69"/>
        <v>0</v>
      </c>
    </row>
    <row r="865" spans="1:20">
      <c r="A865" t="s">
        <v>3177</v>
      </c>
      <c r="B865" s="3">
        <v>45432</v>
      </c>
      <c r="C865" t="s">
        <v>3178</v>
      </c>
      <c r="D865" t="s">
        <v>31</v>
      </c>
      <c r="E865">
        <v>1</v>
      </c>
      <c r="F865" s="4">
        <v>14.06</v>
      </c>
      <c r="G865" t="s">
        <v>1006</v>
      </c>
      <c r="H865" t="s">
        <v>40</v>
      </c>
      <c r="I865" t="s">
        <v>95</v>
      </c>
      <c r="J865" t="s">
        <v>3179</v>
      </c>
      <c r="K865">
        <v>5</v>
      </c>
      <c r="L865" t="s">
        <v>27</v>
      </c>
      <c r="M865" t="s">
        <v>35</v>
      </c>
      <c r="N865" s="4">
        <v>14.06</v>
      </c>
      <c r="O865" s="19" t="str">
        <f t="shared" si="65"/>
        <v>May-2024</v>
      </c>
      <c r="P865">
        <f t="shared" si="66"/>
        <v>2024</v>
      </c>
      <c r="Q865" t="str">
        <f t="shared" si="67"/>
        <v>OK</v>
      </c>
      <c r="R865">
        <v>1</v>
      </c>
      <c r="S865">
        <f t="shared" si="68"/>
        <v>0</v>
      </c>
      <c r="T865">
        <f t="shared" si="69"/>
        <v>0</v>
      </c>
    </row>
    <row r="866" spans="1:20">
      <c r="A866" t="s">
        <v>3180</v>
      </c>
      <c r="B866" s="3">
        <v>45049</v>
      </c>
      <c r="C866" t="s">
        <v>3181</v>
      </c>
      <c r="D866" t="s">
        <v>79</v>
      </c>
      <c r="E866">
        <v>1</v>
      </c>
      <c r="F866" s="4">
        <v>491.11</v>
      </c>
      <c r="G866" t="s">
        <v>3182</v>
      </c>
      <c r="H866" t="s">
        <v>40</v>
      </c>
      <c r="I866" t="s">
        <v>56</v>
      </c>
      <c r="J866" t="s">
        <v>3183</v>
      </c>
      <c r="K866">
        <v>4</v>
      </c>
      <c r="L866" t="s">
        <v>27</v>
      </c>
      <c r="M866" t="s">
        <v>51</v>
      </c>
      <c r="N866" s="4">
        <v>491.11</v>
      </c>
      <c r="O866" s="19" t="str">
        <f t="shared" si="65"/>
        <v>May-2023</v>
      </c>
      <c r="P866">
        <f t="shared" si="66"/>
        <v>2023</v>
      </c>
      <c r="Q866" t="str">
        <f t="shared" si="67"/>
        <v>OK</v>
      </c>
      <c r="R866">
        <v>1</v>
      </c>
      <c r="S866">
        <f t="shared" si="68"/>
        <v>0</v>
      </c>
      <c r="T866">
        <f t="shared" si="69"/>
        <v>0</v>
      </c>
    </row>
    <row r="867" spans="1:20">
      <c r="A867" t="s">
        <v>3184</v>
      </c>
      <c r="B867" s="3">
        <v>45046</v>
      </c>
      <c r="C867" t="s">
        <v>3185</v>
      </c>
      <c r="D867" t="s">
        <v>22</v>
      </c>
      <c r="E867">
        <v>4</v>
      </c>
      <c r="F867" s="4">
        <v>677.37</v>
      </c>
      <c r="G867" t="s">
        <v>3186</v>
      </c>
      <c r="H867" t="s">
        <v>71</v>
      </c>
      <c r="I867" t="s">
        <v>95</v>
      </c>
      <c r="J867" t="s">
        <v>3187</v>
      </c>
      <c r="K867">
        <v>8</v>
      </c>
      <c r="L867" t="s">
        <v>27</v>
      </c>
      <c r="M867" t="s">
        <v>82</v>
      </c>
      <c r="N867" s="4">
        <v>2709.48</v>
      </c>
      <c r="O867" s="19" t="str">
        <f t="shared" si="65"/>
        <v>Apr-2023</v>
      </c>
      <c r="P867">
        <f t="shared" si="66"/>
        <v>2023</v>
      </c>
      <c r="Q867" t="str">
        <f t="shared" si="67"/>
        <v>OK</v>
      </c>
      <c r="R867">
        <v>1</v>
      </c>
      <c r="S867">
        <f t="shared" si="68"/>
        <v>0</v>
      </c>
      <c r="T867">
        <f t="shared" si="69"/>
        <v>0</v>
      </c>
    </row>
    <row r="868" spans="1:20">
      <c r="A868" t="s">
        <v>3188</v>
      </c>
      <c r="B868" s="3">
        <v>45499</v>
      </c>
      <c r="C868" t="s">
        <v>3189</v>
      </c>
      <c r="D868" t="s">
        <v>79</v>
      </c>
      <c r="E868">
        <v>5</v>
      </c>
      <c r="F868" s="4">
        <v>189.25</v>
      </c>
      <c r="G868" t="s">
        <v>3190</v>
      </c>
      <c r="H868" t="s">
        <v>24</v>
      </c>
      <c r="I868" t="s">
        <v>41</v>
      </c>
      <c r="J868" t="s">
        <v>3191</v>
      </c>
      <c r="K868">
        <v>10</v>
      </c>
      <c r="L868" t="s">
        <v>87</v>
      </c>
      <c r="M868" t="s">
        <v>44</v>
      </c>
      <c r="N868" s="4">
        <v>946.25</v>
      </c>
      <c r="O868" s="19" t="str">
        <f t="shared" si="65"/>
        <v>Jul-2024</v>
      </c>
      <c r="P868">
        <f t="shared" si="66"/>
        <v>2024</v>
      </c>
      <c r="Q868" t="str">
        <f t="shared" si="67"/>
        <v>OK</v>
      </c>
      <c r="R868">
        <v>1</v>
      </c>
      <c r="S868">
        <f t="shared" si="68"/>
        <v>1</v>
      </c>
      <c r="T868">
        <f t="shared" si="69"/>
        <v>0</v>
      </c>
    </row>
    <row r="869" spans="1:20">
      <c r="A869" t="s">
        <v>3192</v>
      </c>
      <c r="B869" s="3">
        <v>45438</v>
      </c>
      <c r="C869" t="s">
        <v>3193</v>
      </c>
      <c r="D869" t="s">
        <v>54</v>
      </c>
      <c r="E869">
        <v>4</v>
      </c>
      <c r="F869" s="4">
        <v>142.58000000000001</v>
      </c>
      <c r="G869" t="s">
        <v>3194</v>
      </c>
      <c r="H869" t="s">
        <v>71</v>
      </c>
      <c r="I869" t="s">
        <v>56</v>
      </c>
      <c r="J869" t="s">
        <v>3195</v>
      </c>
      <c r="K869">
        <v>4</v>
      </c>
      <c r="L869" t="s">
        <v>43</v>
      </c>
      <c r="M869" t="s">
        <v>51</v>
      </c>
      <c r="N869" s="4">
        <v>570.32000000000005</v>
      </c>
      <c r="O869" s="19" t="str">
        <f t="shared" si="65"/>
        <v>May-2024</v>
      </c>
      <c r="P869">
        <f t="shared" si="66"/>
        <v>2024</v>
      </c>
      <c r="Q869" t="str">
        <f t="shared" si="67"/>
        <v>OK</v>
      </c>
      <c r="R869">
        <v>1</v>
      </c>
      <c r="S869">
        <f t="shared" si="68"/>
        <v>0</v>
      </c>
      <c r="T869">
        <f t="shared" si="69"/>
        <v>0</v>
      </c>
    </row>
    <row r="870" spans="1:20">
      <c r="A870" t="s">
        <v>3196</v>
      </c>
      <c r="B870" s="3">
        <v>45472</v>
      </c>
      <c r="C870" t="s">
        <v>3197</v>
      </c>
      <c r="D870" t="s">
        <v>22</v>
      </c>
      <c r="E870">
        <v>4</v>
      </c>
      <c r="F870" s="4">
        <v>316.32</v>
      </c>
      <c r="G870" t="s">
        <v>3198</v>
      </c>
      <c r="H870" t="s">
        <v>24</v>
      </c>
      <c r="I870" t="s">
        <v>56</v>
      </c>
      <c r="J870" t="s">
        <v>3199</v>
      </c>
      <c r="K870">
        <v>7</v>
      </c>
      <c r="M870" t="s">
        <v>51</v>
      </c>
      <c r="N870" s="4">
        <v>1265.28</v>
      </c>
      <c r="O870" s="19" t="str">
        <f t="shared" si="65"/>
        <v>Jun-2024</v>
      </c>
      <c r="P870">
        <f t="shared" si="66"/>
        <v>2024</v>
      </c>
      <c r="Q870" t="str">
        <f t="shared" si="67"/>
        <v>OK</v>
      </c>
      <c r="R870">
        <v>1</v>
      </c>
      <c r="S870">
        <f t="shared" si="68"/>
        <v>0</v>
      </c>
      <c r="T870">
        <f t="shared" si="69"/>
        <v>0</v>
      </c>
    </row>
    <row r="871" spans="1:20">
      <c r="A871" t="s">
        <v>3200</v>
      </c>
      <c r="B871" s="3">
        <v>45368</v>
      </c>
      <c r="C871" t="s">
        <v>3201</v>
      </c>
      <c r="D871" t="s">
        <v>79</v>
      </c>
      <c r="E871">
        <v>2</v>
      </c>
      <c r="F871" s="4">
        <v>533.95000000000005</v>
      </c>
      <c r="G871" t="s">
        <v>725</v>
      </c>
      <c r="H871" t="s">
        <v>33</v>
      </c>
      <c r="I871" t="s">
        <v>56</v>
      </c>
      <c r="J871" t="s">
        <v>3202</v>
      </c>
      <c r="K871">
        <v>5</v>
      </c>
      <c r="L871" t="s">
        <v>87</v>
      </c>
      <c r="M871" t="s">
        <v>82</v>
      </c>
      <c r="N871" s="4">
        <v>1067.9000000000001</v>
      </c>
      <c r="O871" s="19" t="str">
        <f t="shared" si="65"/>
        <v>Mar-2024</v>
      </c>
      <c r="P871">
        <f t="shared" si="66"/>
        <v>2024</v>
      </c>
      <c r="Q871" t="str">
        <f t="shared" si="67"/>
        <v>OK</v>
      </c>
      <c r="R871">
        <v>1</v>
      </c>
      <c r="S871">
        <f t="shared" si="68"/>
        <v>0</v>
      </c>
      <c r="T871">
        <f t="shared" si="69"/>
        <v>0</v>
      </c>
    </row>
    <row r="872" spans="1:20">
      <c r="A872" t="s">
        <v>3203</v>
      </c>
      <c r="B872" s="3">
        <v>45809</v>
      </c>
      <c r="C872" t="s">
        <v>3204</v>
      </c>
      <c r="D872" t="s">
        <v>31</v>
      </c>
      <c r="E872">
        <v>4</v>
      </c>
      <c r="F872" s="4">
        <v>470.09</v>
      </c>
      <c r="G872" t="s">
        <v>3205</v>
      </c>
      <c r="H872" t="s">
        <v>24</v>
      </c>
      <c r="I872" t="s">
        <v>56</v>
      </c>
      <c r="J872" t="s">
        <v>3206</v>
      </c>
      <c r="K872">
        <v>4</v>
      </c>
      <c r="L872" t="s">
        <v>43</v>
      </c>
      <c r="M872" t="s">
        <v>82</v>
      </c>
      <c r="N872" s="4">
        <v>1880.36</v>
      </c>
      <c r="O872" s="19" t="str">
        <f t="shared" si="65"/>
        <v>Jun-2025</v>
      </c>
      <c r="P872">
        <f t="shared" si="66"/>
        <v>2025</v>
      </c>
      <c r="Q872" t="str">
        <f t="shared" si="67"/>
        <v>OK</v>
      </c>
      <c r="R872">
        <v>1</v>
      </c>
      <c r="S872">
        <f t="shared" si="68"/>
        <v>0</v>
      </c>
      <c r="T872">
        <f t="shared" si="69"/>
        <v>0</v>
      </c>
    </row>
    <row r="873" spans="1:20">
      <c r="A873" t="s">
        <v>3207</v>
      </c>
      <c r="B873" s="3">
        <v>45428</v>
      </c>
      <c r="C873" t="s">
        <v>3208</v>
      </c>
      <c r="D873" t="s">
        <v>38</v>
      </c>
      <c r="E873">
        <v>3</v>
      </c>
      <c r="F873" s="4">
        <v>324.3</v>
      </c>
      <c r="G873" t="s">
        <v>3209</v>
      </c>
      <c r="H873" t="s">
        <v>24</v>
      </c>
      <c r="I873" t="s">
        <v>95</v>
      </c>
      <c r="J873" t="s">
        <v>3210</v>
      </c>
      <c r="K873">
        <v>8</v>
      </c>
      <c r="L873" t="s">
        <v>43</v>
      </c>
      <c r="M873" t="s">
        <v>44</v>
      </c>
      <c r="N873" s="4">
        <v>972.90000000000009</v>
      </c>
      <c r="O873" s="19" t="str">
        <f t="shared" si="65"/>
        <v>May-2024</v>
      </c>
      <c r="P873">
        <f t="shared" si="66"/>
        <v>2024</v>
      </c>
      <c r="Q873" t="str">
        <f t="shared" si="67"/>
        <v>OK</v>
      </c>
      <c r="R873">
        <v>1</v>
      </c>
      <c r="S873">
        <f t="shared" si="68"/>
        <v>0</v>
      </c>
      <c r="T873">
        <f t="shared" si="69"/>
        <v>0</v>
      </c>
    </row>
    <row r="874" spans="1:20">
      <c r="A874" t="s">
        <v>3211</v>
      </c>
      <c r="B874" s="3">
        <v>45117</v>
      </c>
      <c r="C874" t="s">
        <v>3212</v>
      </c>
      <c r="D874" t="s">
        <v>47</v>
      </c>
      <c r="E874">
        <v>4</v>
      </c>
      <c r="F874" s="4">
        <v>629.34</v>
      </c>
      <c r="G874" t="s">
        <v>836</v>
      </c>
      <c r="H874" t="s">
        <v>71</v>
      </c>
      <c r="I874" t="s">
        <v>25</v>
      </c>
      <c r="J874" t="s">
        <v>3213</v>
      </c>
      <c r="K874">
        <v>7</v>
      </c>
      <c r="M874" t="s">
        <v>44</v>
      </c>
      <c r="N874" s="4">
        <v>2517.36</v>
      </c>
      <c r="O874" s="19" t="str">
        <f t="shared" si="65"/>
        <v>Jul-2023</v>
      </c>
      <c r="P874">
        <f t="shared" si="66"/>
        <v>2023</v>
      </c>
      <c r="Q874" t="str">
        <f t="shared" si="67"/>
        <v>OK</v>
      </c>
      <c r="R874">
        <v>1</v>
      </c>
      <c r="S874">
        <f t="shared" si="68"/>
        <v>0</v>
      </c>
      <c r="T874">
        <f t="shared" si="69"/>
        <v>0</v>
      </c>
    </row>
    <row r="875" spans="1:20">
      <c r="A875" t="s">
        <v>3214</v>
      </c>
      <c r="B875" s="3">
        <v>45424</v>
      </c>
      <c r="C875" t="s">
        <v>3215</v>
      </c>
      <c r="D875" t="s">
        <v>79</v>
      </c>
      <c r="E875">
        <v>3</v>
      </c>
      <c r="F875" s="4">
        <v>136.84</v>
      </c>
      <c r="G875" t="s">
        <v>3216</v>
      </c>
      <c r="H875" t="s">
        <v>71</v>
      </c>
      <c r="I875" t="s">
        <v>56</v>
      </c>
      <c r="J875" t="s">
        <v>3217</v>
      </c>
      <c r="K875">
        <v>3</v>
      </c>
      <c r="L875" t="s">
        <v>27</v>
      </c>
      <c r="M875" t="s">
        <v>51</v>
      </c>
      <c r="N875" s="4">
        <v>410.52</v>
      </c>
      <c r="O875" s="19" t="str">
        <f t="shared" si="65"/>
        <v>May-2024</v>
      </c>
      <c r="P875">
        <f t="shared" si="66"/>
        <v>2024</v>
      </c>
      <c r="Q875" t="str">
        <f t="shared" si="67"/>
        <v>OK</v>
      </c>
      <c r="R875">
        <v>1</v>
      </c>
      <c r="S875">
        <f t="shared" si="68"/>
        <v>0</v>
      </c>
      <c r="T875">
        <f t="shared" si="69"/>
        <v>0</v>
      </c>
    </row>
    <row r="876" spans="1:20">
      <c r="A876" t="s">
        <v>3218</v>
      </c>
      <c r="B876" s="3">
        <v>45230</v>
      </c>
      <c r="C876" t="s">
        <v>3219</v>
      </c>
      <c r="D876" t="s">
        <v>47</v>
      </c>
      <c r="E876">
        <v>2</v>
      </c>
      <c r="F876" s="4">
        <v>488.9</v>
      </c>
      <c r="G876" t="s">
        <v>2654</v>
      </c>
      <c r="H876" t="s">
        <v>71</v>
      </c>
      <c r="I876" t="s">
        <v>56</v>
      </c>
      <c r="J876" t="s">
        <v>3220</v>
      </c>
      <c r="K876">
        <v>7</v>
      </c>
      <c r="L876" t="s">
        <v>43</v>
      </c>
      <c r="M876" t="s">
        <v>51</v>
      </c>
      <c r="N876" s="4">
        <v>977.8</v>
      </c>
      <c r="O876" s="19" t="str">
        <f t="shared" si="65"/>
        <v>Oct-2023</v>
      </c>
      <c r="P876">
        <f t="shared" si="66"/>
        <v>2023</v>
      </c>
      <c r="Q876" t="str">
        <f t="shared" si="67"/>
        <v>OK</v>
      </c>
      <c r="R876">
        <v>1</v>
      </c>
      <c r="S876">
        <f t="shared" si="68"/>
        <v>0</v>
      </c>
      <c r="T876">
        <f t="shared" si="69"/>
        <v>0</v>
      </c>
    </row>
    <row r="877" spans="1:20">
      <c r="A877" t="s">
        <v>3221</v>
      </c>
      <c r="B877" s="3">
        <v>45141</v>
      </c>
      <c r="C877" t="s">
        <v>3222</v>
      </c>
      <c r="D877" t="s">
        <v>64</v>
      </c>
      <c r="E877">
        <v>5</v>
      </c>
      <c r="F877" s="4">
        <v>133.38999999999999</v>
      </c>
      <c r="G877" t="s">
        <v>409</v>
      </c>
      <c r="H877" t="s">
        <v>40</v>
      </c>
      <c r="I877" t="s">
        <v>56</v>
      </c>
      <c r="J877" t="s">
        <v>3223</v>
      </c>
      <c r="K877">
        <v>6</v>
      </c>
      <c r="L877" t="s">
        <v>43</v>
      </c>
      <c r="M877" t="s">
        <v>35</v>
      </c>
      <c r="N877" s="4">
        <v>666.94999999999993</v>
      </c>
      <c r="O877" s="19" t="str">
        <f t="shared" si="65"/>
        <v>Aug-2023</v>
      </c>
      <c r="P877">
        <f t="shared" si="66"/>
        <v>2023</v>
      </c>
      <c r="Q877" t="str">
        <f t="shared" si="67"/>
        <v>OK</v>
      </c>
      <c r="R877">
        <v>1</v>
      </c>
      <c r="S877">
        <f t="shared" si="68"/>
        <v>0</v>
      </c>
      <c r="T877">
        <f t="shared" si="69"/>
        <v>0</v>
      </c>
    </row>
    <row r="878" spans="1:20">
      <c r="A878" t="s">
        <v>3224</v>
      </c>
      <c r="B878" s="3">
        <v>45452</v>
      </c>
      <c r="C878" t="s">
        <v>3225</v>
      </c>
      <c r="D878" t="s">
        <v>47</v>
      </c>
      <c r="E878">
        <v>5</v>
      </c>
      <c r="F878" s="4">
        <v>608.91</v>
      </c>
      <c r="G878" t="s">
        <v>2766</v>
      </c>
      <c r="H878" t="s">
        <v>66</v>
      </c>
      <c r="I878" t="s">
        <v>95</v>
      </c>
      <c r="J878" t="s">
        <v>3226</v>
      </c>
      <c r="K878">
        <v>6</v>
      </c>
      <c r="L878" t="s">
        <v>27</v>
      </c>
      <c r="M878" t="s">
        <v>82</v>
      </c>
      <c r="N878" s="4">
        <v>3044.55</v>
      </c>
      <c r="O878" s="19" t="str">
        <f t="shared" si="65"/>
        <v>Jun-2024</v>
      </c>
      <c r="P878">
        <f t="shared" si="66"/>
        <v>2024</v>
      </c>
      <c r="Q878" t="str">
        <f t="shared" si="67"/>
        <v>OK</v>
      </c>
      <c r="R878">
        <v>1</v>
      </c>
      <c r="S878">
        <f t="shared" si="68"/>
        <v>0</v>
      </c>
      <c r="T878">
        <f t="shared" si="69"/>
        <v>0</v>
      </c>
    </row>
    <row r="879" spans="1:20">
      <c r="A879" t="s">
        <v>3227</v>
      </c>
      <c r="B879" s="3">
        <v>45498</v>
      </c>
      <c r="C879" t="s">
        <v>3228</v>
      </c>
      <c r="D879" t="s">
        <v>38</v>
      </c>
      <c r="E879">
        <v>1</v>
      </c>
      <c r="F879" s="4">
        <v>524.05999999999995</v>
      </c>
      <c r="G879" t="s">
        <v>2352</v>
      </c>
      <c r="H879" t="s">
        <v>24</v>
      </c>
      <c r="I879" t="s">
        <v>95</v>
      </c>
      <c r="J879" t="s">
        <v>3229</v>
      </c>
      <c r="K879">
        <v>3</v>
      </c>
      <c r="L879" t="s">
        <v>43</v>
      </c>
      <c r="M879" t="s">
        <v>44</v>
      </c>
      <c r="N879" s="4">
        <v>524.05999999999995</v>
      </c>
      <c r="O879" s="19" t="str">
        <f t="shared" si="65"/>
        <v>Jul-2024</v>
      </c>
      <c r="P879">
        <f t="shared" si="66"/>
        <v>2024</v>
      </c>
      <c r="Q879" t="str">
        <f t="shared" si="67"/>
        <v>OK</v>
      </c>
      <c r="R879">
        <v>1</v>
      </c>
      <c r="S879">
        <f t="shared" si="68"/>
        <v>0</v>
      </c>
      <c r="T879">
        <f t="shared" si="69"/>
        <v>0</v>
      </c>
    </row>
    <row r="880" spans="1:20">
      <c r="A880" t="s">
        <v>3230</v>
      </c>
      <c r="B880" s="3">
        <v>45078</v>
      </c>
      <c r="C880" t="s">
        <v>3231</v>
      </c>
      <c r="D880" t="s">
        <v>79</v>
      </c>
      <c r="E880">
        <v>2</v>
      </c>
      <c r="F880" s="4">
        <v>330.69</v>
      </c>
      <c r="G880" t="s">
        <v>3232</v>
      </c>
      <c r="H880" t="s">
        <v>33</v>
      </c>
      <c r="I880" t="s">
        <v>41</v>
      </c>
      <c r="J880" t="s">
        <v>3233</v>
      </c>
      <c r="K880">
        <v>5</v>
      </c>
      <c r="L880" t="s">
        <v>27</v>
      </c>
      <c r="M880" t="s">
        <v>82</v>
      </c>
      <c r="N880" s="4">
        <v>661.38</v>
      </c>
      <c r="O880" s="19" t="str">
        <f t="shared" si="65"/>
        <v>Jun-2023</v>
      </c>
      <c r="P880">
        <f t="shared" si="66"/>
        <v>2023</v>
      </c>
      <c r="Q880" t="str">
        <f t="shared" si="67"/>
        <v>OK</v>
      </c>
      <c r="R880">
        <v>1</v>
      </c>
      <c r="S880">
        <f t="shared" si="68"/>
        <v>1</v>
      </c>
      <c r="T880">
        <f t="shared" si="69"/>
        <v>0</v>
      </c>
    </row>
    <row r="881" spans="1:20">
      <c r="A881" t="s">
        <v>3234</v>
      </c>
      <c r="B881" s="3">
        <v>45755</v>
      </c>
      <c r="C881" t="s">
        <v>3235</v>
      </c>
      <c r="D881" t="s">
        <v>31</v>
      </c>
      <c r="E881">
        <v>2</v>
      </c>
      <c r="F881" s="4">
        <v>547.66999999999996</v>
      </c>
      <c r="G881" t="s">
        <v>2122</v>
      </c>
      <c r="H881" t="s">
        <v>66</v>
      </c>
      <c r="I881" t="s">
        <v>25</v>
      </c>
      <c r="J881" t="s">
        <v>3236</v>
      </c>
      <c r="K881">
        <v>3</v>
      </c>
      <c r="M881" t="s">
        <v>28</v>
      </c>
      <c r="N881" s="4">
        <v>1095.3399999999999</v>
      </c>
      <c r="O881" s="19" t="str">
        <f t="shared" si="65"/>
        <v>Apr-2025</v>
      </c>
      <c r="P881">
        <f t="shared" si="66"/>
        <v>2025</v>
      </c>
      <c r="Q881" t="str">
        <f t="shared" si="67"/>
        <v>OK</v>
      </c>
      <c r="R881">
        <v>1</v>
      </c>
      <c r="S881">
        <f t="shared" si="68"/>
        <v>0</v>
      </c>
      <c r="T881">
        <f t="shared" si="69"/>
        <v>0</v>
      </c>
    </row>
    <row r="882" spans="1:20">
      <c r="A882" t="s">
        <v>3237</v>
      </c>
      <c r="B882" s="3">
        <v>45728</v>
      </c>
      <c r="C882" t="s">
        <v>3238</v>
      </c>
      <c r="D882" t="s">
        <v>64</v>
      </c>
      <c r="E882">
        <v>4</v>
      </c>
      <c r="F882" s="4">
        <v>233.7</v>
      </c>
      <c r="G882" t="s">
        <v>986</v>
      </c>
      <c r="H882" t="s">
        <v>33</v>
      </c>
      <c r="I882" t="s">
        <v>25</v>
      </c>
      <c r="J882" t="s">
        <v>3239</v>
      </c>
      <c r="K882">
        <v>8</v>
      </c>
      <c r="L882" t="s">
        <v>27</v>
      </c>
      <c r="M882" t="s">
        <v>51</v>
      </c>
      <c r="N882" s="4">
        <v>934.8</v>
      </c>
      <c r="O882" s="19" t="str">
        <f t="shared" si="65"/>
        <v>Mar-2025</v>
      </c>
      <c r="P882">
        <f t="shared" si="66"/>
        <v>2025</v>
      </c>
      <c r="Q882" t="str">
        <f t="shared" si="67"/>
        <v>OK</v>
      </c>
      <c r="R882">
        <v>1</v>
      </c>
      <c r="S882">
        <f t="shared" si="68"/>
        <v>0</v>
      </c>
      <c r="T882">
        <f t="shared" si="69"/>
        <v>0</v>
      </c>
    </row>
    <row r="883" spans="1:20">
      <c r="A883" t="s">
        <v>3240</v>
      </c>
      <c r="B883" s="3">
        <v>44929</v>
      </c>
      <c r="C883" t="s">
        <v>3241</v>
      </c>
      <c r="D883" t="s">
        <v>38</v>
      </c>
      <c r="E883">
        <v>2</v>
      </c>
      <c r="F883" s="4">
        <v>448.85</v>
      </c>
      <c r="G883" t="s">
        <v>3242</v>
      </c>
      <c r="H883" t="s">
        <v>40</v>
      </c>
      <c r="I883" t="s">
        <v>95</v>
      </c>
      <c r="J883" t="s">
        <v>3243</v>
      </c>
      <c r="K883">
        <v>6</v>
      </c>
      <c r="M883" t="s">
        <v>28</v>
      </c>
      <c r="N883" s="4">
        <v>897.7</v>
      </c>
      <c r="O883" s="19" t="str">
        <f t="shared" si="65"/>
        <v>Jan-2023</v>
      </c>
      <c r="P883">
        <f t="shared" si="66"/>
        <v>2023</v>
      </c>
      <c r="Q883" t="str">
        <f t="shared" si="67"/>
        <v>OK</v>
      </c>
      <c r="R883">
        <v>1</v>
      </c>
      <c r="S883">
        <f t="shared" si="68"/>
        <v>0</v>
      </c>
      <c r="T883">
        <f t="shared" si="69"/>
        <v>0</v>
      </c>
    </row>
    <row r="884" spans="1:20">
      <c r="A884" t="s">
        <v>3244</v>
      </c>
      <c r="B884" s="3">
        <v>45836</v>
      </c>
      <c r="C884" t="s">
        <v>3245</v>
      </c>
      <c r="D884" t="s">
        <v>31</v>
      </c>
      <c r="E884">
        <v>2</v>
      </c>
      <c r="F884" s="4">
        <v>274.12</v>
      </c>
      <c r="G884" t="s">
        <v>432</v>
      </c>
      <c r="H884" t="s">
        <v>71</v>
      </c>
      <c r="I884" t="s">
        <v>56</v>
      </c>
      <c r="J884" t="s">
        <v>3246</v>
      </c>
      <c r="K884">
        <v>6</v>
      </c>
      <c r="L884" t="s">
        <v>43</v>
      </c>
      <c r="M884" t="s">
        <v>35</v>
      </c>
      <c r="N884" s="4">
        <v>548.24</v>
      </c>
      <c r="O884" s="19" t="str">
        <f t="shared" si="65"/>
        <v>Jun-2025</v>
      </c>
      <c r="P884">
        <f t="shared" si="66"/>
        <v>2025</v>
      </c>
      <c r="Q884" t="str">
        <f t="shared" si="67"/>
        <v>OK</v>
      </c>
      <c r="R884">
        <v>1</v>
      </c>
      <c r="S884">
        <f t="shared" si="68"/>
        <v>0</v>
      </c>
      <c r="T884">
        <f t="shared" si="69"/>
        <v>0</v>
      </c>
    </row>
    <row r="885" spans="1:20">
      <c r="A885" t="s">
        <v>3247</v>
      </c>
      <c r="B885" s="3">
        <v>45790</v>
      </c>
      <c r="C885" t="s">
        <v>3248</v>
      </c>
      <c r="D885" t="s">
        <v>54</v>
      </c>
      <c r="E885">
        <v>5</v>
      </c>
      <c r="F885" s="4">
        <v>561.48</v>
      </c>
      <c r="G885" t="s">
        <v>3249</v>
      </c>
      <c r="H885" t="s">
        <v>33</v>
      </c>
      <c r="I885" t="s">
        <v>56</v>
      </c>
      <c r="J885" t="s">
        <v>3250</v>
      </c>
      <c r="K885">
        <v>9</v>
      </c>
      <c r="L885" t="s">
        <v>43</v>
      </c>
      <c r="M885" t="s">
        <v>51</v>
      </c>
      <c r="N885" s="4">
        <v>2807.4</v>
      </c>
      <c r="O885" s="19" t="str">
        <f t="shared" si="65"/>
        <v>May-2025</v>
      </c>
      <c r="P885">
        <f t="shared" si="66"/>
        <v>2025</v>
      </c>
      <c r="Q885" t="str">
        <f t="shared" si="67"/>
        <v>OK</v>
      </c>
      <c r="R885">
        <v>1</v>
      </c>
      <c r="S885">
        <f t="shared" si="68"/>
        <v>0</v>
      </c>
      <c r="T885">
        <f t="shared" si="69"/>
        <v>0</v>
      </c>
    </row>
    <row r="886" spans="1:20">
      <c r="A886" t="s">
        <v>3251</v>
      </c>
      <c r="B886" s="3">
        <v>45427</v>
      </c>
      <c r="C886" t="s">
        <v>3252</v>
      </c>
      <c r="D886" t="s">
        <v>47</v>
      </c>
      <c r="E886">
        <v>1</v>
      </c>
      <c r="F886" s="4">
        <v>595.54</v>
      </c>
      <c r="G886" t="s">
        <v>3253</v>
      </c>
      <c r="H886" t="s">
        <v>66</v>
      </c>
      <c r="I886" t="s">
        <v>25</v>
      </c>
      <c r="J886" t="s">
        <v>3254</v>
      </c>
      <c r="K886">
        <v>4</v>
      </c>
      <c r="M886" t="s">
        <v>28</v>
      </c>
      <c r="N886" s="4">
        <v>595.54</v>
      </c>
      <c r="O886" s="19" t="str">
        <f t="shared" si="65"/>
        <v>May-2024</v>
      </c>
      <c r="P886">
        <f t="shared" si="66"/>
        <v>2024</v>
      </c>
      <c r="Q886" t="str">
        <f t="shared" si="67"/>
        <v>OK</v>
      </c>
      <c r="R886">
        <v>1</v>
      </c>
      <c r="S886">
        <f t="shared" si="68"/>
        <v>0</v>
      </c>
      <c r="T886">
        <f t="shared" si="69"/>
        <v>0</v>
      </c>
    </row>
    <row r="887" spans="1:20">
      <c r="A887" t="s">
        <v>3255</v>
      </c>
      <c r="B887" s="3">
        <v>45389</v>
      </c>
      <c r="C887" t="s">
        <v>3256</v>
      </c>
      <c r="D887" t="s">
        <v>64</v>
      </c>
      <c r="E887">
        <v>4</v>
      </c>
      <c r="F887" s="4">
        <v>515.59</v>
      </c>
      <c r="G887" t="s">
        <v>3257</v>
      </c>
      <c r="H887" t="s">
        <v>40</v>
      </c>
      <c r="I887" t="s">
        <v>25</v>
      </c>
      <c r="J887" t="s">
        <v>3258</v>
      </c>
      <c r="K887">
        <v>7</v>
      </c>
      <c r="L887" t="s">
        <v>43</v>
      </c>
      <c r="M887" t="s">
        <v>82</v>
      </c>
      <c r="N887" s="4">
        <v>2062.36</v>
      </c>
      <c r="O887" s="19" t="str">
        <f t="shared" si="65"/>
        <v>Apr-2024</v>
      </c>
      <c r="P887">
        <f t="shared" si="66"/>
        <v>2024</v>
      </c>
      <c r="Q887" t="str">
        <f t="shared" si="67"/>
        <v>OK</v>
      </c>
      <c r="R887">
        <v>1</v>
      </c>
      <c r="S887">
        <f t="shared" si="68"/>
        <v>0</v>
      </c>
      <c r="T887">
        <f t="shared" si="69"/>
        <v>0</v>
      </c>
    </row>
    <row r="888" spans="1:20">
      <c r="A888" t="s">
        <v>3259</v>
      </c>
      <c r="B888" s="3">
        <v>45224</v>
      </c>
      <c r="C888" t="s">
        <v>3260</v>
      </c>
      <c r="D888" t="s">
        <v>31</v>
      </c>
      <c r="E888">
        <v>1</v>
      </c>
      <c r="F888" s="4">
        <v>460.13</v>
      </c>
      <c r="G888" t="s">
        <v>3261</v>
      </c>
      <c r="H888" t="s">
        <v>40</v>
      </c>
      <c r="I888" t="s">
        <v>49</v>
      </c>
      <c r="J888" t="s">
        <v>3262</v>
      </c>
      <c r="K888">
        <v>1</v>
      </c>
      <c r="M888" t="s">
        <v>82</v>
      </c>
      <c r="N888" s="4">
        <v>460.13</v>
      </c>
      <c r="O888" s="19" t="str">
        <f t="shared" si="65"/>
        <v>Oct-2023</v>
      </c>
      <c r="P888">
        <f t="shared" si="66"/>
        <v>2023</v>
      </c>
      <c r="Q888" t="str">
        <f t="shared" si="67"/>
        <v>OK</v>
      </c>
      <c r="R888">
        <v>1</v>
      </c>
      <c r="S888">
        <f t="shared" si="68"/>
        <v>0</v>
      </c>
      <c r="T888">
        <f t="shared" si="69"/>
        <v>1</v>
      </c>
    </row>
    <row r="889" spans="1:20">
      <c r="A889" t="s">
        <v>3263</v>
      </c>
      <c r="B889" s="3">
        <v>45645</v>
      </c>
      <c r="C889" t="s">
        <v>3264</v>
      </c>
      <c r="D889" t="s">
        <v>47</v>
      </c>
      <c r="E889">
        <v>3</v>
      </c>
      <c r="F889" s="4">
        <v>171.66</v>
      </c>
      <c r="G889" t="s">
        <v>3265</v>
      </c>
      <c r="H889" t="s">
        <v>24</v>
      </c>
      <c r="I889" t="s">
        <v>56</v>
      </c>
      <c r="J889" t="s">
        <v>3266</v>
      </c>
      <c r="K889">
        <v>7</v>
      </c>
      <c r="M889" t="s">
        <v>82</v>
      </c>
      <c r="N889" s="4">
        <v>514.98</v>
      </c>
      <c r="O889" s="19" t="str">
        <f t="shared" si="65"/>
        <v>Dec-2024</v>
      </c>
      <c r="P889">
        <f t="shared" si="66"/>
        <v>2024</v>
      </c>
      <c r="Q889" t="str">
        <f t="shared" si="67"/>
        <v>OK</v>
      </c>
      <c r="R889">
        <v>1</v>
      </c>
      <c r="S889">
        <f t="shared" si="68"/>
        <v>0</v>
      </c>
      <c r="T889">
        <f t="shared" si="69"/>
        <v>0</v>
      </c>
    </row>
    <row r="890" spans="1:20">
      <c r="A890" t="s">
        <v>3267</v>
      </c>
      <c r="B890" s="3">
        <v>45496</v>
      </c>
      <c r="C890" t="s">
        <v>3268</v>
      </c>
      <c r="D890" t="s">
        <v>64</v>
      </c>
      <c r="E890">
        <v>2</v>
      </c>
      <c r="F890" s="4">
        <v>266.95</v>
      </c>
      <c r="G890" t="s">
        <v>3269</v>
      </c>
      <c r="H890" t="s">
        <v>40</v>
      </c>
      <c r="I890" t="s">
        <v>95</v>
      </c>
      <c r="J890" t="s">
        <v>3270</v>
      </c>
      <c r="K890">
        <v>3</v>
      </c>
      <c r="M890" t="s">
        <v>28</v>
      </c>
      <c r="N890" s="4">
        <v>533.9</v>
      </c>
      <c r="O890" s="19" t="str">
        <f t="shared" si="65"/>
        <v>Jul-2024</v>
      </c>
      <c r="P890">
        <f t="shared" si="66"/>
        <v>2024</v>
      </c>
      <c r="Q890" t="str">
        <f t="shared" si="67"/>
        <v>OK</v>
      </c>
      <c r="R890">
        <v>1</v>
      </c>
      <c r="S890">
        <f t="shared" si="68"/>
        <v>0</v>
      </c>
      <c r="T890">
        <f t="shared" si="69"/>
        <v>0</v>
      </c>
    </row>
    <row r="891" spans="1:20">
      <c r="A891" t="s">
        <v>3271</v>
      </c>
      <c r="B891" s="3">
        <v>45592</v>
      </c>
      <c r="C891" t="s">
        <v>3272</v>
      </c>
      <c r="D891" t="s">
        <v>22</v>
      </c>
      <c r="E891">
        <v>5</v>
      </c>
      <c r="F891" s="4">
        <v>650.72</v>
      </c>
      <c r="G891" t="s">
        <v>3273</v>
      </c>
      <c r="H891" t="s">
        <v>40</v>
      </c>
      <c r="I891" t="s">
        <v>41</v>
      </c>
      <c r="J891" t="s">
        <v>3274</v>
      </c>
      <c r="K891">
        <v>8</v>
      </c>
      <c r="L891" t="s">
        <v>87</v>
      </c>
      <c r="M891" t="s">
        <v>44</v>
      </c>
      <c r="N891" s="4">
        <v>3253.6</v>
      </c>
      <c r="O891" s="19" t="str">
        <f t="shared" si="65"/>
        <v>Oct-2024</v>
      </c>
      <c r="P891">
        <f t="shared" si="66"/>
        <v>2024</v>
      </c>
      <c r="Q891" t="str">
        <f t="shared" si="67"/>
        <v>OK</v>
      </c>
      <c r="R891">
        <v>1</v>
      </c>
      <c r="S891">
        <f t="shared" si="68"/>
        <v>1</v>
      </c>
      <c r="T891">
        <f t="shared" si="69"/>
        <v>0</v>
      </c>
    </row>
    <row r="892" spans="1:20">
      <c r="A892" t="s">
        <v>3275</v>
      </c>
      <c r="B892" s="3">
        <v>45149</v>
      </c>
      <c r="C892" t="s">
        <v>3276</v>
      </c>
      <c r="D892" t="s">
        <v>64</v>
      </c>
      <c r="E892">
        <v>3</v>
      </c>
      <c r="F892" s="4">
        <v>439.53</v>
      </c>
      <c r="G892" t="s">
        <v>1855</v>
      </c>
      <c r="H892" t="s">
        <v>24</v>
      </c>
      <c r="I892" t="s">
        <v>95</v>
      </c>
      <c r="J892" t="s">
        <v>3277</v>
      </c>
      <c r="K892">
        <v>5</v>
      </c>
      <c r="M892" t="s">
        <v>82</v>
      </c>
      <c r="N892" s="4">
        <v>1318.59</v>
      </c>
      <c r="O892" s="19" t="str">
        <f t="shared" si="65"/>
        <v>Aug-2023</v>
      </c>
      <c r="P892">
        <f t="shared" si="66"/>
        <v>2023</v>
      </c>
      <c r="Q892" t="str">
        <f t="shared" si="67"/>
        <v>OK</v>
      </c>
      <c r="R892">
        <v>1</v>
      </c>
      <c r="S892">
        <f t="shared" si="68"/>
        <v>0</v>
      </c>
      <c r="T892">
        <f t="shared" si="69"/>
        <v>0</v>
      </c>
    </row>
    <row r="893" spans="1:20">
      <c r="A893" t="s">
        <v>3278</v>
      </c>
      <c r="B893" s="3">
        <v>45241</v>
      </c>
      <c r="C893" t="s">
        <v>3279</v>
      </c>
      <c r="D893" t="s">
        <v>22</v>
      </c>
      <c r="E893">
        <v>3</v>
      </c>
      <c r="F893" s="4">
        <v>654.54</v>
      </c>
      <c r="G893" t="s">
        <v>3280</v>
      </c>
      <c r="H893" t="s">
        <v>71</v>
      </c>
      <c r="I893" t="s">
        <v>49</v>
      </c>
      <c r="J893" t="s">
        <v>3281</v>
      </c>
      <c r="K893">
        <v>7</v>
      </c>
      <c r="L893" t="s">
        <v>27</v>
      </c>
      <c r="M893" t="s">
        <v>35</v>
      </c>
      <c r="N893" s="4">
        <v>1963.62</v>
      </c>
      <c r="O893" s="19" t="str">
        <f t="shared" si="65"/>
        <v>Nov-2023</v>
      </c>
      <c r="P893">
        <f t="shared" si="66"/>
        <v>2023</v>
      </c>
      <c r="Q893" t="str">
        <f t="shared" si="67"/>
        <v>OK</v>
      </c>
      <c r="R893">
        <v>1</v>
      </c>
      <c r="S893">
        <f t="shared" si="68"/>
        <v>0</v>
      </c>
      <c r="T893">
        <f t="shared" si="69"/>
        <v>1</v>
      </c>
    </row>
    <row r="894" spans="1:20">
      <c r="A894" t="s">
        <v>3282</v>
      </c>
      <c r="B894" s="3">
        <v>45447</v>
      </c>
      <c r="C894" t="s">
        <v>3283</v>
      </c>
      <c r="D894" t="s">
        <v>79</v>
      </c>
      <c r="E894">
        <v>1</v>
      </c>
      <c r="F894" s="4">
        <v>394.53</v>
      </c>
      <c r="G894" t="s">
        <v>3284</v>
      </c>
      <c r="H894" t="s">
        <v>71</v>
      </c>
      <c r="I894" t="s">
        <v>25</v>
      </c>
      <c r="J894" t="s">
        <v>3285</v>
      </c>
      <c r="K894">
        <v>2</v>
      </c>
      <c r="L894" t="s">
        <v>43</v>
      </c>
      <c r="M894" t="s">
        <v>35</v>
      </c>
      <c r="N894" s="4">
        <v>394.53</v>
      </c>
      <c r="O894" s="19" t="str">
        <f t="shared" si="65"/>
        <v>Jun-2024</v>
      </c>
      <c r="P894">
        <f t="shared" si="66"/>
        <v>2024</v>
      </c>
      <c r="Q894" t="str">
        <f t="shared" si="67"/>
        <v>OK</v>
      </c>
      <c r="R894">
        <v>1</v>
      </c>
      <c r="S894">
        <f t="shared" si="68"/>
        <v>0</v>
      </c>
      <c r="T894">
        <f t="shared" si="69"/>
        <v>0</v>
      </c>
    </row>
    <row r="895" spans="1:20">
      <c r="A895" t="s">
        <v>3286</v>
      </c>
      <c r="B895" s="3">
        <v>45006</v>
      </c>
      <c r="C895" t="s">
        <v>3287</v>
      </c>
      <c r="D895" t="s">
        <v>22</v>
      </c>
      <c r="E895">
        <v>1</v>
      </c>
      <c r="F895" s="4">
        <v>678.01</v>
      </c>
      <c r="G895" t="s">
        <v>1951</v>
      </c>
      <c r="H895" t="s">
        <v>71</v>
      </c>
      <c r="I895" t="s">
        <v>95</v>
      </c>
      <c r="J895" t="s">
        <v>3288</v>
      </c>
      <c r="K895">
        <v>4</v>
      </c>
      <c r="L895" t="s">
        <v>43</v>
      </c>
      <c r="M895" t="s">
        <v>35</v>
      </c>
      <c r="N895" s="4">
        <v>678.01</v>
      </c>
      <c r="O895" s="19" t="str">
        <f t="shared" si="65"/>
        <v>Mar-2023</v>
      </c>
      <c r="P895">
        <f t="shared" si="66"/>
        <v>2023</v>
      </c>
      <c r="Q895" t="str">
        <f t="shared" si="67"/>
        <v>OK</v>
      </c>
      <c r="R895">
        <v>1</v>
      </c>
      <c r="S895">
        <f t="shared" si="68"/>
        <v>0</v>
      </c>
      <c r="T895">
        <f t="shared" si="69"/>
        <v>0</v>
      </c>
    </row>
    <row r="896" spans="1:20">
      <c r="A896" t="s">
        <v>3289</v>
      </c>
      <c r="B896" s="3">
        <v>45069</v>
      </c>
      <c r="C896" t="s">
        <v>3290</v>
      </c>
      <c r="D896" t="s">
        <v>38</v>
      </c>
      <c r="E896">
        <v>3</v>
      </c>
      <c r="F896" s="4">
        <v>575.01</v>
      </c>
      <c r="G896" t="s">
        <v>2068</v>
      </c>
      <c r="H896" t="s">
        <v>33</v>
      </c>
      <c r="I896" t="s">
        <v>41</v>
      </c>
      <c r="J896" t="s">
        <v>3291</v>
      </c>
      <c r="K896">
        <v>8</v>
      </c>
      <c r="L896" t="s">
        <v>87</v>
      </c>
      <c r="M896" t="s">
        <v>28</v>
      </c>
      <c r="N896" s="4">
        <v>1725.03</v>
      </c>
      <c r="O896" s="19" t="str">
        <f t="shared" si="65"/>
        <v>May-2023</v>
      </c>
      <c r="P896">
        <f t="shared" si="66"/>
        <v>2023</v>
      </c>
      <c r="Q896" t="str">
        <f t="shared" si="67"/>
        <v>OK</v>
      </c>
      <c r="R896">
        <v>1</v>
      </c>
      <c r="S896">
        <f t="shared" si="68"/>
        <v>1</v>
      </c>
      <c r="T896">
        <f t="shared" si="69"/>
        <v>0</v>
      </c>
    </row>
    <row r="897" spans="1:20">
      <c r="A897" t="s">
        <v>3292</v>
      </c>
      <c r="B897" s="3">
        <v>45239</v>
      </c>
      <c r="C897" t="s">
        <v>3293</v>
      </c>
      <c r="D897" t="s">
        <v>47</v>
      </c>
      <c r="E897">
        <v>3</v>
      </c>
      <c r="F897" s="4">
        <v>154.63999999999999</v>
      </c>
      <c r="G897" t="s">
        <v>3294</v>
      </c>
      <c r="H897" t="s">
        <v>24</v>
      </c>
      <c r="I897" t="s">
        <v>95</v>
      </c>
      <c r="J897" t="s">
        <v>3295</v>
      </c>
      <c r="K897">
        <v>6</v>
      </c>
      <c r="L897" t="s">
        <v>87</v>
      </c>
      <c r="M897" t="s">
        <v>51</v>
      </c>
      <c r="N897" s="4">
        <v>463.92</v>
      </c>
      <c r="O897" s="19" t="str">
        <f t="shared" si="65"/>
        <v>Nov-2023</v>
      </c>
      <c r="P897">
        <f t="shared" si="66"/>
        <v>2023</v>
      </c>
      <c r="Q897" t="str">
        <f t="shared" si="67"/>
        <v>OK</v>
      </c>
      <c r="R897">
        <v>1</v>
      </c>
      <c r="S897">
        <f t="shared" si="68"/>
        <v>0</v>
      </c>
      <c r="T897">
        <f t="shared" si="69"/>
        <v>0</v>
      </c>
    </row>
    <row r="898" spans="1:20">
      <c r="A898" t="s">
        <v>3296</v>
      </c>
      <c r="B898" s="3">
        <v>45583</v>
      </c>
      <c r="C898" t="s">
        <v>3297</v>
      </c>
      <c r="D898" t="s">
        <v>79</v>
      </c>
      <c r="E898">
        <v>3</v>
      </c>
      <c r="F898" s="4">
        <v>147.29</v>
      </c>
      <c r="G898" t="s">
        <v>80</v>
      </c>
      <c r="H898" t="s">
        <v>66</v>
      </c>
      <c r="I898" t="s">
        <v>25</v>
      </c>
      <c r="J898" t="s">
        <v>3298</v>
      </c>
      <c r="K898">
        <v>3</v>
      </c>
      <c r="L898" t="s">
        <v>43</v>
      </c>
      <c r="M898" t="s">
        <v>82</v>
      </c>
      <c r="N898" s="4">
        <v>441.87</v>
      </c>
      <c r="O898" s="19" t="str">
        <f t="shared" ref="O898:O961" si="70">TEXT(B898,"mmm-yyyy")</f>
        <v>Oct-2024</v>
      </c>
      <c r="P898">
        <f t="shared" ref="P898:P961" si="71">YEAR(B898)</f>
        <v>2024</v>
      </c>
      <c r="Q898" t="str">
        <f t="shared" ref="Q898:Q961" si="72">IF(ABS(N898-(E898*F898))&lt;0.01,"OK","CHECK")</f>
        <v>OK</v>
      </c>
      <c r="R898">
        <v>1</v>
      </c>
      <c r="S898">
        <f t="shared" ref="S898:S961" si="73">IF(I898="Cancelled",1,0)</f>
        <v>0</v>
      </c>
      <c r="T898">
        <f t="shared" ref="T898:T961" si="74">IF(I898="Returned",1,0)</f>
        <v>0</v>
      </c>
    </row>
    <row r="899" spans="1:20">
      <c r="A899" t="s">
        <v>3299</v>
      </c>
      <c r="B899" s="3">
        <v>45538</v>
      </c>
      <c r="C899" t="s">
        <v>3300</v>
      </c>
      <c r="D899" t="s">
        <v>64</v>
      </c>
      <c r="E899">
        <v>4</v>
      </c>
      <c r="F899" s="4">
        <v>481.48</v>
      </c>
      <c r="G899" t="s">
        <v>823</v>
      </c>
      <c r="H899" t="s">
        <v>66</v>
      </c>
      <c r="I899" t="s">
        <v>56</v>
      </c>
      <c r="J899" t="s">
        <v>3301</v>
      </c>
      <c r="K899">
        <v>5</v>
      </c>
      <c r="L899" t="s">
        <v>27</v>
      </c>
      <c r="M899" t="s">
        <v>28</v>
      </c>
      <c r="N899" s="4">
        <v>1925.92</v>
      </c>
      <c r="O899" s="19" t="str">
        <f t="shared" si="70"/>
        <v>Sep-2024</v>
      </c>
      <c r="P899">
        <f t="shared" si="71"/>
        <v>2024</v>
      </c>
      <c r="Q899" t="str">
        <f t="shared" si="72"/>
        <v>OK</v>
      </c>
      <c r="R899">
        <v>1</v>
      </c>
      <c r="S899">
        <f t="shared" si="73"/>
        <v>0</v>
      </c>
      <c r="T899">
        <f t="shared" si="74"/>
        <v>0</v>
      </c>
    </row>
    <row r="900" spans="1:20">
      <c r="A900" t="s">
        <v>3302</v>
      </c>
      <c r="B900" s="3">
        <v>45721</v>
      </c>
      <c r="C900" t="s">
        <v>3303</v>
      </c>
      <c r="D900" t="s">
        <v>22</v>
      </c>
      <c r="E900">
        <v>3</v>
      </c>
      <c r="F900" s="4">
        <v>158.37</v>
      </c>
      <c r="G900" t="s">
        <v>3106</v>
      </c>
      <c r="H900" t="s">
        <v>71</v>
      </c>
      <c r="I900" t="s">
        <v>25</v>
      </c>
      <c r="J900" t="s">
        <v>3304</v>
      </c>
      <c r="K900">
        <v>6</v>
      </c>
      <c r="M900" t="s">
        <v>35</v>
      </c>
      <c r="N900" s="4">
        <v>475.11</v>
      </c>
      <c r="O900" s="19" t="str">
        <f t="shared" si="70"/>
        <v>Mar-2025</v>
      </c>
      <c r="P900">
        <f t="shared" si="71"/>
        <v>2025</v>
      </c>
      <c r="Q900" t="str">
        <f t="shared" si="72"/>
        <v>OK</v>
      </c>
      <c r="R900">
        <v>1</v>
      </c>
      <c r="S900">
        <f t="shared" si="73"/>
        <v>0</v>
      </c>
      <c r="T900">
        <f t="shared" si="74"/>
        <v>0</v>
      </c>
    </row>
    <row r="901" spans="1:20">
      <c r="A901" t="s">
        <v>3305</v>
      </c>
      <c r="B901" s="3">
        <v>45770</v>
      </c>
      <c r="C901" t="s">
        <v>3306</v>
      </c>
      <c r="D901" t="s">
        <v>54</v>
      </c>
      <c r="E901">
        <v>2</v>
      </c>
      <c r="F901" s="4">
        <v>323.37</v>
      </c>
      <c r="G901" t="s">
        <v>318</v>
      </c>
      <c r="H901" t="s">
        <v>33</v>
      </c>
      <c r="I901" t="s">
        <v>95</v>
      </c>
      <c r="J901" t="s">
        <v>3307</v>
      </c>
      <c r="K901">
        <v>3</v>
      </c>
      <c r="L901" t="s">
        <v>27</v>
      </c>
      <c r="M901" t="s">
        <v>28</v>
      </c>
      <c r="N901" s="4">
        <v>646.74</v>
      </c>
      <c r="O901" s="19" t="str">
        <f t="shared" si="70"/>
        <v>Apr-2025</v>
      </c>
      <c r="P901">
        <f t="shared" si="71"/>
        <v>2025</v>
      </c>
      <c r="Q901" t="str">
        <f t="shared" si="72"/>
        <v>OK</v>
      </c>
      <c r="R901">
        <v>1</v>
      </c>
      <c r="S901">
        <f t="shared" si="73"/>
        <v>0</v>
      </c>
      <c r="T901">
        <f t="shared" si="74"/>
        <v>0</v>
      </c>
    </row>
    <row r="902" spans="1:20">
      <c r="A902" t="s">
        <v>3308</v>
      </c>
      <c r="B902" s="3">
        <v>45695</v>
      </c>
      <c r="C902" t="s">
        <v>3309</v>
      </c>
      <c r="D902" t="s">
        <v>64</v>
      </c>
      <c r="E902">
        <v>5</v>
      </c>
      <c r="F902" s="4">
        <v>73.83</v>
      </c>
      <c r="G902" t="s">
        <v>2002</v>
      </c>
      <c r="H902" t="s">
        <v>24</v>
      </c>
      <c r="I902" t="s">
        <v>95</v>
      </c>
      <c r="J902" t="s">
        <v>3310</v>
      </c>
      <c r="K902">
        <v>9</v>
      </c>
      <c r="M902" t="s">
        <v>28</v>
      </c>
      <c r="N902" s="4">
        <v>369.15</v>
      </c>
      <c r="O902" s="19" t="str">
        <f t="shared" si="70"/>
        <v>Feb-2025</v>
      </c>
      <c r="P902">
        <f t="shared" si="71"/>
        <v>2025</v>
      </c>
      <c r="Q902" t="str">
        <f t="shared" si="72"/>
        <v>OK</v>
      </c>
      <c r="R902">
        <v>1</v>
      </c>
      <c r="S902">
        <f t="shared" si="73"/>
        <v>0</v>
      </c>
      <c r="T902">
        <f t="shared" si="74"/>
        <v>0</v>
      </c>
    </row>
    <row r="903" spans="1:20">
      <c r="A903" t="s">
        <v>3311</v>
      </c>
      <c r="B903" s="3">
        <v>45410</v>
      </c>
      <c r="C903" t="s">
        <v>3312</v>
      </c>
      <c r="D903" t="s">
        <v>38</v>
      </c>
      <c r="E903">
        <v>1</v>
      </c>
      <c r="F903" s="4">
        <v>458.63</v>
      </c>
      <c r="G903" t="s">
        <v>421</v>
      </c>
      <c r="H903" t="s">
        <v>24</v>
      </c>
      <c r="I903" t="s">
        <v>49</v>
      </c>
      <c r="J903" t="s">
        <v>3313</v>
      </c>
      <c r="K903">
        <v>4</v>
      </c>
      <c r="L903" t="s">
        <v>87</v>
      </c>
      <c r="M903" t="s">
        <v>35</v>
      </c>
      <c r="N903" s="4">
        <v>458.63</v>
      </c>
      <c r="O903" s="19" t="str">
        <f t="shared" si="70"/>
        <v>Apr-2024</v>
      </c>
      <c r="P903">
        <f t="shared" si="71"/>
        <v>2024</v>
      </c>
      <c r="Q903" t="str">
        <f t="shared" si="72"/>
        <v>OK</v>
      </c>
      <c r="R903">
        <v>1</v>
      </c>
      <c r="S903">
        <f t="shared" si="73"/>
        <v>0</v>
      </c>
      <c r="T903">
        <f t="shared" si="74"/>
        <v>1</v>
      </c>
    </row>
    <row r="904" spans="1:20">
      <c r="A904" t="s">
        <v>3314</v>
      </c>
      <c r="B904" s="3">
        <v>45486</v>
      </c>
      <c r="C904" t="s">
        <v>3315</v>
      </c>
      <c r="D904" t="s">
        <v>22</v>
      </c>
      <c r="E904">
        <v>4</v>
      </c>
      <c r="F904" s="4">
        <v>180.25</v>
      </c>
      <c r="G904" t="s">
        <v>295</v>
      </c>
      <c r="H904" t="s">
        <v>24</v>
      </c>
      <c r="I904" t="s">
        <v>41</v>
      </c>
      <c r="J904" t="s">
        <v>3316</v>
      </c>
      <c r="K904">
        <v>7</v>
      </c>
      <c r="M904" t="s">
        <v>51</v>
      </c>
      <c r="N904" s="4">
        <v>721</v>
      </c>
      <c r="O904" s="19" t="str">
        <f t="shared" si="70"/>
        <v>Jul-2024</v>
      </c>
      <c r="P904">
        <f t="shared" si="71"/>
        <v>2024</v>
      </c>
      <c r="Q904" t="str">
        <f t="shared" si="72"/>
        <v>OK</v>
      </c>
      <c r="R904">
        <v>1</v>
      </c>
      <c r="S904">
        <f t="shared" si="73"/>
        <v>1</v>
      </c>
      <c r="T904">
        <f t="shared" si="74"/>
        <v>0</v>
      </c>
    </row>
    <row r="905" spans="1:20">
      <c r="A905" t="s">
        <v>3317</v>
      </c>
      <c r="B905" s="3">
        <v>45063</v>
      </c>
      <c r="C905" t="s">
        <v>3318</v>
      </c>
      <c r="D905" t="s">
        <v>22</v>
      </c>
      <c r="E905">
        <v>3</v>
      </c>
      <c r="F905" s="4">
        <v>473.49</v>
      </c>
      <c r="G905" t="s">
        <v>2971</v>
      </c>
      <c r="H905" t="s">
        <v>40</v>
      </c>
      <c r="I905" t="s">
        <v>95</v>
      </c>
      <c r="J905" t="s">
        <v>3319</v>
      </c>
      <c r="K905">
        <v>7</v>
      </c>
      <c r="M905" t="s">
        <v>44</v>
      </c>
      <c r="N905" s="4">
        <v>1420.47</v>
      </c>
      <c r="O905" s="19" t="str">
        <f t="shared" si="70"/>
        <v>May-2023</v>
      </c>
      <c r="P905">
        <f t="shared" si="71"/>
        <v>2023</v>
      </c>
      <c r="Q905" t="str">
        <f t="shared" si="72"/>
        <v>OK</v>
      </c>
      <c r="R905">
        <v>1</v>
      </c>
      <c r="S905">
        <f t="shared" si="73"/>
        <v>0</v>
      </c>
      <c r="T905">
        <f t="shared" si="74"/>
        <v>0</v>
      </c>
    </row>
    <row r="906" spans="1:20">
      <c r="A906" t="s">
        <v>3320</v>
      </c>
      <c r="B906" s="3">
        <v>45693</v>
      </c>
      <c r="C906" t="s">
        <v>3321</v>
      </c>
      <c r="D906" t="s">
        <v>22</v>
      </c>
      <c r="E906">
        <v>4</v>
      </c>
      <c r="F906" s="4">
        <v>237.43</v>
      </c>
      <c r="G906" t="s">
        <v>1733</v>
      </c>
      <c r="H906" t="s">
        <v>71</v>
      </c>
      <c r="I906" t="s">
        <v>41</v>
      </c>
      <c r="J906" t="s">
        <v>3322</v>
      </c>
      <c r="K906">
        <v>8</v>
      </c>
      <c r="L906" t="s">
        <v>87</v>
      </c>
      <c r="M906" t="s">
        <v>35</v>
      </c>
      <c r="N906" s="4">
        <v>949.72</v>
      </c>
      <c r="O906" s="19" t="str">
        <f t="shared" si="70"/>
        <v>Feb-2025</v>
      </c>
      <c r="P906">
        <f t="shared" si="71"/>
        <v>2025</v>
      </c>
      <c r="Q906" t="str">
        <f t="shared" si="72"/>
        <v>OK</v>
      </c>
      <c r="R906">
        <v>1</v>
      </c>
      <c r="S906">
        <f t="shared" si="73"/>
        <v>1</v>
      </c>
      <c r="T906">
        <f t="shared" si="74"/>
        <v>0</v>
      </c>
    </row>
    <row r="907" spans="1:20">
      <c r="A907" t="s">
        <v>3323</v>
      </c>
      <c r="B907" s="3">
        <v>45253</v>
      </c>
      <c r="C907" t="s">
        <v>3324</v>
      </c>
      <c r="D907" t="s">
        <v>64</v>
      </c>
      <c r="E907">
        <v>1</v>
      </c>
      <c r="F907" s="4">
        <v>442.39</v>
      </c>
      <c r="G907" t="s">
        <v>1262</v>
      </c>
      <c r="H907" t="s">
        <v>66</v>
      </c>
      <c r="I907" t="s">
        <v>95</v>
      </c>
      <c r="J907" t="s">
        <v>3325</v>
      </c>
      <c r="K907">
        <v>6</v>
      </c>
      <c r="L907" t="s">
        <v>43</v>
      </c>
      <c r="M907" t="s">
        <v>51</v>
      </c>
      <c r="N907" s="4">
        <v>442.39</v>
      </c>
      <c r="O907" s="19" t="str">
        <f t="shared" si="70"/>
        <v>Nov-2023</v>
      </c>
      <c r="P907">
        <f t="shared" si="71"/>
        <v>2023</v>
      </c>
      <c r="Q907" t="str">
        <f t="shared" si="72"/>
        <v>OK</v>
      </c>
      <c r="R907">
        <v>1</v>
      </c>
      <c r="S907">
        <f t="shared" si="73"/>
        <v>0</v>
      </c>
      <c r="T907">
        <f t="shared" si="74"/>
        <v>0</v>
      </c>
    </row>
    <row r="908" spans="1:20">
      <c r="A908" t="s">
        <v>3326</v>
      </c>
      <c r="B908" s="3">
        <v>45538</v>
      </c>
      <c r="C908" t="s">
        <v>3327</v>
      </c>
      <c r="D908" t="s">
        <v>22</v>
      </c>
      <c r="E908">
        <v>1</v>
      </c>
      <c r="F908" s="4">
        <v>62.12</v>
      </c>
      <c r="G908" t="s">
        <v>3328</v>
      </c>
      <c r="H908" t="s">
        <v>71</v>
      </c>
      <c r="I908" t="s">
        <v>49</v>
      </c>
      <c r="J908" t="s">
        <v>3329</v>
      </c>
      <c r="K908">
        <v>2</v>
      </c>
      <c r="M908" t="s">
        <v>44</v>
      </c>
      <c r="N908" s="4">
        <v>62.12</v>
      </c>
      <c r="O908" s="19" t="str">
        <f t="shared" si="70"/>
        <v>Sep-2024</v>
      </c>
      <c r="P908">
        <f t="shared" si="71"/>
        <v>2024</v>
      </c>
      <c r="Q908" t="str">
        <f t="shared" si="72"/>
        <v>OK</v>
      </c>
      <c r="R908">
        <v>1</v>
      </c>
      <c r="S908">
        <f t="shared" si="73"/>
        <v>0</v>
      </c>
      <c r="T908">
        <f t="shared" si="74"/>
        <v>1</v>
      </c>
    </row>
    <row r="909" spans="1:20">
      <c r="A909" t="s">
        <v>3330</v>
      </c>
      <c r="B909" s="3">
        <v>45508</v>
      </c>
      <c r="C909" t="s">
        <v>3331</v>
      </c>
      <c r="D909" t="s">
        <v>79</v>
      </c>
      <c r="E909">
        <v>5</v>
      </c>
      <c r="F909" s="4">
        <v>298.39</v>
      </c>
      <c r="G909" t="s">
        <v>567</v>
      </c>
      <c r="H909" t="s">
        <v>66</v>
      </c>
      <c r="I909" t="s">
        <v>41</v>
      </c>
      <c r="J909" t="s">
        <v>3332</v>
      </c>
      <c r="K909">
        <v>7</v>
      </c>
      <c r="L909" t="s">
        <v>87</v>
      </c>
      <c r="M909" t="s">
        <v>35</v>
      </c>
      <c r="N909" s="4">
        <v>1491.95</v>
      </c>
      <c r="O909" s="19" t="str">
        <f t="shared" si="70"/>
        <v>Aug-2024</v>
      </c>
      <c r="P909">
        <f t="shared" si="71"/>
        <v>2024</v>
      </c>
      <c r="Q909" t="str">
        <f t="shared" si="72"/>
        <v>OK</v>
      </c>
      <c r="R909">
        <v>1</v>
      </c>
      <c r="S909">
        <f t="shared" si="73"/>
        <v>1</v>
      </c>
      <c r="T909">
        <f t="shared" si="74"/>
        <v>0</v>
      </c>
    </row>
    <row r="910" spans="1:20">
      <c r="A910" t="s">
        <v>3333</v>
      </c>
      <c r="B910" s="3">
        <v>45783</v>
      </c>
      <c r="C910" t="s">
        <v>3334</v>
      </c>
      <c r="D910" t="s">
        <v>79</v>
      </c>
      <c r="E910">
        <v>2</v>
      </c>
      <c r="F910" s="4">
        <v>697.93</v>
      </c>
      <c r="G910" t="s">
        <v>729</v>
      </c>
      <c r="H910" t="s">
        <v>40</v>
      </c>
      <c r="I910" t="s">
        <v>41</v>
      </c>
      <c r="J910" t="s">
        <v>3335</v>
      </c>
      <c r="K910">
        <v>2</v>
      </c>
      <c r="L910" t="s">
        <v>27</v>
      </c>
      <c r="M910" t="s">
        <v>82</v>
      </c>
      <c r="N910" s="4">
        <v>1395.86</v>
      </c>
      <c r="O910" s="19" t="str">
        <f t="shared" si="70"/>
        <v>May-2025</v>
      </c>
      <c r="P910">
        <f t="shared" si="71"/>
        <v>2025</v>
      </c>
      <c r="Q910" t="str">
        <f t="shared" si="72"/>
        <v>OK</v>
      </c>
      <c r="R910">
        <v>1</v>
      </c>
      <c r="S910">
        <f t="shared" si="73"/>
        <v>1</v>
      </c>
      <c r="T910">
        <f t="shared" si="74"/>
        <v>0</v>
      </c>
    </row>
    <row r="911" spans="1:20">
      <c r="A911" t="s">
        <v>3336</v>
      </c>
      <c r="B911" s="3">
        <v>45439</v>
      </c>
      <c r="C911" t="s">
        <v>3337</v>
      </c>
      <c r="D911" t="s">
        <v>38</v>
      </c>
      <c r="E911">
        <v>2</v>
      </c>
      <c r="F911" s="4">
        <v>291.85000000000002</v>
      </c>
      <c r="G911" t="s">
        <v>131</v>
      </c>
      <c r="H911" t="s">
        <v>71</v>
      </c>
      <c r="I911" t="s">
        <v>25</v>
      </c>
      <c r="J911" t="s">
        <v>3338</v>
      </c>
      <c r="K911">
        <v>5</v>
      </c>
      <c r="L911" t="s">
        <v>43</v>
      </c>
      <c r="M911" t="s">
        <v>28</v>
      </c>
      <c r="N911" s="4">
        <v>583.70000000000005</v>
      </c>
      <c r="O911" s="19" t="str">
        <f t="shared" si="70"/>
        <v>May-2024</v>
      </c>
      <c r="P911">
        <f t="shared" si="71"/>
        <v>2024</v>
      </c>
      <c r="Q911" t="str">
        <f t="shared" si="72"/>
        <v>OK</v>
      </c>
      <c r="R911">
        <v>1</v>
      </c>
      <c r="S911">
        <f t="shared" si="73"/>
        <v>0</v>
      </c>
      <c r="T911">
        <f t="shared" si="74"/>
        <v>0</v>
      </c>
    </row>
    <row r="912" spans="1:20">
      <c r="A912" t="s">
        <v>3339</v>
      </c>
      <c r="B912" s="3">
        <v>45443</v>
      </c>
      <c r="C912" t="s">
        <v>3340</v>
      </c>
      <c r="D912" t="s">
        <v>54</v>
      </c>
      <c r="E912">
        <v>3</v>
      </c>
      <c r="F912" s="4">
        <v>308.98</v>
      </c>
      <c r="G912" t="s">
        <v>349</v>
      </c>
      <c r="H912" t="s">
        <v>71</v>
      </c>
      <c r="I912" t="s">
        <v>56</v>
      </c>
      <c r="J912" t="s">
        <v>3341</v>
      </c>
      <c r="K912">
        <v>3</v>
      </c>
      <c r="L912" t="s">
        <v>27</v>
      </c>
      <c r="M912" t="s">
        <v>28</v>
      </c>
      <c r="N912" s="4">
        <v>926.94</v>
      </c>
      <c r="O912" s="19" t="str">
        <f t="shared" si="70"/>
        <v>May-2024</v>
      </c>
      <c r="P912">
        <f t="shared" si="71"/>
        <v>2024</v>
      </c>
      <c r="Q912" t="str">
        <f t="shared" si="72"/>
        <v>OK</v>
      </c>
      <c r="R912">
        <v>1</v>
      </c>
      <c r="S912">
        <f t="shared" si="73"/>
        <v>0</v>
      </c>
      <c r="T912">
        <f t="shared" si="74"/>
        <v>0</v>
      </c>
    </row>
    <row r="913" spans="1:20">
      <c r="A913" t="s">
        <v>3342</v>
      </c>
      <c r="B913" s="3">
        <v>45517</v>
      </c>
      <c r="C913" t="s">
        <v>3343</v>
      </c>
      <c r="D913" t="s">
        <v>79</v>
      </c>
      <c r="E913">
        <v>5</v>
      </c>
      <c r="F913" s="4">
        <v>396.86</v>
      </c>
      <c r="G913" t="s">
        <v>508</v>
      </c>
      <c r="H913" t="s">
        <v>71</v>
      </c>
      <c r="I913" t="s">
        <v>41</v>
      </c>
      <c r="J913" t="s">
        <v>3344</v>
      </c>
      <c r="K913">
        <v>9</v>
      </c>
      <c r="L913" t="s">
        <v>27</v>
      </c>
      <c r="M913" t="s">
        <v>28</v>
      </c>
      <c r="N913" s="4">
        <v>1984.3</v>
      </c>
      <c r="O913" s="19" t="str">
        <f t="shared" si="70"/>
        <v>Aug-2024</v>
      </c>
      <c r="P913">
        <f t="shared" si="71"/>
        <v>2024</v>
      </c>
      <c r="Q913" t="str">
        <f t="shared" si="72"/>
        <v>OK</v>
      </c>
      <c r="R913">
        <v>1</v>
      </c>
      <c r="S913">
        <f t="shared" si="73"/>
        <v>1</v>
      </c>
      <c r="T913">
        <f t="shared" si="74"/>
        <v>0</v>
      </c>
    </row>
    <row r="914" spans="1:20">
      <c r="A914" t="s">
        <v>3345</v>
      </c>
      <c r="B914" s="3">
        <v>45313</v>
      </c>
      <c r="C914" t="s">
        <v>3346</v>
      </c>
      <c r="D914" t="s">
        <v>79</v>
      </c>
      <c r="E914">
        <v>2</v>
      </c>
      <c r="F914" s="4">
        <v>139.69</v>
      </c>
      <c r="G914" t="s">
        <v>393</v>
      </c>
      <c r="H914" t="s">
        <v>33</v>
      </c>
      <c r="I914" t="s">
        <v>49</v>
      </c>
      <c r="J914" t="s">
        <v>3347</v>
      </c>
      <c r="K914">
        <v>7</v>
      </c>
      <c r="L914" t="s">
        <v>43</v>
      </c>
      <c r="M914" t="s">
        <v>44</v>
      </c>
      <c r="N914" s="4">
        <v>279.38</v>
      </c>
      <c r="O914" s="19" t="str">
        <f t="shared" si="70"/>
        <v>Jan-2024</v>
      </c>
      <c r="P914">
        <f t="shared" si="71"/>
        <v>2024</v>
      </c>
      <c r="Q914" t="str">
        <f t="shared" si="72"/>
        <v>OK</v>
      </c>
      <c r="R914">
        <v>1</v>
      </c>
      <c r="S914">
        <f t="shared" si="73"/>
        <v>0</v>
      </c>
      <c r="T914">
        <f t="shared" si="74"/>
        <v>1</v>
      </c>
    </row>
    <row r="915" spans="1:20">
      <c r="A915" t="s">
        <v>3348</v>
      </c>
      <c r="B915" s="3">
        <v>44973</v>
      </c>
      <c r="C915" t="s">
        <v>3349</v>
      </c>
      <c r="D915" t="s">
        <v>54</v>
      </c>
      <c r="E915">
        <v>5</v>
      </c>
      <c r="F915" s="4">
        <v>475.95</v>
      </c>
      <c r="G915" t="s">
        <v>793</v>
      </c>
      <c r="H915" t="s">
        <v>40</v>
      </c>
      <c r="I915" t="s">
        <v>49</v>
      </c>
      <c r="J915" t="s">
        <v>3350</v>
      </c>
      <c r="K915">
        <v>8</v>
      </c>
      <c r="L915" t="s">
        <v>87</v>
      </c>
      <c r="M915" t="s">
        <v>51</v>
      </c>
      <c r="N915" s="4">
        <v>2379.75</v>
      </c>
      <c r="O915" s="19" t="str">
        <f t="shared" si="70"/>
        <v>Feb-2023</v>
      </c>
      <c r="P915">
        <f t="shared" si="71"/>
        <v>2023</v>
      </c>
      <c r="Q915" t="str">
        <f t="shared" si="72"/>
        <v>OK</v>
      </c>
      <c r="R915">
        <v>1</v>
      </c>
      <c r="S915">
        <f t="shared" si="73"/>
        <v>0</v>
      </c>
      <c r="T915">
        <f t="shared" si="74"/>
        <v>1</v>
      </c>
    </row>
    <row r="916" spans="1:20">
      <c r="A916" t="s">
        <v>3351</v>
      </c>
      <c r="B916" s="3">
        <v>45698</v>
      </c>
      <c r="C916" t="s">
        <v>3352</v>
      </c>
      <c r="D916" t="s">
        <v>79</v>
      </c>
      <c r="E916">
        <v>1</v>
      </c>
      <c r="F916" s="4">
        <v>626.6</v>
      </c>
      <c r="G916" t="s">
        <v>1699</v>
      </c>
      <c r="H916" t="s">
        <v>66</v>
      </c>
      <c r="I916" t="s">
        <v>49</v>
      </c>
      <c r="J916" t="s">
        <v>3353</v>
      </c>
      <c r="K916">
        <v>4</v>
      </c>
      <c r="L916" t="s">
        <v>87</v>
      </c>
      <c r="M916" t="s">
        <v>51</v>
      </c>
      <c r="N916" s="4">
        <v>626.6</v>
      </c>
      <c r="O916" s="19" t="str">
        <f t="shared" si="70"/>
        <v>Feb-2025</v>
      </c>
      <c r="P916">
        <f t="shared" si="71"/>
        <v>2025</v>
      </c>
      <c r="Q916" t="str">
        <f t="shared" si="72"/>
        <v>OK</v>
      </c>
      <c r="R916">
        <v>1</v>
      </c>
      <c r="S916">
        <f t="shared" si="73"/>
        <v>0</v>
      </c>
      <c r="T916">
        <f t="shared" si="74"/>
        <v>1</v>
      </c>
    </row>
    <row r="917" spans="1:20">
      <c r="A917" t="s">
        <v>3354</v>
      </c>
      <c r="B917" s="3">
        <v>45338</v>
      </c>
      <c r="C917" t="s">
        <v>3355</v>
      </c>
      <c r="D917" t="s">
        <v>64</v>
      </c>
      <c r="E917">
        <v>4</v>
      </c>
      <c r="F917" s="4">
        <v>502.99</v>
      </c>
      <c r="G917" t="s">
        <v>3356</v>
      </c>
      <c r="H917" t="s">
        <v>24</v>
      </c>
      <c r="I917" t="s">
        <v>25</v>
      </c>
      <c r="J917" t="s">
        <v>3357</v>
      </c>
      <c r="K917">
        <v>4</v>
      </c>
      <c r="L917" t="s">
        <v>87</v>
      </c>
      <c r="M917" t="s">
        <v>35</v>
      </c>
      <c r="N917" s="4">
        <v>2011.96</v>
      </c>
      <c r="O917" s="19" t="str">
        <f t="shared" si="70"/>
        <v>Feb-2024</v>
      </c>
      <c r="P917">
        <f t="shared" si="71"/>
        <v>2024</v>
      </c>
      <c r="Q917" t="str">
        <f t="shared" si="72"/>
        <v>OK</v>
      </c>
      <c r="R917">
        <v>1</v>
      </c>
      <c r="S917">
        <f t="shared" si="73"/>
        <v>0</v>
      </c>
      <c r="T917">
        <f t="shared" si="74"/>
        <v>0</v>
      </c>
    </row>
    <row r="918" spans="1:20">
      <c r="A918" t="s">
        <v>3358</v>
      </c>
      <c r="B918" s="3">
        <v>45464</v>
      </c>
      <c r="C918" t="s">
        <v>3359</v>
      </c>
      <c r="D918" t="s">
        <v>54</v>
      </c>
      <c r="E918">
        <v>5</v>
      </c>
      <c r="F918" s="4">
        <v>578.83000000000004</v>
      </c>
      <c r="G918" t="s">
        <v>2851</v>
      </c>
      <c r="H918" t="s">
        <v>71</v>
      </c>
      <c r="I918" t="s">
        <v>49</v>
      </c>
      <c r="J918" t="s">
        <v>3360</v>
      </c>
      <c r="K918">
        <v>6</v>
      </c>
      <c r="M918" t="s">
        <v>35</v>
      </c>
      <c r="N918" s="4">
        <v>2894.15</v>
      </c>
      <c r="O918" s="19" t="str">
        <f t="shared" si="70"/>
        <v>Jun-2024</v>
      </c>
      <c r="P918">
        <f t="shared" si="71"/>
        <v>2024</v>
      </c>
      <c r="Q918" t="str">
        <f t="shared" si="72"/>
        <v>OK</v>
      </c>
      <c r="R918">
        <v>1</v>
      </c>
      <c r="S918">
        <f t="shared" si="73"/>
        <v>0</v>
      </c>
      <c r="T918">
        <f t="shared" si="74"/>
        <v>1</v>
      </c>
    </row>
    <row r="919" spans="1:20">
      <c r="A919" t="s">
        <v>3361</v>
      </c>
      <c r="B919" s="3">
        <v>45677</v>
      </c>
      <c r="C919" t="s">
        <v>3362</v>
      </c>
      <c r="D919" t="s">
        <v>64</v>
      </c>
      <c r="E919">
        <v>5</v>
      </c>
      <c r="F919" s="4">
        <v>383.82</v>
      </c>
      <c r="G919" t="s">
        <v>3363</v>
      </c>
      <c r="H919" t="s">
        <v>40</v>
      </c>
      <c r="I919" t="s">
        <v>49</v>
      </c>
      <c r="J919" t="s">
        <v>3364</v>
      </c>
      <c r="K919">
        <v>7</v>
      </c>
      <c r="L919" t="s">
        <v>43</v>
      </c>
      <c r="M919" t="s">
        <v>82</v>
      </c>
      <c r="N919" s="4">
        <v>1919.1</v>
      </c>
      <c r="O919" s="19" t="str">
        <f t="shared" si="70"/>
        <v>Jan-2025</v>
      </c>
      <c r="P919">
        <f t="shared" si="71"/>
        <v>2025</v>
      </c>
      <c r="Q919" t="str">
        <f t="shared" si="72"/>
        <v>OK</v>
      </c>
      <c r="R919">
        <v>1</v>
      </c>
      <c r="S919">
        <f t="shared" si="73"/>
        <v>0</v>
      </c>
      <c r="T919">
        <f t="shared" si="74"/>
        <v>1</v>
      </c>
    </row>
    <row r="920" spans="1:20">
      <c r="A920" t="s">
        <v>3365</v>
      </c>
      <c r="B920" s="3">
        <v>45832</v>
      </c>
      <c r="C920" t="s">
        <v>3366</v>
      </c>
      <c r="D920" t="s">
        <v>64</v>
      </c>
      <c r="E920">
        <v>5</v>
      </c>
      <c r="F920" s="4">
        <v>368.25</v>
      </c>
      <c r="G920" t="s">
        <v>70</v>
      </c>
      <c r="H920" t="s">
        <v>33</v>
      </c>
      <c r="I920" t="s">
        <v>56</v>
      </c>
      <c r="J920" t="s">
        <v>3367</v>
      </c>
      <c r="K920">
        <v>5</v>
      </c>
      <c r="M920" t="s">
        <v>28</v>
      </c>
      <c r="N920" s="4">
        <v>1841.25</v>
      </c>
      <c r="O920" s="19" t="str">
        <f t="shared" si="70"/>
        <v>Jun-2025</v>
      </c>
      <c r="P920">
        <f t="shared" si="71"/>
        <v>2025</v>
      </c>
      <c r="Q920" t="str">
        <f t="shared" si="72"/>
        <v>OK</v>
      </c>
      <c r="R920">
        <v>1</v>
      </c>
      <c r="S920">
        <f t="shared" si="73"/>
        <v>0</v>
      </c>
      <c r="T920">
        <f t="shared" si="74"/>
        <v>0</v>
      </c>
    </row>
    <row r="921" spans="1:20">
      <c r="A921" t="s">
        <v>3368</v>
      </c>
      <c r="B921" s="3">
        <v>45695</v>
      </c>
      <c r="C921" t="s">
        <v>3369</v>
      </c>
      <c r="D921" t="s">
        <v>54</v>
      </c>
      <c r="E921">
        <v>2</v>
      </c>
      <c r="F921" s="4">
        <v>374.6</v>
      </c>
      <c r="G921" t="s">
        <v>516</v>
      </c>
      <c r="H921" t="s">
        <v>33</v>
      </c>
      <c r="I921" t="s">
        <v>25</v>
      </c>
      <c r="J921" t="s">
        <v>3370</v>
      </c>
      <c r="K921">
        <v>3</v>
      </c>
      <c r="L921" t="s">
        <v>43</v>
      </c>
      <c r="M921" t="s">
        <v>35</v>
      </c>
      <c r="N921" s="4">
        <v>749.2</v>
      </c>
      <c r="O921" s="19" t="str">
        <f t="shared" si="70"/>
        <v>Feb-2025</v>
      </c>
      <c r="P921">
        <f t="shared" si="71"/>
        <v>2025</v>
      </c>
      <c r="Q921" t="str">
        <f t="shared" si="72"/>
        <v>OK</v>
      </c>
      <c r="R921">
        <v>1</v>
      </c>
      <c r="S921">
        <f t="shared" si="73"/>
        <v>0</v>
      </c>
      <c r="T921">
        <f t="shared" si="74"/>
        <v>0</v>
      </c>
    </row>
    <row r="922" spans="1:20">
      <c r="A922" t="s">
        <v>3371</v>
      </c>
      <c r="B922" s="3">
        <v>45728</v>
      </c>
      <c r="C922" t="s">
        <v>3372</v>
      </c>
      <c r="D922" t="s">
        <v>38</v>
      </c>
      <c r="E922">
        <v>2</v>
      </c>
      <c r="F922" s="4">
        <v>428.09</v>
      </c>
      <c r="G922" t="s">
        <v>1250</v>
      </c>
      <c r="H922" t="s">
        <v>40</v>
      </c>
      <c r="I922" t="s">
        <v>49</v>
      </c>
      <c r="J922" t="s">
        <v>3373</v>
      </c>
      <c r="K922">
        <v>6</v>
      </c>
      <c r="M922" t="s">
        <v>28</v>
      </c>
      <c r="N922" s="4">
        <v>856.18</v>
      </c>
      <c r="O922" s="19" t="str">
        <f t="shared" si="70"/>
        <v>Mar-2025</v>
      </c>
      <c r="P922">
        <f t="shared" si="71"/>
        <v>2025</v>
      </c>
      <c r="Q922" t="str">
        <f t="shared" si="72"/>
        <v>OK</v>
      </c>
      <c r="R922">
        <v>1</v>
      </c>
      <c r="S922">
        <f t="shared" si="73"/>
        <v>0</v>
      </c>
      <c r="T922">
        <f t="shared" si="74"/>
        <v>1</v>
      </c>
    </row>
    <row r="923" spans="1:20">
      <c r="A923" t="s">
        <v>3374</v>
      </c>
      <c r="B923" s="3">
        <v>45131</v>
      </c>
      <c r="C923" t="s">
        <v>3375</v>
      </c>
      <c r="D923" t="s">
        <v>38</v>
      </c>
      <c r="E923">
        <v>1</v>
      </c>
      <c r="F923" s="4">
        <v>438.93</v>
      </c>
      <c r="G923" t="s">
        <v>3376</v>
      </c>
      <c r="H923" t="s">
        <v>66</v>
      </c>
      <c r="I923" t="s">
        <v>41</v>
      </c>
      <c r="J923" t="s">
        <v>3377</v>
      </c>
      <c r="K923">
        <v>3</v>
      </c>
      <c r="L923" t="s">
        <v>27</v>
      </c>
      <c r="M923" t="s">
        <v>35</v>
      </c>
      <c r="N923" s="4">
        <v>438.93</v>
      </c>
      <c r="O923" s="19" t="str">
        <f t="shared" si="70"/>
        <v>Jul-2023</v>
      </c>
      <c r="P923">
        <f t="shared" si="71"/>
        <v>2023</v>
      </c>
      <c r="Q923" t="str">
        <f t="shared" si="72"/>
        <v>OK</v>
      </c>
      <c r="R923">
        <v>1</v>
      </c>
      <c r="S923">
        <f t="shared" si="73"/>
        <v>1</v>
      </c>
      <c r="T923">
        <f t="shared" si="74"/>
        <v>0</v>
      </c>
    </row>
    <row r="924" spans="1:20">
      <c r="A924" t="s">
        <v>3378</v>
      </c>
      <c r="B924" s="3">
        <v>45460</v>
      </c>
      <c r="C924" t="s">
        <v>3379</v>
      </c>
      <c r="D924" t="s">
        <v>79</v>
      </c>
      <c r="E924">
        <v>2</v>
      </c>
      <c r="F924" s="4">
        <v>563.82000000000005</v>
      </c>
      <c r="G924" t="s">
        <v>3380</v>
      </c>
      <c r="H924" t="s">
        <v>40</v>
      </c>
      <c r="I924" t="s">
        <v>95</v>
      </c>
      <c r="J924" t="s">
        <v>3381</v>
      </c>
      <c r="K924">
        <v>3</v>
      </c>
      <c r="M924" t="s">
        <v>28</v>
      </c>
      <c r="N924" s="4">
        <v>1127.6400000000001</v>
      </c>
      <c r="O924" s="19" t="str">
        <f t="shared" si="70"/>
        <v>Jun-2024</v>
      </c>
      <c r="P924">
        <f t="shared" si="71"/>
        <v>2024</v>
      </c>
      <c r="Q924" t="str">
        <f t="shared" si="72"/>
        <v>OK</v>
      </c>
      <c r="R924">
        <v>1</v>
      </c>
      <c r="S924">
        <f t="shared" si="73"/>
        <v>0</v>
      </c>
      <c r="T924">
        <f t="shared" si="74"/>
        <v>0</v>
      </c>
    </row>
    <row r="925" spans="1:20">
      <c r="A925" t="s">
        <v>3382</v>
      </c>
      <c r="B925" s="3">
        <v>44968</v>
      </c>
      <c r="C925" t="s">
        <v>3383</v>
      </c>
      <c r="D925" t="s">
        <v>54</v>
      </c>
      <c r="E925">
        <v>3</v>
      </c>
      <c r="F925" s="4">
        <v>649.92999999999995</v>
      </c>
      <c r="G925" t="s">
        <v>3363</v>
      </c>
      <c r="H925" t="s">
        <v>40</v>
      </c>
      <c r="I925" t="s">
        <v>95</v>
      </c>
      <c r="J925" t="s">
        <v>3384</v>
      </c>
      <c r="K925">
        <v>7</v>
      </c>
      <c r="L925" t="s">
        <v>87</v>
      </c>
      <c r="M925" t="s">
        <v>51</v>
      </c>
      <c r="N925" s="4">
        <v>1949.79</v>
      </c>
      <c r="O925" s="19" t="str">
        <f t="shared" si="70"/>
        <v>Feb-2023</v>
      </c>
      <c r="P925">
        <f t="shared" si="71"/>
        <v>2023</v>
      </c>
      <c r="Q925" t="str">
        <f t="shared" si="72"/>
        <v>OK</v>
      </c>
      <c r="R925">
        <v>1</v>
      </c>
      <c r="S925">
        <f t="shared" si="73"/>
        <v>0</v>
      </c>
      <c r="T925">
        <f t="shared" si="74"/>
        <v>0</v>
      </c>
    </row>
    <row r="926" spans="1:20">
      <c r="A926" t="s">
        <v>3385</v>
      </c>
      <c r="B926" s="3">
        <v>45738</v>
      </c>
      <c r="C926" t="s">
        <v>3386</v>
      </c>
      <c r="D926" t="s">
        <v>54</v>
      </c>
      <c r="E926">
        <v>5</v>
      </c>
      <c r="F926" s="4">
        <v>268.43</v>
      </c>
      <c r="G926" t="s">
        <v>2002</v>
      </c>
      <c r="H926" t="s">
        <v>71</v>
      </c>
      <c r="I926" t="s">
        <v>49</v>
      </c>
      <c r="J926" t="s">
        <v>3387</v>
      </c>
      <c r="K926">
        <v>5</v>
      </c>
      <c r="L926" t="s">
        <v>27</v>
      </c>
      <c r="M926" t="s">
        <v>44</v>
      </c>
      <c r="N926" s="4">
        <v>1342.15</v>
      </c>
      <c r="O926" s="19" t="str">
        <f t="shared" si="70"/>
        <v>Mar-2025</v>
      </c>
      <c r="P926">
        <f t="shared" si="71"/>
        <v>2025</v>
      </c>
      <c r="Q926" t="str">
        <f t="shared" si="72"/>
        <v>OK</v>
      </c>
      <c r="R926">
        <v>1</v>
      </c>
      <c r="S926">
        <f t="shared" si="73"/>
        <v>0</v>
      </c>
      <c r="T926">
        <f t="shared" si="74"/>
        <v>1</v>
      </c>
    </row>
    <row r="927" spans="1:20">
      <c r="A927" t="s">
        <v>3388</v>
      </c>
      <c r="B927" s="3">
        <v>45646</v>
      </c>
      <c r="C927" t="s">
        <v>3389</v>
      </c>
      <c r="D927" t="s">
        <v>22</v>
      </c>
      <c r="E927">
        <v>5</v>
      </c>
      <c r="F927" s="4">
        <v>502.47</v>
      </c>
      <c r="G927" t="s">
        <v>1570</v>
      </c>
      <c r="H927" t="s">
        <v>33</v>
      </c>
      <c r="I927" t="s">
        <v>25</v>
      </c>
      <c r="J927" t="s">
        <v>3390</v>
      </c>
      <c r="K927">
        <v>10</v>
      </c>
      <c r="L927" t="s">
        <v>87</v>
      </c>
      <c r="M927" t="s">
        <v>44</v>
      </c>
      <c r="N927" s="4">
        <v>2512.35</v>
      </c>
      <c r="O927" s="19" t="str">
        <f t="shared" si="70"/>
        <v>Dec-2024</v>
      </c>
      <c r="P927">
        <f t="shared" si="71"/>
        <v>2024</v>
      </c>
      <c r="Q927" t="str">
        <f t="shared" si="72"/>
        <v>OK</v>
      </c>
      <c r="R927">
        <v>1</v>
      </c>
      <c r="S927">
        <f t="shared" si="73"/>
        <v>0</v>
      </c>
      <c r="T927">
        <f t="shared" si="74"/>
        <v>0</v>
      </c>
    </row>
    <row r="928" spans="1:20">
      <c r="A928" t="s">
        <v>3391</v>
      </c>
      <c r="B928" s="3">
        <v>45371</v>
      </c>
      <c r="C928" t="s">
        <v>3392</v>
      </c>
      <c r="D928" t="s">
        <v>79</v>
      </c>
      <c r="E928">
        <v>1</v>
      </c>
      <c r="F928" s="4">
        <v>26.95</v>
      </c>
      <c r="G928" t="s">
        <v>1821</v>
      </c>
      <c r="H928" t="s">
        <v>71</v>
      </c>
      <c r="I928" t="s">
        <v>56</v>
      </c>
      <c r="J928" t="s">
        <v>3393</v>
      </c>
      <c r="K928">
        <v>1</v>
      </c>
      <c r="L928" t="s">
        <v>87</v>
      </c>
      <c r="M928" t="s">
        <v>44</v>
      </c>
      <c r="N928" s="4">
        <v>26.95</v>
      </c>
      <c r="O928" s="19" t="str">
        <f t="shared" si="70"/>
        <v>Mar-2024</v>
      </c>
      <c r="P928">
        <f t="shared" si="71"/>
        <v>2024</v>
      </c>
      <c r="Q928" t="str">
        <f t="shared" si="72"/>
        <v>OK</v>
      </c>
      <c r="R928">
        <v>1</v>
      </c>
      <c r="S928">
        <f t="shared" si="73"/>
        <v>0</v>
      </c>
      <c r="T928">
        <f t="shared" si="74"/>
        <v>0</v>
      </c>
    </row>
    <row r="929" spans="1:20">
      <c r="A929" t="s">
        <v>3394</v>
      </c>
      <c r="B929" s="3">
        <v>44971</v>
      </c>
      <c r="C929" t="s">
        <v>3395</v>
      </c>
      <c r="D929" t="s">
        <v>64</v>
      </c>
      <c r="E929">
        <v>4</v>
      </c>
      <c r="F929" s="4">
        <v>64.69</v>
      </c>
      <c r="G929" t="s">
        <v>2563</v>
      </c>
      <c r="H929" t="s">
        <v>24</v>
      </c>
      <c r="I929" t="s">
        <v>25</v>
      </c>
      <c r="J929" t="s">
        <v>3396</v>
      </c>
      <c r="K929">
        <v>7</v>
      </c>
      <c r="L929" t="s">
        <v>87</v>
      </c>
      <c r="M929" t="s">
        <v>82</v>
      </c>
      <c r="N929" s="4">
        <v>258.76</v>
      </c>
      <c r="O929" s="19" t="str">
        <f t="shared" si="70"/>
        <v>Feb-2023</v>
      </c>
      <c r="P929">
        <f t="shared" si="71"/>
        <v>2023</v>
      </c>
      <c r="Q929" t="str">
        <f t="shared" si="72"/>
        <v>OK</v>
      </c>
      <c r="R929">
        <v>1</v>
      </c>
      <c r="S929">
        <f t="shared" si="73"/>
        <v>0</v>
      </c>
      <c r="T929">
        <f t="shared" si="74"/>
        <v>0</v>
      </c>
    </row>
    <row r="930" spans="1:20">
      <c r="A930" t="s">
        <v>3397</v>
      </c>
      <c r="B930" s="3">
        <v>45421</v>
      </c>
      <c r="C930" t="s">
        <v>3398</v>
      </c>
      <c r="D930" t="s">
        <v>64</v>
      </c>
      <c r="E930">
        <v>3</v>
      </c>
      <c r="F930" s="4">
        <v>247.11</v>
      </c>
      <c r="G930" t="s">
        <v>1021</v>
      </c>
      <c r="H930" t="s">
        <v>24</v>
      </c>
      <c r="I930" t="s">
        <v>49</v>
      </c>
      <c r="J930" t="s">
        <v>3399</v>
      </c>
      <c r="K930">
        <v>3</v>
      </c>
      <c r="L930" t="s">
        <v>87</v>
      </c>
      <c r="M930" t="s">
        <v>35</v>
      </c>
      <c r="N930" s="4">
        <v>741.33</v>
      </c>
      <c r="O930" s="19" t="str">
        <f t="shared" si="70"/>
        <v>May-2024</v>
      </c>
      <c r="P930">
        <f t="shared" si="71"/>
        <v>2024</v>
      </c>
      <c r="Q930" t="str">
        <f t="shared" si="72"/>
        <v>OK</v>
      </c>
      <c r="R930">
        <v>1</v>
      </c>
      <c r="S930">
        <f t="shared" si="73"/>
        <v>0</v>
      </c>
      <c r="T930">
        <f t="shared" si="74"/>
        <v>1</v>
      </c>
    </row>
    <row r="931" spans="1:20">
      <c r="A931" t="s">
        <v>3400</v>
      </c>
      <c r="B931" s="3">
        <v>45581</v>
      </c>
      <c r="C931" t="s">
        <v>3401</v>
      </c>
      <c r="D931" t="s">
        <v>38</v>
      </c>
      <c r="E931">
        <v>2</v>
      </c>
      <c r="F931" s="4">
        <v>536.25</v>
      </c>
      <c r="G931" t="s">
        <v>733</v>
      </c>
      <c r="H931" t="s">
        <v>24</v>
      </c>
      <c r="I931" t="s">
        <v>95</v>
      </c>
      <c r="J931" t="s">
        <v>3402</v>
      </c>
      <c r="K931">
        <v>3</v>
      </c>
      <c r="M931" t="s">
        <v>44</v>
      </c>
      <c r="N931" s="4">
        <v>1072.5</v>
      </c>
      <c r="O931" s="19" t="str">
        <f t="shared" si="70"/>
        <v>Oct-2024</v>
      </c>
      <c r="P931">
        <f t="shared" si="71"/>
        <v>2024</v>
      </c>
      <c r="Q931" t="str">
        <f t="shared" si="72"/>
        <v>OK</v>
      </c>
      <c r="R931">
        <v>1</v>
      </c>
      <c r="S931">
        <f t="shared" si="73"/>
        <v>0</v>
      </c>
      <c r="T931">
        <f t="shared" si="74"/>
        <v>0</v>
      </c>
    </row>
    <row r="932" spans="1:20">
      <c r="A932" t="s">
        <v>3403</v>
      </c>
      <c r="B932" s="3">
        <v>45642</v>
      </c>
      <c r="C932" t="s">
        <v>3404</v>
      </c>
      <c r="D932" t="s">
        <v>31</v>
      </c>
      <c r="E932">
        <v>2</v>
      </c>
      <c r="F932" s="4">
        <v>456.04</v>
      </c>
      <c r="G932" t="s">
        <v>115</v>
      </c>
      <c r="H932" t="s">
        <v>24</v>
      </c>
      <c r="I932" t="s">
        <v>49</v>
      </c>
      <c r="J932" t="s">
        <v>3405</v>
      </c>
      <c r="K932">
        <v>4</v>
      </c>
      <c r="L932" t="s">
        <v>43</v>
      </c>
      <c r="M932" t="s">
        <v>44</v>
      </c>
      <c r="N932" s="4">
        <v>912.08</v>
      </c>
      <c r="O932" s="19" t="str">
        <f t="shared" si="70"/>
        <v>Dec-2024</v>
      </c>
      <c r="P932">
        <f t="shared" si="71"/>
        <v>2024</v>
      </c>
      <c r="Q932" t="str">
        <f t="shared" si="72"/>
        <v>OK</v>
      </c>
      <c r="R932">
        <v>1</v>
      </c>
      <c r="S932">
        <f t="shared" si="73"/>
        <v>0</v>
      </c>
      <c r="T932">
        <f t="shared" si="74"/>
        <v>1</v>
      </c>
    </row>
    <row r="933" spans="1:20">
      <c r="A933" t="s">
        <v>3406</v>
      </c>
      <c r="B933" s="3">
        <v>45292</v>
      </c>
      <c r="C933" t="s">
        <v>3407</v>
      </c>
      <c r="D933" t="s">
        <v>54</v>
      </c>
      <c r="E933">
        <v>2</v>
      </c>
      <c r="F933" s="4">
        <v>40.229999999999997</v>
      </c>
      <c r="G933" t="s">
        <v>259</v>
      </c>
      <c r="H933" t="s">
        <v>40</v>
      </c>
      <c r="I933" t="s">
        <v>41</v>
      </c>
      <c r="J933" t="s">
        <v>3408</v>
      </c>
      <c r="K933">
        <v>4</v>
      </c>
      <c r="L933" t="s">
        <v>27</v>
      </c>
      <c r="M933" t="s">
        <v>82</v>
      </c>
      <c r="N933" s="4">
        <v>80.459999999999994</v>
      </c>
      <c r="O933" s="19" t="str">
        <f t="shared" si="70"/>
        <v>Jan-2024</v>
      </c>
      <c r="P933">
        <f t="shared" si="71"/>
        <v>2024</v>
      </c>
      <c r="Q933" t="str">
        <f t="shared" si="72"/>
        <v>OK</v>
      </c>
      <c r="R933">
        <v>1</v>
      </c>
      <c r="S933">
        <f t="shared" si="73"/>
        <v>1</v>
      </c>
      <c r="T933">
        <f t="shared" si="74"/>
        <v>0</v>
      </c>
    </row>
    <row r="934" spans="1:20">
      <c r="A934" t="s">
        <v>3409</v>
      </c>
      <c r="B934" s="3">
        <v>45011</v>
      </c>
      <c r="C934" t="s">
        <v>3410</v>
      </c>
      <c r="D934" t="s">
        <v>64</v>
      </c>
      <c r="E934">
        <v>2</v>
      </c>
      <c r="F934" s="4">
        <v>72.39</v>
      </c>
      <c r="G934" t="s">
        <v>3411</v>
      </c>
      <c r="H934" t="s">
        <v>33</v>
      </c>
      <c r="I934" t="s">
        <v>56</v>
      </c>
      <c r="J934" t="s">
        <v>3412</v>
      </c>
      <c r="K934">
        <v>7</v>
      </c>
      <c r="L934" t="s">
        <v>87</v>
      </c>
      <c r="M934" t="s">
        <v>28</v>
      </c>
      <c r="N934" s="4">
        <v>144.78</v>
      </c>
      <c r="O934" s="19" t="str">
        <f t="shared" si="70"/>
        <v>Mar-2023</v>
      </c>
      <c r="P934">
        <f t="shared" si="71"/>
        <v>2023</v>
      </c>
      <c r="Q934" t="str">
        <f t="shared" si="72"/>
        <v>OK</v>
      </c>
      <c r="R934">
        <v>1</v>
      </c>
      <c r="S934">
        <f t="shared" si="73"/>
        <v>0</v>
      </c>
      <c r="T934">
        <f t="shared" si="74"/>
        <v>0</v>
      </c>
    </row>
    <row r="935" spans="1:20">
      <c r="A935" t="s">
        <v>3413</v>
      </c>
      <c r="B935" s="3">
        <v>44952</v>
      </c>
      <c r="C935" t="s">
        <v>3414</v>
      </c>
      <c r="D935" t="s">
        <v>22</v>
      </c>
      <c r="E935">
        <v>2</v>
      </c>
      <c r="F935" s="4">
        <v>394.16</v>
      </c>
      <c r="G935" t="s">
        <v>974</v>
      </c>
      <c r="H935" t="s">
        <v>33</v>
      </c>
      <c r="I935" t="s">
        <v>25</v>
      </c>
      <c r="J935" t="s">
        <v>3415</v>
      </c>
      <c r="K935">
        <v>2</v>
      </c>
      <c r="M935" t="s">
        <v>35</v>
      </c>
      <c r="N935" s="4">
        <v>788.32</v>
      </c>
      <c r="O935" s="19" t="str">
        <f t="shared" si="70"/>
        <v>Jan-2023</v>
      </c>
      <c r="P935">
        <f t="shared" si="71"/>
        <v>2023</v>
      </c>
      <c r="Q935" t="str">
        <f t="shared" si="72"/>
        <v>OK</v>
      </c>
      <c r="R935">
        <v>1</v>
      </c>
      <c r="S935">
        <f t="shared" si="73"/>
        <v>0</v>
      </c>
      <c r="T935">
        <f t="shared" si="74"/>
        <v>0</v>
      </c>
    </row>
    <row r="936" spans="1:20">
      <c r="A936" t="s">
        <v>3416</v>
      </c>
      <c r="B936" s="3">
        <v>45809</v>
      </c>
      <c r="C936" t="s">
        <v>3417</v>
      </c>
      <c r="D936" t="s">
        <v>64</v>
      </c>
      <c r="E936">
        <v>4</v>
      </c>
      <c r="F936" s="4">
        <v>119.84</v>
      </c>
      <c r="G936" t="s">
        <v>916</v>
      </c>
      <c r="H936" t="s">
        <v>66</v>
      </c>
      <c r="I936" t="s">
        <v>25</v>
      </c>
      <c r="J936" t="s">
        <v>3418</v>
      </c>
      <c r="K936">
        <v>8</v>
      </c>
      <c r="L936" t="s">
        <v>43</v>
      </c>
      <c r="M936" t="s">
        <v>35</v>
      </c>
      <c r="N936" s="4">
        <v>479.36</v>
      </c>
      <c r="O936" s="19" t="str">
        <f t="shared" si="70"/>
        <v>Jun-2025</v>
      </c>
      <c r="P936">
        <f t="shared" si="71"/>
        <v>2025</v>
      </c>
      <c r="Q936" t="str">
        <f t="shared" si="72"/>
        <v>OK</v>
      </c>
      <c r="R936">
        <v>1</v>
      </c>
      <c r="S936">
        <f t="shared" si="73"/>
        <v>0</v>
      </c>
      <c r="T936">
        <f t="shared" si="74"/>
        <v>0</v>
      </c>
    </row>
    <row r="937" spans="1:20">
      <c r="A937" t="s">
        <v>3419</v>
      </c>
      <c r="B937" s="3">
        <v>45254</v>
      </c>
      <c r="C937" t="s">
        <v>3420</v>
      </c>
      <c r="D937" t="s">
        <v>31</v>
      </c>
      <c r="E937">
        <v>3</v>
      </c>
      <c r="F937" s="4">
        <v>692.71</v>
      </c>
      <c r="G937" t="s">
        <v>1346</v>
      </c>
      <c r="H937" t="s">
        <v>40</v>
      </c>
      <c r="I937" t="s">
        <v>56</v>
      </c>
      <c r="J937" t="s">
        <v>3421</v>
      </c>
      <c r="K937">
        <v>3</v>
      </c>
      <c r="L937" t="s">
        <v>43</v>
      </c>
      <c r="M937" t="s">
        <v>28</v>
      </c>
      <c r="N937" s="4">
        <v>2078.13</v>
      </c>
      <c r="O937" s="19" t="str">
        <f t="shared" si="70"/>
        <v>Nov-2023</v>
      </c>
      <c r="P937">
        <f t="shared" si="71"/>
        <v>2023</v>
      </c>
      <c r="Q937" t="str">
        <f t="shared" si="72"/>
        <v>OK</v>
      </c>
      <c r="R937">
        <v>1</v>
      </c>
      <c r="S937">
        <f t="shared" si="73"/>
        <v>0</v>
      </c>
      <c r="T937">
        <f t="shared" si="74"/>
        <v>0</v>
      </c>
    </row>
    <row r="938" spans="1:20">
      <c r="A938" t="s">
        <v>3422</v>
      </c>
      <c r="B938" s="3">
        <v>45303</v>
      </c>
      <c r="C938" t="s">
        <v>3423</v>
      </c>
      <c r="D938" t="s">
        <v>47</v>
      </c>
      <c r="E938">
        <v>4</v>
      </c>
      <c r="F938" s="4">
        <v>56.66</v>
      </c>
      <c r="G938" t="s">
        <v>665</v>
      </c>
      <c r="H938" t="s">
        <v>33</v>
      </c>
      <c r="I938" t="s">
        <v>56</v>
      </c>
      <c r="J938" t="s">
        <v>3424</v>
      </c>
      <c r="K938">
        <v>4</v>
      </c>
      <c r="L938" t="s">
        <v>27</v>
      </c>
      <c r="M938" t="s">
        <v>28</v>
      </c>
      <c r="N938" s="4">
        <v>226.64</v>
      </c>
      <c r="O938" s="19" t="str">
        <f t="shared" si="70"/>
        <v>Jan-2024</v>
      </c>
      <c r="P938">
        <f t="shared" si="71"/>
        <v>2024</v>
      </c>
      <c r="Q938" t="str">
        <f t="shared" si="72"/>
        <v>OK</v>
      </c>
      <c r="R938">
        <v>1</v>
      </c>
      <c r="S938">
        <f t="shared" si="73"/>
        <v>0</v>
      </c>
      <c r="T938">
        <f t="shared" si="74"/>
        <v>0</v>
      </c>
    </row>
    <row r="939" spans="1:20">
      <c r="A939" t="s">
        <v>3425</v>
      </c>
      <c r="B939" s="3">
        <v>45307</v>
      </c>
      <c r="C939" t="s">
        <v>3426</v>
      </c>
      <c r="D939" t="s">
        <v>47</v>
      </c>
      <c r="E939">
        <v>2</v>
      </c>
      <c r="F939" s="4">
        <v>298.52999999999997</v>
      </c>
      <c r="G939" t="s">
        <v>1596</v>
      </c>
      <c r="H939" t="s">
        <v>24</v>
      </c>
      <c r="I939" t="s">
        <v>41</v>
      </c>
      <c r="J939" t="s">
        <v>3427</v>
      </c>
      <c r="K939">
        <v>5</v>
      </c>
      <c r="L939" t="s">
        <v>87</v>
      </c>
      <c r="M939" t="s">
        <v>44</v>
      </c>
      <c r="N939" s="4">
        <v>597.05999999999995</v>
      </c>
      <c r="O939" s="19" t="str">
        <f t="shared" si="70"/>
        <v>Jan-2024</v>
      </c>
      <c r="P939">
        <f t="shared" si="71"/>
        <v>2024</v>
      </c>
      <c r="Q939" t="str">
        <f t="shared" si="72"/>
        <v>OK</v>
      </c>
      <c r="R939">
        <v>1</v>
      </c>
      <c r="S939">
        <f t="shared" si="73"/>
        <v>1</v>
      </c>
      <c r="T939">
        <f t="shared" si="74"/>
        <v>0</v>
      </c>
    </row>
    <row r="940" spans="1:20">
      <c r="A940" t="s">
        <v>3428</v>
      </c>
      <c r="B940" s="3">
        <v>45119</v>
      </c>
      <c r="C940" t="s">
        <v>3429</v>
      </c>
      <c r="D940" t="s">
        <v>47</v>
      </c>
      <c r="E940">
        <v>3</v>
      </c>
      <c r="F940" s="4">
        <v>331.46</v>
      </c>
      <c r="G940" t="s">
        <v>1951</v>
      </c>
      <c r="H940" t="s">
        <v>40</v>
      </c>
      <c r="I940" t="s">
        <v>41</v>
      </c>
      <c r="J940" t="s">
        <v>3430</v>
      </c>
      <c r="K940">
        <v>6</v>
      </c>
      <c r="L940" t="s">
        <v>87</v>
      </c>
      <c r="M940" t="s">
        <v>35</v>
      </c>
      <c r="N940" s="4">
        <v>994.37999999999988</v>
      </c>
      <c r="O940" s="19" t="str">
        <f t="shared" si="70"/>
        <v>Jul-2023</v>
      </c>
      <c r="P940">
        <f t="shared" si="71"/>
        <v>2023</v>
      </c>
      <c r="Q940" t="str">
        <f t="shared" si="72"/>
        <v>OK</v>
      </c>
      <c r="R940">
        <v>1</v>
      </c>
      <c r="S940">
        <f t="shared" si="73"/>
        <v>1</v>
      </c>
      <c r="T940">
        <f t="shared" si="74"/>
        <v>0</v>
      </c>
    </row>
    <row r="941" spans="1:20">
      <c r="A941" t="s">
        <v>3431</v>
      </c>
      <c r="B941" s="3">
        <v>45763</v>
      </c>
      <c r="C941" t="s">
        <v>3432</v>
      </c>
      <c r="D941" t="s">
        <v>64</v>
      </c>
      <c r="E941">
        <v>2</v>
      </c>
      <c r="F941" s="4">
        <v>521.4</v>
      </c>
      <c r="G941" t="s">
        <v>3433</v>
      </c>
      <c r="H941" t="s">
        <v>71</v>
      </c>
      <c r="I941" t="s">
        <v>56</v>
      </c>
      <c r="J941" t="s">
        <v>3434</v>
      </c>
      <c r="K941">
        <v>7</v>
      </c>
      <c r="L941" t="s">
        <v>27</v>
      </c>
      <c r="M941" t="s">
        <v>28</v>
      </c>
      <c r="N941" s="4">
        <v>1042.8</v>
      </c>
      <c r="O941" s="19" t="str">
        <f t="shared" si="70"/>
        <v>Apr-2025</v>
      </c>
      <c r="P941">
        <f t="shared" si="71"/>
        <v>2025</v>
      </c>
      <c r="Q941" t="str">
        <f t="shared" si="72"/>
        <v>OK</v>
      </c>
      <c r="R941">
        <v>1</v>
      </c>
      <c r="S941">
        <f t="shared" si="73"/>
        <v>0</v>
      </c>
      <c r="T941">
        <f t="shared" si="74"/>
        <v>0</v>
      </c>
    </row>
    <row r="942" spans="1:20">
      <c r="A942" t="s">
        <v>3435</v>
      </c>
      <c r="B942" s="3">
        <v>45012</v>
      </c>
      <c r="C942" t="s">
        <v>3436</v>
      </c>
      <c r="D942" t="s">
        <v>54</v>
      </c>
      <c r="E942">
        <v>4</v>
      </c>
      <c r="F942" s="4">
        <v>305.32</v>
      </c>
      <c r="G942" t="s">
        <v>3437</v>
      </c>
      <c r="H942" t="s">
        <v>33</v>
      </c>
      <c r="I942" t="s">
        <v>41</v>
      </c>
      <c r="J942" t="s">
        <v>3438</v>
      </c>
      <c r="K942">
        <v>4</v>
      </c>
      <c r="L942" t="s">
        <v>27</v>
      </c>
      <c r="M942" t="s">
        <v>82</v>
      </c>
      <c r="N942" s="4">
        <v>1221.28</v>
      </c>
      <c r="O942" s="19" t="str">
        <f t="shared" si="70"/>
        <v>Mar-2023</v>
      </c>
      <c r="P942">
        <f t="shared" si="71"/>
        <v>2023</v>
      </c>
      <c r="Q942" t="str">
        <f t="shared" si="72"/>
        <v>OK</v>
      </c>
      <c r="R942">
        <v>1</v>
      </c>
      <c r="S942">
        <f t="shared" si="73"/>
        <v>1</v>
      </c>
      <c r="T942">
        <f t="shared" si="74"/>
        <v>0</v>
      </c>
    </row>
    <row r="943" spans="1:20">
      <c r="A943" t="s">
        <v>3439</v>
      </c>
      <c r="B943" s="3">
        <v>45124</v>
      </c>
      <c r="C943" t="s">
        <v>1706</v>
      </c>
      <c r="D943" t="s">
        <v>54</v>
      </c>
      <c r="E943">
        <v>5</v>
      </c>
      <c r="F943" s="4">
        <v>111.7</v>
      </c>
      <c r="G943" t="s">
        <v>1338</v>
      </c>
      <c r="H943" t="s">
        <v>40</v>
      </c>
      <c r="I943" t="s">
        <v>41</v>
      </c>
      <c r="J943" t="s">
        <v>3440</v>
      </c>
      <c r="K943">
        <v>9</v>
      </c>
      <c r="L943" t="s">
        <v>43</v>
      </c>
      <c r="M943" t="s">
        <v>44</v>
      </c>
      <c r="N943" s="4">
        <v>558.5</v>
      </c>
      <c r="O943" s="19" t="str">
        <f t="shared" si="70"/>
        <v>Jul-2023</v>
      </c>
      <c r="P943">
        <f t="shared" si="71"/>
        <v>2023</v>
      </c>
      <c r="Q943" t="str">
        <f t="shared" si="72"/>
        <v>OK</v>
      </c>
      <c r="R943">
        <v>1</v>
      </c>
      <c r="S943">
        <f t="shared" si="73"/>
        <v>1</v>
      </c>
      <c r="T943">
        <f t="shared" si="74"/>
        <v>0</v>
      </c>
    </row>
    <row r="944" spans="1:20">
      <c r="A944" t="s">
        <v>3441</v>
      </c>
      <c r="B944" s="3">
        <v>45198</v>
      </c>
      <c r="C944" t="s">
        <v>3442</v>
      </c>
      <c r="D944" t="s">
        <v>38</v>
      </c>
      <c r="E944">
        <v>1</v>
      </c>
      <c r="F944" s="4">
        <v>479.76</v>
      </c>
      <c r="G944" t="s">
        <v>890</v>
      </c>
      <c r="H944" t="s">
        <v>40</v>
      </c>
      <c r="I944" t="s">
        <v>95</v>
      </c>
      <c r="J944" t="s">
        <v>3443</v>
      </c>
      <c r="K944">
        <v>1</v>
      </c>
      <c r="M944" t="s">
        <v>44</v>
      </c>
      <c r="N944" s="4">
        <v>479.76</v>
      </c>
      <c r="O944" s="19" t="str">
        <f t="shared" si="70"/>
        <v>Sep-2023</v>
      </c>
      <c r="P944">
        <f t="shared" si="71"/>
        <v>2023</v>
      </c>
      <c r="Q944" t="str">
        <f t="shared" si="72"/>
        <v>OK</v>
      </c>
      <c r="R944">
        <v>1</v>
      </c>
      <c r="S944">
        <f t="shared" si="73"/>
        <v>0</v>
      </c>
      <c r="T944">
        <f t="shared" si="74"/>
        <v>0</v>
      </c>
    </row>
    <row r="945" spans="1:20">
      <c r="A945" t="s">
        <v>3444</v>
      </c>
      <c r="B945" s="3">
        <v>45287</v>
      </c>
      <c r="C945" t="s">
        <v>3445</v>
      </c>
      <c r="D945" t="s">
        <v>22</v>
      </c>
      <c r="E945">
        <v>3</v>
      </c>
      <c r="F945" s="4">
        <v>193.49</v>
      </c>
      <c r="G945" t="s">
        <v>3446</v>
      </c>
      <c r="H945" t="s">
        <v>66</v>
      </c>
      <c r="I945" t="s">
        <v>49</v>
      </c>
      <c r="J945" t="s">
        <v>3447</v>
      </c>
      <c r="K945">
        <v>6</v>
      </c>
      <c r="L945" t="s">
        <v>43</v>
      </c>
      <c r="M945" t="s">
        <v>51</v>
      </c>
      <c r="N945" s="4">
        <v>580.47</v>
      </c>
      <c r="O945" s="19" t="str">
        <f t="shared" si="70"/>
        <v>Dec-2023</v>
      </c>
      <c r="P945">
        <f t="shared" si="71"/>
        <v>2023</v>
      </c>
      <c r="Q945" t="str">
        <f t="shared" si="72"/>
        <v>OK</v>
      </c>
      <c r="R945">
        <v>1</v>
      </c>
      <c r="S945">
        <f t="shared" si="73"/>
        <v>0</v>
      </c>
      <c r="T945">
        <f t="shared" si="74"/>
        <v>1</v>
      </c>
    </row>
    <row r="946" spans="1:20">
      <c r="A946" t="s">
        <v>3448</v>
      </c>
      <c r="B946" s="3">
        <v>45642</v>
      </c>
      <c r="C946" t="s">
        <v>3449</v>
      </c>
      <c r="D946" t="s">
        <v>64</v>
      </c>
      <c r="E946">
        <v>2</v>
      </c>
      <c r="F946" s="4">
        <v>426.22</v>
      </c>
      <c r="G946" t="s">
        <v>3216</v>
      </c>
      <c r="H946" t="s">
        <v>33</v>
      </c>
      <c r="I946" t="s">
        <v>56</v>
      </c>
      <c r="J946" t="s">
        <v>3450</v>
      </c>
      <c r="K946">
        <v>7</v>
      </c>
      <c r="L946" t="s">
        <v>87</v>
      </c>
      <c r="M946" t="s">
        <v>82</v>
      </c>
      <c r="N946" s="4">
        <v>852.44</v>
      </c>
      <c r="O946" s="19" t="str">
        <f t="shared" si="70"/>
        <v>Dec-2024</v>
      </c>
      <c r="P946">
        <f t="shared" si="71"/>
        <v>2024</v>
      </c>
      <c r="Q946" t="str">
        <f t="shared" si="72"/>
        <v>OK</v>
      </c>
      <c r="R946">
        <v>1</v>
      </c>
      <c r="S946">
        <f t="shared" si="73"/>
        <v>0</v>
      </c>
      <c r="T946">
        <f t="shared" si="74"/>
        <v>0</v>
      </c>
    </row>
    <row r="947" spans="1:20">
      <c r="A947" t="s">
        <v>3451</v>
      </c>
      <c r="B947" s="3">
        <v>45158</v>
      </c>
      <c r="C947" t="s">
        <v>3452</v>
      </c>
      <c r="D947" t="s">
        <v>38</v>
      </c>
      <c r="E947">
        <v>5</v>
      </c>
      <c r="F947" s="4">
        <v>276.44</v>
      </c>
      <c r="G947" t="s">
        <v>1358</v>
      </c>
      <c r="H947" t="s">
        <v>66</v>
      </c>
      <c r="I947" t="s">
        <v>25</v>
      </c>
      <c r="J947" t="s">
        <v>3453</v>
      </c>
      <c r="K947">
        <v>10</v>
      </c>
      <c r="L947" t="s">
        <v>43</v>
      </c>
      <c r="M947" t="s">
        <v>35</v>
      </c>
      <c r="N947" s="4">
        <v>1382.2</v>
      </c>
      <c r="O947" s="19" t="str">
        <f t="shared" si="70"/>
        <v>Aug-2023</v>
      </c>
      <c r="P947">
        <f t="shared" si="71"/>
        <v>2023</v>
      </c>
      <c r="Q947" t="str">
        <f t="shared" si="72"/>
        <v>OK</v>
      </c>
      <c r="R947">
        <v>1</v>
      </c>
      <c r="S947">
        <f t="shared" si="73"/>
        <v>0</v>
      </c>
      <c r="T947">
        <f t="shared" si="74"/>
        <v>0</v>
      </c>
    </row>
    <row r="948" spans="1:20">
      <c r="A948" t="s">
        <v>3454</v>
      </c>
      <c r="B948" s="3">
        <v>45416</v>
      </c>
      <c r="C948" t="s">
        <v>3455</v>
      </c>
      <c r="D948" t="s">
        <v>31</v>
      </c>
      <c r="E948">
        <v>2</v>
      </c>
      <c r="F948" s="4">
        <v>404.96</v>
      </c>
      <c r="G948" t="s">
        <v>1305</v>
      </c>
      <c r="H948" t="s">
        <v>71</v>
      </c>
      <c r="I948" t="s">
        <v>25</v>
      </c>
      <c r="J948" t="s">
        <v>3456</v>
      </c>
      <c r="K948">
        <v>4</v>
      </c>
      <c r="L948" t="s">
        <v>27</v>
      </c>
      <c r="M948" t="s">
        <v>44</v>
      </c>
      <c r="N948" s="4">
        <v>809.92</v>
      </c>
      <c r="O948" s="19" t="str">
        <f t="shared" si="70"/>
        <v>May-2024</v>
      </c>
      <c r="P948">
        <f t="shared" si="71"/>
        <v>2024</v>
      </c>
      <c r="Q948" t="str">
        <f t="shared" si="72"/>
        <v>OK</v>
      </c>
      <c r="R948">
        <v>1</v>
      </c>
      <c r="S948">
        <f t="shared" si="73"/>
        <v>0</v>
      </c>
      <c r="T948">
        <f t="shared" si="74"/>
        <v>0</v>
      </c>
    </row>
    <row r="949" spans="1:20">
      <c r="A949" t="s">
        <v>3457</v>
      </c>
      <c r="B949" s="3">
        <v>45176</v>
      </c>
      <c r="C949" t="s">
        <v>3458</v>
      </c>
      <c r="D949" t="s">
        <v>31</v>
      </c>
      <c r="E949">
        <v>4</v>
      </c>
      <c r="F949" s="4">
        <v>465.66</v>
      </c>
      <c r="G949" t="s">
        <v>1095</v>
      </c>
      <c r="H949" t="s">
        <v>33</v>
      </c>
      <c r="I949" t="s">
        <v>49</v>
      </c>
      <c r="J949" t="s">
        <v>3459</v>
      </c>
      <c r="K949">
        <v>9</v>
      </c>
      <c r="L949" t="s">
        <v>43</v>
      </c>
      <c r="M949" t="s">
        <v>44</v>
      </c>
      <c r="N949" s="4">
        <v>1862.64</v>
      </c>
      <c r="O949" s="19" t="str">
        <f t="shared" si="70"/>
        <v>Sep-2023</v>
      </c>
      <c r="P949">
        <f t="shared" si="71"/>
        <v>2023</v>
      </c>
      <c r="Q949" t="str">
        <f t="shared" si="72"/>
        <v>OK</v>
      </c>
      <c r="R949">
        <v>1</v>
      </c>
      <c r="S949">
        <f t="shared" si="73"/>
        <v>0</v>
      </c>
      <c r="T949">
        <f t="shared" si="74"/>
        <v>1</v>
      </c>
    </row>
    <row r="950" spans="1:20">
      <c r="A950" t="s">
        <v>3460</v>
      </c>
      <c r="B950" s="3">
        <v>45464</v>
      </c>
      <c r="C950" t="s">
        <v>1728</v>
      </c>
      <c r="D950" t="s">
        <v>31</v>
      </c>
      <c r="E950">
        <v>2</v>
      </c>
      <c r="F950" s="4">
        <v>594.07000000000005</v>
      </c>
      <c r="G950" t="s">
        <v>1800</v>
      </c>
      <c r="H950" t="s">
        <v>66</v>
      </c>
      <c r="I950" t="s">
        <v>41</v>
      </c>
      <c r="J950" t="s">
        <v>3461</v>
      </c>
      <c r="K950">
        <v>2</v>
      </c>
      <c r="M950" t="s">
        <v>82</v>
      </c>
      <c r="N950" s="4">
        <v>1188.1400000000001</v>
      </c>
      <c r="O950" s="19" t="str">
        <f t="shared" si="70"/>
        <v>Jun-2024</v>
      </c>
      <c r="P950">
        <f t="shared" si="71"/>
        <v>2024</v>
      </c>
      <c r="Q950" t="str">
        <f t="shared" si="72"/>
        <v>OK</v>
      </c>
      <c r="R950">
        <v>1</v>
      </c>
      <c r="S950">
        <f t="shared" si="73"/>
        <v>1</v>
      </c>
      <c r="T950">
        <f t="shared" si="74"/>
        <v>0</v>
      </c>
    </row>
    <row r="951" spans="1:20">
      <c r="A951" t="s">
        <v>3462</v>
      </c>
      <c r="B951" s="3">
        <v>45239</v>
      </c>
      <c r="C951" t="s">
        <v>3463</v>
      </c>
      <c r="D951" t="s">
        <v>79</v>
      </c>
      <c r="E951">
        <v>5</v>
      </c>
      <c r="F951" s="4">
        <v>110.38</v>
      </c>
      <c r="G951" t="s">
        <v>1566</v>
      </c>
      <c r="H951" t="s">
        <v>71</v>
      </c>
      <c r="I951" t="s">
        <v>95</v>
      </c>
      <c r="J951" t="s">
        <v>3464</v>
      </c>
      <c r="K951">
        <v>10</v>
      </c>
      <c r="M951" t="s">
        <v>35</v>
      </c>
      <c r="N951" s="4">
        <v>551.9</v>
      </c>
      <c r="O951" s="19" t="str">
        <f t="shared" si="70"/>
        <v>Nov-2023</v>
      </c>
      <c r="P951">
        <f t="shared" si="71"/>
        <v>2023</v>
      </c>
      <c r="Q951" t="str">
        <f t="shared" si="72"/>
        <v>OK</v>
      </c>
      <c r="R951">
        <v>1</v>
      </c>
      <c r="S951">
        <f t="shared" si="73"/>
        <v>0</v>
      </c>
      <c r="T951">
        <f t="shared" si="74"/>
        <v>0</v>
      </c>
    </row>
    <row r="952" spans="1:20">
      <c r="A952" t="s">
        <v>3465</v>
      </c>
      <c r="B952" s="3">
        <v>45443</v>
      </c>
      <c r="C952" t="s">
        <v>3466</v>
      </c>
      <c r="D952" t="s">
        <v>64</v>
      </c>
      <c r="E952">
        <v>1</v>
      </c>
      <c r="F952" s="4">
        <v>596.24</v>
      </c>
      <c r="G952" t="s">
        <v>119</v>
      </c>
      <c r="H952" t="s">
        <v>40</v>
      </c>
      <c r="I952" t="s">
        <v>49</v>
      </c>
      <c r="J952" t="s">
        <v>3467</v>
      </c>
      <c r="K952">
        <v>4</v>
      </c>
      <c r="L952" t="s">
        <v>43</v>
      </c>
      <c r="M952" t="s">
        <v>28</v>
      </c>
      <c r="N952" s="4">
        <v>596.24</v>
      </c>
      <c r="O952" s="19" t="str">
        <f t="shared" si="70"/>
        <v>May-2024</v>
      </c>
      <c r="P952">
        <f t="shared" si="71"/>
        <v>2024</v>
      </c>
      <c r="Q952" t="str">
        <f t="shared" si="72"/>
        <v>OK</v>
      </c>
      <c r="R952">
        <v>1</v>
      </c>
      <c r="S952">
        <f t="shared" si="73"/>
        <v>0</v>
      </c>
      <c r="T952">
        <f t="shared" si="74"/>
        <v>1</v>
      </c>
    </row>
    <row r="953" spans="1:20">
      <c r="A953" t="s">
        <v>3468</v>
      </c>
      <c r="B953" s="3">
        <v>45495</v>
      </c>
      <c r="C953" t="s">
        <v>3469</v>
      </c>
      <c r="D953" t="s">
        <v>54</v>
      </c>
      <c r="E953">
        <v>2</v>
      </c>
      <c r="F953" s="4">
        <v>306.24</v>
      </c>
      <c r="G953" t="s">
        <v>1072</v>
      </c>
      <c r="H953" t="s">
        <v>33</v>
      </c>
      <c r="I953" t="s">
        <v>49</v>
      </c>
      <c r="J953" t="s">
        <v>3470</v>
      </c>
      <c r="K953">
        <v>4</v>
      </c>
      <c r="L953" t="s">
        <v>43</v>
      </c>
      <c r="M953" t="s">
        <v>44</v>
      </c>
      <c r="N953" s="4">
        <v>612.48</v>
      </c>
      <c r="O953" s="19" t="str">
        <f t="shared" si="70"/>
        <v>Jul-2024</v>
      </c>
      <c r="P953">
        <f t="shared" si="71"/>
        <v>2024</v>
      </c>
      <c r="Q953" t="str">
        <f t="shared" si="72"/>
        <v>OK</v>
      </c>
      <c r="R953">
        <v>1</v>
      </c>
      <c r="S953">
        <f t="shared" si="73"/>
        <v>0</v>
      </c>
      <c r="T953">
        <f t="shared" si="74"/>
        <v>1</v>
      </c>
    </row>
    <row r="954" spans="1:20">
      <c r="A954" t="s">
        <v>3471</v>
      </c>
      <c r="B954" s="3">
        <v>45715</v>
      </c>
      <c r="C954" t="s">
        <v>3472</v>
      </c>
      <c r="D954" t="s">
        <v>22</v>
      </c>
      <c r="E954">
        <v>3</v>
      </c>
      <c r="F954" s="4">
        <v>503.39</v>
      </c>
      <c r="G954" t="s">
        <v>3473</v>
      </c>
      <c r="H954" t="s">
        <v>33</v>
      </c>
      <c r="I954" t="s">
        <v>95</v>
      </c>
      <c r="J954" t="s">
        <v>3474</v>
      </c>
      <c r="K954">
        <v>5</v>
      </c>
      <c r="M954" t="s">
        <v>51</v>
      </c>
      <c r="N954" s="4">
        <v>1510.17</v>
      </c>
      <c r="O954" s="19" t="str">
        <f t="shared" si="70"/>
        <v>Feb-2025</v>
      </c>
      <c r="P954">
        <f t="shared" si="71"/>
        <v>2025</v>
      </c>
      <c r="Q954" t="str">
        <f t="shared" si="72"/>
        <v>OK</v>
      </c>
      <c r="R954">
        <v>1</v>
      </c>
      <c r="S954">
        <f t="shared" si="73"/>
        <v>0</v>
      </c>
      <c r="T954">
        <f t="shared" si="74"/>
        <v>0</v>
      </c>
    </row>
    <row r="955" spans="1:20">
      <c r="A955" t="s">
        <v>3475</v>
      </c>
      <c r="B955" s="3">
        <v>44963</v>
      </c>
      <c r="C955" t="s">
        <v>3476</v>
      </c>
      <c r="D955" t="s">
        <v>31</v>
      </c>
      <c r="E955">
        <v>1</v>
      </c>
      <c r="F955" s="4">
        <v>131.61000000000001</v>
      </c>
      <c r="G955" t="s">
        <v>369</v>
      </c>
      <c r="H955" t="s">
        <v>71</v>
      </c>
      <c r="I955" t="s">
        <v>25</v>
      </c>
      <c r="J955" t="s">
        <v>3477</v>
      </c>
      <c r="K955">
        <v>2</v>
      </c>
      <c r="L955" t="s">
        <v>43</v>
      </c>
      <c r="M955" t="s">
        <v>51</v>
      </c>
      <c r="N955" s="4">
        <v>131.61000000000001</v>
      </c>
      <c r="O955" s="19" t="str">
        <f t="shared" si="70"/>
        <v>Feb-2023</v>
      </c>
      <c r="P955">
        <f t="shared" si="71"/>
        <v>2023</v>
      </c>
      <c r="Q955" t="str">
        <f t="shared" si="72"/>
        <v>OK</v>
      </c>
      <c r="R955">
        <v>1</v>
      </c>
      <c r="S955">
        <f t="shared" si="73"/>
        <v>0</v>
      </c>
      <c r="T955">
        <f t="shared" si="74"/>
        <v>0</v>
      </c>
    </row>
    <row r="956" spans="1:20">
      <c r="A956" t="s">
        <v>3478</v>
      </c>
      <c r="B956" s="3">
        <v>45587</v>
      </c>
      <c r="C956" t="s">
        <v>3479</v>
      </c>
      <c r="D956" t="s">
        <v>47</v>
      </c>
      <c r="E956">
        <v>3</v>
      </c>
      <c r="F956" s="4">
        <v>443.44</v>
      </c>
      <c r="G956" t="s">
        <v>673</v>
      </c>
      <c r="H956" t="s">
        <v>66</v>
      </c>
      <c r="I956" t="s">
        <v>25</v>
      </c>
      <c r="J956" t="s">
        <v>3480</v>
      </c>
      <c r="K956">
        <v>3</v>
      </c>
      <c r="L956" t="s">
        <v>43</v>
      </c>
      <c r="M956" t="s">
        <v>82</v>
      </c>
      <c r="N956" s="4">
        <v>1330.32</v>
      </c>
      <c r="O956" s="19" t="str">
        <f t="shared" si="70"/>
        <v>Oct-2024</v>
      </c>
      <c r="P956">
        <f t="shared" si="71"/>
        <v>2024</v>
      </c>
      <c r="Q956" t="str">
        <f t="shared" si="72"/>
        <v>OK</v>
      </c>
      <c r="R956">
        <v>1</v>
      </c>
      <c r="S956">
        <f t="shared" si="73"/>
        <v>0</v>
      </c>
      <c r="T956">
        <f t="shared" si="74"/>
        <v>0</v>
      </c>
    </row>
    <row r="957" spans="1:20">
      <c r="A957" t="s">
        <v>3481</v>
      </c>
      <c r="B957" s="3">
        <v>44949</v>
      </c>
      <c r="C957" t="s">
        <v>3482</v>
      </c>
      <c r="D957" t="s">
        <v>47</v>
      </c>
      <c r="E957">
        <v>1</v>
      </c>
      <c r="F957" s="4">
        <v>408.13</v>
      </c>
      <c r="G957" t="s">
        <v>998</v>
      </c>
      <c r="H957" t="s">
        <v>66</v>
      </c>
      <c r="I957" t="s">
        <v>25</v>
      </c>
      <c r="J957" t="s">
        <v>3483</v>
      </c>
      <c r="K957">
        <v>3</v>
      </c>
      <c r="L957" t="s">
        <v>87</v>
      </c>
      <c r="M957" t="s">
        <v>28</v>
      </c>
      <c r="N957" s="4">
        <v>408.13</v>
      </c>
      <c r="O957" s="19" t="str">
        <f t="shared" si="70"/>
        <v>Jan-2023</v>
      </c>
      <c r="P957">
        <f t="shared" si="71"/>
        <v>2023</v>
      </c>
      <c r="Q957" t="str">
        <f t="shared" si="72"/>
        <v>OK</v>
      </c>
      <c r="R957">
        <v>1</v>
      </c>
      <c r="S957">
        <f t="shared" si="73"/>
        <v>0</v>
      </c>
      <c r="T957">
        <f t="shared" si="74"/>
        <v>0</v>
      </c>
    </row>
    <row r="958" spans="1:20">
      <c r="A958" t="s">
        <v>3484</v>
      </c>
      <c r="B958" s="3">
        <v>45393</v>
      </c>
      <c r="C958" t="s">
        <v>2905</v>
      </c>
      <c r="D958" t="s">
        <v>31</v>
      </c>
      <c r="E958">
        <v>2</v>
      </c>
      <c r="F958" s="4">
        <v>160.97999999999999</v>
      </c>
      <c r="G958" t="s">
        <v>3485</v>
      </c>
      <c r="H958" t="s">
        <v>24</v>
      </c>
      <c r="I958" t="s">
        <v>56</v>
      </c>
      <c r="J958" t="s">
        <v>3486</v>
      </c>
      <c r="K958">
        <v>3</v>
      </c>
      <c r="L958" t="s">
        <v>27</v>
      </c>
      <c r="M958" t="s">
        <v>35</v>
      </c>
      <c r="N958" s="4">
        <v>321.95999999999998</v>
      </c>
      <c r="O958" s="19" t="str">
        <f t="shared" si="70"/>
        <v>Apr-2024</v>
      </c>
      <c r="P958">
        <f t="shared" si="71"/>
        <v>2024</v>
      </c>
      <c r="Q958" t="str">
        <f t="shared" si="72"/>
        <v>OK</v>
      </c>
      <c r="R958">
        <v>1</v>
      </c>
      <c r="S958">
        <f t="shared" si="73"/>
        <v>0</v>
      </c>
      <c r="T958">
        <f t="shared" si="74"/>
        <v>0</v>
      </c>
    </row>
    <row r="959" spans="1:20">
      <c r="A959" t="s">
        <v>3487</v>
      </c>
      <c r="B959" s="3">
        <v>44938</v>
      </c>
      <c r="C959" t="s">
        <v>3488</v>
      </c>
      <c r="D959" t="s">
        <v>22</v>
      </c>
      <c r="E959">
        <v>5</v>
      </c>
      <c r="F959" s="4">
        <v>643.89</v>
      </c>
      <c r="G959" t="s">
        <v>3489</v>
      </c>
      <c r="H959" t="s">
        <v>71</v>
      </c>
      <c r="I959" t="s">
        <v>49</v>
      </c>
      <c r="J959" t="s">
        <v>3490</v>
      </c>
      <c r="K959">
        <v>8</v>
      </c>
      <c r="L959" t="s">
        <v>87</v>
      </c>
      <c r="M959" t="s">
        <v>51</v>
      </c>
      <c r="N959" s="4">
        <v>3219.45</v>
      </c>
      <c r="O959" s="19" t="str">
        <f t="shared" si="70"/>
        <v>Jan-2023</v>
      </c>
      <c r="P959">
        <f t="shared" si="71"/>
        <v>2023</v>
      </c>
      <c r="Q959" t="str">
        <f t="shared" si="72"/>
        <v>OK</v>
      </c>
      <c r="R959">
        <v>1</v>
      </c>
      <c r="S959">
        <f t="shared" si="73"/>
        <v>0</v>
      </c>
      <c r="T959">
        <f t="shared" si="74"/>
        <v>1</v>
      </c>
    </row>
    <row r="960" spans="1:20">
      <c r="A960" t="s">
        <v>3491</v>
      </c>
      <c r="B960" s="3">
        <v>45059</v>
      </c>
      <c r="C960" t="s">
        <v>3492</v>
      </c>
      <c r="D960" t="s">
        <v>79</v>
      </c>
      <c r="E960">
        <v>3</v>
      </c>
      <c r="F960" s="4">
        <v>158.66</v>
      </c>
      <c r="G960" t="s">
        <v>1157</v>
      </c>
      <c r="H960" t="s">
        <v>66</v>
      </c>
      <c r="I960" t="s">
        <v>56</v>
      </c>
      <c r="J960" t="s">
        <v>3493</v>
      </c>
      <c r="K960">
        <v>7</v>
      </c>
      <c r="L960" t="s">
        <v>87</v>
      </c>
      <c r="M960" t="s">
        <v>44</v>
      </c>
      <c r="N960" s="4">
        <v>475.98</v>
      </c>
      <c r="O960" s="19" t="str">
        <f t="shared" si="70"/>
        <v>May-2023</v>
      </c>
      <c r="P960">
        <f t="shared" si="71"/>
        <v>2023</v>
      </c>
      <c r="Q960" t="str">
        <f t="shared" si="72"/>
        <v>OK</v>
      </c>
      <c r="R960">
        <v>1</v>
      </c>
      <c r="S960">
        <f t="shared" si="73"/>
        <v>0</v>
      </c>
      <c r="T960">
        <f t="shared" si="74"/>
        <v>0</v>
      </c>
    </row>
    <row r="961" spans="1:20">
      <c r="A961" t="s">
        <v>3494</v>
      </c>
      <c r="B961" s="3">
        <v>45395</v>
      </c>
      <c r="C961" t="s">
        <v>3495</v>
      </c>
      <c r="D961" t="s">
        <v>38</v>
      </c>
      <c r="E961">
        <v>2</v>
      </c>
      <c r="F961" s="4">
        <v>143.82</v>
      </c>
      <c r="G961" t="s">
        <v>1196</v>
      </c>
      <c r="H961" t="s">
        <v>40</v>
      </c>
      <c r="I961" t="s">
        <v>49</v>
      </c>
      <c r="J961" t="s">
        <v>3496</v>
      </c>
      <c r="K961">
        <v>6</v>
      </c>
      <c r="L961" t="s">
        <v>27</v>
      </c>
      <c r="M961" t="s">
        <v>28</v>
      </c>
      <c r="N961" s="4">
        <v>287.64</v>
      </c>
      <c r="O961" s="19" t="str">
        <f t="shared" si="70"/>
        <v>Apr-2024</v>
      </c>
      <c r="P961">
        <f t="shared" si="71"/>
        <v>2024</v>
      </c>
      <c r="Q961" t="str">
        <f t="shared" si="72"/>
        <v>OK</v>
      </c>
      <c r="R961">
        <v>1</v>
      </c>
      <c r="S961">
        <f t="shared" si="73"/>
        <v>0</v>
      </c>
      <c r="T961">
        <f t="shared" si="74"/>
        <v>1</v>
      </c>
    </row>
    <row r="962" spans="1:20">
      <c r="A962" t="s">
        <v>3497</v>
      </c>
      <c r="B962" s="3">
        <v>45271</v>
      </c>
      <c r="C962" t="s">
        <v>3498</v>
      </c>
      <c r="D962" t="s">
        <v>64</v>
      </c>
      <c r="E962">
        <v>3</v>
      </c>
      <c r="F962" s="4">
        <v>379.07</v>
      </c>
      <c r="G962" t="s">
        <v>1437</v>
      </c>
      <c r="H962" t="s">
        <v>66</v>
      </c>
      <c r="I962" t="s">
        <v>95</v>
      </c>
      <c r="J962" t="s">
        <v>3499</v>
      </c>
      <c r="K962">
        <v>3</v>
      </c>
      <c r="L962" t="s">
        <v>87</v>
      </c>
      <c r="M962" t="s">
        <v>82</v>
      </c>
      <c r="N962" s="4">
        <v>1137.21</v>
      </c>
      <c r="O962" s="19" t="str">
        <f t="shared" ref="O962:O1025" si="75">TEXT(B962,"mmm-yyyy")</f>
        <v>Dec-2023</v>
      </c>
      <c r="P962">
        <f t="shared" ref="P962:P1025" si="76">YEAR(B962)</f>
        <v>2023</v>
      </c>
      <c r="Q962" t="str">
        <f t="shared" ref="Q962:Q1025" si="77">IF(ABS(N962-(E962*F962))&lt;0.01,"OK","CHECK")</f>
        <v>OK</v>
      </c>
      <c r="R962">
        <v>1</v>
      </c>
      <c r="S962">
        <f t="shared" ref="S962:S1025" si="78">IF(I962="Cancelled",1,0)</f>
        <v>0</v>
      </c>
      <c r="T962">
        <f t="shared" ref="T962:T1025" si="79">IF(I962="Returned",1,0)</f>
        <v>0</v>
      </c>
    </row>
    <row r="963" spans="1:20">
      <c r="A963" t="s">
        <v>3500</v>
      </c>
      <c r="B963" s="3">
        <v>45607</v>
      </c>
      <c r="C963" t="s">
        <v>3501</v>
      </c>
      <c r="D963" t="s">
        <v>31</v>
      </c>
      <c r="E963">
        <v>1</v>
      </c>
      <c r="F963" s="4">
        <v>601.36</v>
      </c>
      <c r="G963" t="s">
        <v>1312</v>
      </c>
      <c r="H963" t="s">
        <v>33</v>
      </c>
      <c r="I963" t="s">
        <v>25</v>
      </c>
      <c r="J963" t="s">
        <v>3502</v>
      </c>
      <c r="K963">
        <v>1</v>
      </c>
      <c r="M963" t="s">
        <v>51</v>
      </c>
      <c r="N963" s="4">
        <v>601.36</v>
      </c>
      <c r="O963" s="19" t="str">
        <f t="shared" si="75"/>
        <v>Nov-2024</v>
      </c>
      <c r="P963">
        <f t="shared" si="76"/>
        <v>2024</v>
      </c>
      <c r="Q963" t="str">
        <f t="shared" si="77"/>
        <v>OK</v>
      </c>
      <c r="R963">
        <v>1</v>
      </c>
      <c r="S963">
        <f t="shared" si="78"/>
        <v>0</v>
      </c>
      <c r="T963">
        <f t="shared" si="79"/>
        <v>0</v>
      </c>
    </row>
    <row r="964" spans="1:20">
      <c r="A964" t="s">
        <v>3503</v>
      </c>
      <c r="B964" s="3">
        <v>45541</v>
      </c>
      <c r="C964" t="s">
        <v>3504</v>
      </c>
      <c r="D964" t="s">
        <v>31</v>
      </c>
      <c r="E964">
        <v>2</v>
      </c>
      <c r="F964" s="4">
        <v>142.08000000000001</v>
      </c>
      <c r="G964" t="s">
        <v>990</v>
      </c>
      <c r="H964" t="s">
        <v>66</v>
      </c>
      <c r="I964" t="s">
        <v>56</v>
      </c>
      <c r="J964" t="s">
        <v>3505</v>
      </c>
      <c r="K964">
        <v>4</v>
      </c>
      <c r="L964" t="s">
        <v>27</v>
      </c>
      <c r="M964" t="s">
        <v>35</v>
      </c>
      <c r="N964" s="4">
        <v>284.16000000000003</v>
      </c>
      <c r="O964" s="19" t="str">
        <f t="shared" si="75"/>
        <v>Sep-2024</v>
      </c>
      <c r="P964">
        <f t="shared" si="76"/>
        <v>2024</v>
      </c>
      <c r="Q964" t="str">
        <f t="shared" si="77"/>
        <v>OK</v>
      </c>
      <c r="R964">
        <v>1</v>
      </c>
      <c r="S964">
        <f t="shared" si="78"/>
        <v>0</v>
      </c>
      <c r="T964">
        <f t="shared" si="79"/>
        <v>0</v>
      </c>
    </row>
    <row r="965" spans="1:20">
      <c r="A965" t="s">
        <v>3506</v>
      </c>
      <c r="B965" s="3">
        <v>45362</v>
      </c>
      <c r="C965" t="s">
        <v>3507</v>
      </c>
      <c r="D965" t="s">
        <v>47</v>
      </c>
      <c r="E965">
        <v>5</v>
      </c>
      <c r="F965" s="4">
        <v>530.34</v>
      </c>
      <c r="G965" t="s">
        <v>749</v>
      </c>
      <c r="H965" t="s">
        <v>33</v>
      </c>
      <c r="I965" t="s">
        <v>25</v>
      </c>
      <c r="J965" t="s">
        <v>3508</v>
      </c>
      <c r="K965">
        <v>9</v>
      </c>
      <c r="L965" t="s">
        <v>43</v>
      </c>
      <c r="M965" t="s">
        <v>82</v>
      </c>
      <c r="N965" s="4">
        <v>2651.7</v>
      </c>
      <c r="O965" s="19" t="str">
        <f t="shared" si="75"/>
        <v>Mar-2024</v>
      </c>
      <c r="P965">
        <f t="shared" si="76"/>
        <v>2024</v>
      </c>
      <c r="Q965" t="str">
        <f t="shared" si="77"/>
        <v>OK</v>
      </c>
      <c r="R965">
        <v>1</v>
      </c>
      <c r="S965">
        <f t="shared" si="78"/>
        <v>0</v>
      </c>
      <c r="T965">
        <f t="shared" si="79"/>
        <v>0</v>
      </c>
    </row>
    <row r="966" spans="1:20">
      <c r="A966" t="s">
        <v>3509</v>
      </c>
      <c r="B966" s="3">
        <v>45158</v>
      </c>
      <c r="C966" t="s">
        <v>3510</v>
      </c>
      <c r="D966" t="s">
        <v>31</v>
      </c>
      <c r="E966">
        <v>5</v>
      </c>
      <c r="F966" s="4">
        <v>364.42</v>
      </c>
      <c r="G966" t="s">
        <v>1555</v>
      </c>
      <c r="H966" t="s">
        <v>40</v>
      </c>
      <c r="I966" t="s">
        <v>41</v>
      </c>
      <c r="J966" t="s">
        <v>3511</v>
      </c>
      <c r="K966">
        <v>10</v>
      </c>
      <c r="L966" t="s">
        <v>27</v>
      </c>
      <c r="M966" t="s">
        <v>35</v>
      </c>
      <c r="N966" s="4">
        <v>1822.1</v>
      </c>
      <c r="O966" s="19" t="str">
        <f t="shared" si="75"/>
        <v>Aug-2023</v>
      </c>
      <c r="P966">
        <f t="shared" si="76"/>
        <v>2023</v>
      </c>
      <c r="Q966" t="str">
        <f t="shared" si="77"/>
        <v>OK</v>
      </c>
      <c r="R966">
        <v>1</v>
      </c>
      <c r="S966">
        <f t="shared" si="78"/>
        <v>1</v>
      </c>
      <c r="T966">
        <f t="shared" si="79"/>
        <v>0</v>
      </c>
    </row>
    <row r="967" spans="1:20">
      <c r="A967" t="s">
        <v>3512</v>
      </c>
      <c r="B967" s="3">
        <v>45826</v>
      </c>
      <c r="C967" t="s">
        <v>3513</v>
      </c>
      <c r="D967" t="s">
        <v>64</v>
      </c>
      <c r="E967">
        <v>4</v>
      </c>
      <c r="F967" s="4">
        <v>578.28</v>
      </c>
      <c r="G967" t="s">
        <v>1091</v>
      </c>
      <c r="H967" t="s">
        <v>66</v>
      </c>
      <c r="I967" t="s">
        <v>41</v>
      </c>
      <c r="J967" t="s">
        <v>3514</v>
      </c>
      <c r="K967">
        <v>5</v>
      </c>
      <c r="L967" t="s">
        <v>43</v>
      </c>
      <c r="M967" t="s">
        <v>44</v>
      </c>
      <c r="N967" s="4">
        <v>2313.12</v>
      </c>
      <c r="O967" s="19" t="str">
        <f t="shared" si="75"/>
        <v>Jun-2025</v>
      </c>
      <c r="P967">
        <f t="shared" si="76"/>
        <v>2025</v>
      </c>
      <c r="Q967" t="str">
        <f t="shared" si="77"/>
        <v>OK</v>
      </c>
      <c r="R967">
        <v>1</v>
      </c>
      <c r="S967">
        <f t="shared" si="78"/>
        <v>1</v>
      </c>
      <c r="T967">
        <f t="shared" si="79"/>
        <v>0</v>
      </c>
    </row>
    <row r="968" spans="1:20">
      <c r="A968" t="s">
        <v>3515</v>
      </c>
      <c r="B968" s="3">
        <v>45797</v>
      </c>
      <c r="C968" t="s">
        <v>3516</v>
      </c>
      <c r="D968" t="s">
        <v>22</v>
      </c>
      <c r="E968">
        <v>5</v>
      </c>
      <c r="F968" s="4">
        <v>280.52</v>
      </c>
      <c r="G968" t="s">
        <v>3517</v>
      </c>
      <c r="H968" t="s">
        <v>40</v>
      </c>
      <c r="I968" t="s">
        <v>41</v>
      </c>
      <c r="J968" t="s">
        <v>3518</v>
      </c>
      <c r="K968">
        <v>7</v>
      </c>
      <c r="L968" t="s">
        <v>87</v>
      </c>
      <c r="M968" t="s">
        <v>51</v>
      </c>
      <c r="N968" s="4">
        <v>1402.6</v>
      </c>
      <c r="O968" s="19" t="str">
        <f t="shared" si="75"/>
        <v>May-2025</v>
      </c>
      <c r="P968">
        <f t="shared" si="76"/>
        <v>2025</v>
      </c>
      <c r="Q968" t="str">
        <f t="shared" si="77"/>
        <v>OK</v>
      </c>
      <c r="R968">
        <v>1</v>
      </c>
      <c r="S968">
        <f t="shared" si="78"/>
        <v>1</v>
      </c>
      <c r="T968">
        <f t="shared" si="79"/>
        <v>0</v>
      </c>
    </row>
    <row r="969" spans="1:20">
      <c r="A969" t="s">
        <v>3519</v>
      </c>
      <c r="B969" s="3">
        <v>45783</v>
      </c>
      <c r="C969" t="s">
        <v>3520</v>
      </c>
      <c r="D969" t="s">
        <v>38</v>
      </c>
      <c r="E969">
        <v>5</v>
      </c>
      <c r="F969" s="4">
        <v>638.91999999999996</v>
      </c>
      <c r="G969" t="s">
        <v>3521</v>
      </c>
      <c r="H969" t="s">
        <v>40</v>
      </c>
      <c r="I969" t="s">
        <v>49</v>
      </c>
      <c r="J969" t="s">
        <v>3522</v>
      </c>
      <c r="K969">
        <v>5</v>
      </c>
      <c r="L969" t="s">
        <v>43</v>
      </c>
      <c r="M969" t="s">
        <v>82</v>
      </c>
      <c r="N969" s="4">
        <v>3194.6</v>
      </c>
      <c r="O969" s="19" t="str">
        <f t="shared" si="75"/>
        <v>May-2025</v>
      </c>
      <c r="P969">
        <f t="shared" si="76"/>
        <v>2025</v>
      </c>
      <c r="Q969" t="str">
        <f t="shared" si="77"/>
        <v>OK</v>
      </c>
      <c r="R969">
        <v>1</v>
      </c>
      <c r="S969">
        <f t="shared" si="78"/>
        <v>0</v>
      </c>
      <c r="T969">
        <f t="shared" si="79"/>
        <v>1</v>
      </c>
    </row>
    <row r="970" spans="1:20">
      <c r="A970" t="s">
        <v>3523</v>
      </c>
      <c r="B970" s="3">
        <v>45330</v>
      </c>
      <c r="C970" t="s">
        <v>3524</v>
      </c>
      <c r="D970" t="s">
        <v>22</v>
      </c>
      <c r="E970">
        <v>4</v>
      </c>
      <c r="F970" s="4">
        <v>412.2</v>
      </c>
      <c r="G970" t="s">
        <v>3048</v>
      </c>
      <c r="H970" t="s">
        <v>40</v>
      </c>
      <c r="I970" t="s">
        <v>25</v>
      </c>
      <c r="J970" t="s">
        <v>3525</v>
      </c>
      <c r="K970">
        <v>6</v>
      </c>
      <c r="L970" t="s">
        <v>87</v>
      </c>
      <c r="M970" t="s">
        <v>35</v>
      </c>
      <c r="N970" s="4">
        <v>1648.8</v>
      </c>
      <c r="O970" s="19" t="str">
        <f t="shared" si="75"/>
        <v>Feb-2024</v>
      </c>
      <c r="P970">
        <f t="shared" si="76"/>
        <v>2024</v>
      </c>
      <c r="Q970" t="str">
        <f t="shared" si="77"/>
        <v>OK</v>
      </c>
      <c r="R970">
        <v>1</v>
      </c>
      <c r="S970">
        <f t="shared" si="78"/>
        <v>0</v>
      </c>
      <c r="T970">
        <f t="shared" si="79"/>
        <v>0</v>
      </c>
    </row>
    <row r="971" spans="1:20">
      <c r="A971" t="s">
        <v>3526</v>
      </c>
      <c r="B971" s="3">
        <v>45813</v>
      </c>
      <c r="C971" t="s">
        <v>3527</v>
      </c>
      <c r="D971" t="s">
        <v>79</v>
      </c>
      <c r="E971">
        <v>1</v>
      </c>
      <c r="F971" s="4">
        <v>440.34</v>
      </c>
      <c r="G971" t="s">
        <v>3528</v>
      </c>
      <c r="H971" t="s">
        <v>66</v>
      </c>
      <c r="I971" t="s">
        <v>25</v>
      </c>
      <c r="J971" t="s">
        <v>3529</v>
      </c>
      <c r="K971">
        <v>2</v>
      </c>
      <c r="L971" t="s">
        <v>87</v>
      </c>
      <c r="M971" t="s">
        <v>51</v>
      </c>
      <c r="N971" s="4">
        <v>440.34</v>
      </c>
      <c r="O971" s="19" t="str">
        <f t="shared" si="75"/>
        <v>Jun-2025</v>
      </c>
      <c r="P971">
        <f t="shared" si="76"/>
        <v>2025</v>
      </c>
      <c r="Q971" t="str">
        <f t="shared" si="77"/>
        <v>OK</v>
      </c>
      <c r="R971">
        <v>1</v>
      </c>
      <c r="S971">
        <f t="shared" si="78"/>
        <v>0</v>
      </c>
      <c r="T971">
        <f t="shared" si="79"/>
        <v>0</v>
      </c>
    </row>
    <row r="972" spans="1:20">
      <c r="A972" t="s">
        <v>3530</v>
      </c>
      <c r="B972" s="3">
        <v>45542</v>
      </c>
      <c r="C972" t="s">
        <v>3531</v>
      </c>
      <c r="D972" t="s">
        <v>79</v>
      </c>
      <c r="E972">
        <v>1</v>
      </c>
      <c r="F972" s="4">
        <v>627.15</v>
      </c>
      <c r="G972" t="s">
        <v>3532</v>
      </c>
      <c r="H972" t="s">
        <v>71</v>
      </c>
      <c r="I972" t="s">
        <v>56</v>
      </c>
      <c r="J972" t="s">
        <v>3533</v>
      </c>
      <c r="K972">
        <v>5</v>
      </c>
      <c r="L972" t="s">
        <v>27</v>
      </c>
      <c r="M972" t="s">
        <v>28</v>
      </c>
      <c r="N972" s="4">
        <v>627.15</v>
      </c>
      <c r="O972" s="19" t="str">
        <f t="shared" si="75"/>
        <v>Sep-2024</v>
      </c>
      <c r="P972">
        <f t="shared" si="76"/>
        <v>2024</v>
      </c>
      <c r="Q972" t="str">
        <f t="shared" si="77"/>
        <v>OK</v>
      </c>
      <c r="R972">
        <v>1</v>
      </c>
      <c r="S972">
        <f t="shared" si="78"/>
        <v>0</v>
      </c>
      <c r="T972">
        <f t="shared" si="79"/>
        <v>0</v>
      </c>
    </row>
    <row r="973" spans="1:20">
      <c r="A973" t="s">
        <v>3534</v>
      </c>
      <c r="B973" s="3">
        <v>45439</v>
      </c>
      <c r="C973" t="s">
        <v>3535</v>
      </c>
      <c r="D973" t="s">
        <v>22</v>
      </c>
      <c r="E973">
        <v>2</v>
      </c>
      <c r="F973" s="4">
        <v>605.26</v>
      </c>
      <c r="G973" t="s">
        <v>60</v>
      </c>
      <c r="H973" t="s">
        <v>71</v>
      </c>
      <c r="I973" t="s">
        <v>41</v>
      </c>
      <c r="J973" t="s">
        <v>3536</v>
      </c>
      <c r="K973">
        <v>4</v>
      </c>
      <c r="L973" t="s">
        <v>87</v>
      </c>
      <c r="M973" t="s">
        <v>35</v>
      </c>
      <c r="N973" s="4">
        <v>1210.52</v>
      </c>
      <c r="O973" s="19" t="str">
        <f t="shared" si="75"/>
        <v>May-2024</v>
      </c>
      <c r="P973">
        <f t="shared" si="76"/>
        <v>2024</v>
      </c>
      <c r="Q973" t="str">
        <f t="shared" si="77"/>
        <v>OK</v>
      </c>
      <c r="R973">
        <v>1</v>
      </c>
      <c r="S973">
        <f t="shared" si="78"/>
        <v>1</v>
      </c>
      <c r="T973">
        <f t="shared" si="79"/>
        <v>0</v>
      </c>
    </row>
    <row r="974" spans="1:20">
      <c r="A974" t="s">
        <v>3537</v>
      </c>
      <c r="B974" s="3">
        <v>45452</v>
      </c>
      <c r="C974" t="s">
        <v>3538</v>
      </c>
      <c r="D974" t="s">
        <v>64</v>
      </c>
      <c r="E974">
        <v>1</v>
      </c>
      <c r="F974" s="4">
        <v>90.27</v>
      </c>
      <c r="G974" t="s">
        <v>3539</v>
      </c>
      <c r="H974" t="s">
        <v>71</v>
      </c>
      <c r="I974" t="s">
        <v>56</v>
      </c>
      <c r="J974" t="s">
        <v>3540</v>
      </c>
      <c r="K974">
        <v>5</v>
      </c>
      <c r="L974" t="s">
        <v>27</v>
      </c>
      <c r="M974" t="s">
        <v>51</v>
      </c>
      <c r="N974" s="4">
        <v>90.27</v>
      </c>
      <c r="O974" s="19" t="str">
        <f t="shared" si="75"/>
        <v>Jun-2024</v>
      </c>
      <c r="P974">
        <f t="shared" si="76"/>
        <v>2024</v>
      </c>
      <c r="Q974" t="str">
        <f t="shared" si="77"/>
        <v>OK</v>
      </c>
      <c r="R974">
        <v>1</v>
      </c>
      <c r="S974">
        <f t="shared" si="78"/>
        <v>0</v>
      </c>
      <c r="T974">
        <f t="shared" si="79"/>
        <v>0</v>
      </c>
    </row>
    <row r="975" spans="1:20">
      <c r="A975" t="s">
        <v>3541</v>
      </c>
      <c r="B975" s="3">
        <v>45817</v>
      </c>
      <c r="C975" t="s">
        <v>3542</v>
      </c>
      <c r="D975" t="s">
        <v>79</v>
      </c>
      <c r="E975">
        <v>5</v>
      </c>
      <c r="F975" s="4">
        <v>230.77</v>
      </c>
      <c r="G975" t="s">
        <v>3328</v>
      </c>
      <c r="H975" t="s">
        <v>33</v>
      </c>
      <c r="I975" t="s">
        <v>95</v>
      </c>
      <c r="J975" t="s">
        <v>3543</v>
      </c>
      <c r="K975">
        <v>10</v>
      </c>
      <c r="L975" t="s">
        <v>87</v>
      </c>
      <c r="M975" t="s">
        <v>35</v>
      </c>
      <c r="N975" s="4">
        <v>1153.8499999999999</v>
      </c>
      <c r="O975" s="19" t="str">
        <f t="shared" si="75"/>
        <v>Jun-2025</v>
      </c>
      <c r="P975">
        <f t="shared" si="76"/>
        <v>2025</v>
      </c>
      <c r="Q975" t="str">
        <f t="shared" si="77"/>
        <v>OK</v>
      </c>
      <c r="R975">
        <v>1</v>
      </c>
      <c r="S975">
        <f t="shared" si="78"/>
        <v>0</v>
      </c>
      <c r="T975">
        <f t="shared" si="79"/>
        <v>0</v>
      </c>
    </row>
    <row r="976" spans="1:20">
      <c r="A976" t="s">
        <v>3544</v>
      </c>
      <c r="B976" s="3">
        <v>45196</v>
      </c>
      <c r="C976" t="s">
        <v>3545</v>
      </c>
      <c r="D976" t="s">
        <v>79</v>
      </c>
      <c r="E976">
        <v>5</v>
      </c>
      <c r="F976" s="4">
        <v>266.77999999999997</v>
      </c>
      <c r="G976" t="s">
        <v>1243</v>
      </c>
      <c r="H976" t="s">
        <v>66</v>
      </c>
      <c r="I976" t="s">
        <v>41</v>
      </c>
      <c r="J976" t="s">
        <v>3546</v>
      </c>
      <c r="K976">
        <v>5</v>
      </c>
      <c r="M976" t="s">
        <v>44</v>
      </c>
      <c r="N976" s="4">
        <v>1333.9</v>
      </c>
      <c r="O976" s="19" t="str">
        <f t="shared" si="75"/>
        <v>Sep-2023</v>
      </c>
      <c r="P976">
        <f t="shared" si="76"/>
        <v>2023</v>
      </c>
      <c r="Q976" t="str">
        <f t="shared" si="77"/>
        <v>OK</v>
      </c>
      <c r="R976">
        <v>1</v>
      </c>
      <c r="S976">
        <f t="shared" si="78"/>
        <v>1</v>
      </c>
      <c r="T976">
        <f t="shared" si="79"/>
        <v>0</v>
      </c>
    </row>
    <row r="977" spans="1:20">
      <c r="A977" t="s">
        <v>3547</v>
      </c>
      <c r="B977" s="3">
        <v>45064</v>
      </c>
      <c r="C977" t="s">
        <v>3548</v>
      </c>
      <c r="D977" t="s">
        <v>79</v>
      </c>
      <c r="E977">
        <v>1</v>
      </c>
      <c r="F977" s="4">
        <v>105.92</v>
      </c>
      <c r="G977" t="s">
        <v>1099</v>
      </c>
      <c r="H977" t="s">
        <v>66</v>
      </c>
      <c r="I977" t="s">
        <v>49</v>
      </c>
      <c r="J977" t="s">
        <v>3549</v>
      </c>
      <c r="K977">
        <v>6</v>
      </c>
      <c r="L977" t="s">
        <v>27</v>
      </c>
      <c r="M977" t="s">
        <v>44</v>
      </c>
      <c r="N977" s="4">
        <v>105.92</v>
      </c>
      <c r="O977" s="19" t="str">
        <f t="shared" si="75"/>
        <v>May-2023</v>
      </c>
      <c r="P977">
        <f t="shared" si="76"/>
        <v>2023</v>
      </c>
      <c r="Q977" t="str">
        <f t="shared" si="77"/>
        <v>OK</v>
      </c>
      <c r="R977">
        <v>1</v>
      </c>
      <c r="S977">
        <f t="shared" si="78"/>
        <v>0</v>
      </c>
      <c r="T977">
        <f t="shared" si="79"/>
        <v>1</v>
      </c>
    </row>
    <row r="978" spans="1:20">
      <c r="A978" t="s">
        <v>3550</v>
      </c>
      <c r="B978" s="3">
        <v>45386</v>
      </c>
      <c r="C978" t="s">
        <v>3551</v>
      </c>
      <c r="D978" t="s">
        <v>38</v>
      </c>
      <c r="E978">
        <v>3</v>
      </c>
      <c r="F978" s="4">
        <v>589.29999999999995</v>
      </c>
      <c r="G978" t="s">
        <v>3031</v>
      </c>
      <c r="H978" t="s">
        <v>40</v>
      </c>
      <c r="I978" t="s">
        <v>49</v>
      </c>
      <c r="J978" t="s">
        <v>3552</v>
      </c>
      <c r="K978">
        <v>6</v>
      </c>
      <c r="L978" t="s">
        <v>87</v>
      </c>
      <c r="M978" t="s">
        <v>35</v>
      </c>
      <c r="N978" s="4">
        <v>1767.9</v>
      </c>
      <c r="O978" s="19" t="str">
        <f t="shared" si="75"/>
        <v>Apr-2024</v>
      </c>
      <c r="P978">
        <f t="shared" si="76"/>
        <v>2024</v>
      </c>
      <c r="Q978" t="str">
        <f t="shared" si="77"/>
        <v>OK</v>
      </c>
      <c r="R978">
        <v>1</v>
      </c>
      <c r="S978">
        <f t="shared" si="78"/>
        <v>0</v>
      </c>
      <c r="T978">
        <f t="shared" si="79"/>
        <v>1</v>
      </c>
    </row>
    <row r="979" spans="1:20">
      <c r="A979" t="s">
        <v>3553</v>
      </c>
      <c r="B979" s="3">
        <v>44954</v>
      </c>
      <c r="C979" t="s">
        <v>3554</v>
      </c>
      <c r="D979" t="s">
        <v>47</v>
      </c>
      <c r="E979">
        <v>4</v>
      </c>
      <c r="F979" s="4">
        <v>649.47</v>
      </c>
      <c r="G979" t="s">
        <v>3555</v>
      </c>
      <c r="H979" t="s">
        <v>71</v>
      </c>
      <c r="I979" t="s">
        <v>95</v>
      </c>
      <c r="J979" t="s">
        <v>3556</v>
      </c>
      <c r="K979">
        <v>8</v>
      </c>
      <c r="L979" t="s">
        <v>27</v>
      </c>
      <c r="M979" t="s">
        <v>82</v>
      </c>
      <c r="N979" s="4">
        <v>2597.88</v>
      </c>
      <c r="O979" s="19" t="str">
        <f t="shared" si="75"/>
        <v>Jan-2023</v>
      </c>
      <c r="P979">
        <f t="shared" si="76"/>
        <v>2023</v>
      </c>
      <c r="Q979" t="str">
        <f t="shared" si="77"/>
        <v>OK</v>
      </c>
      <c r="R979">
        <v>1</v>
      </c>
      <c r="S979">
        <f t="shared" si="78"/>
        <v>0</v>
      </c>
      <c r="T979">
        <f t="shared" si="79"/>
        <v>0</v>
      </c>
    </row>
    <row r="980" spans="1:20">
      <c r="A980" t="s">
        <v>3557</v>
      </c>
      <c r="B980" s="3">
        <v>45468</v>
      </c>
      <c r="C980" t="s">
        <v>3558</v>
      </c>
      <c r="D980" t="s">
        <v>54</v>
      </c>
      <c r="E980">
        <v>4</v>
      </c>
      <c r="F980" s="4">
        <v>107.49</v>
      </c>
      <c r="G980" t="s">
        <v>2657</v>
      </c>
      <c r="H980" t="s">
        <v>71</v>
      </c>
      <c r="I980" t="s">
        <v>56</v>
      </c>
      <c r="J980" t="s">
        <v>3559</v>
      </c>
      <c r="K980">
        <v>5</v>
      </c>
      <c r="M980" t="s">
        <v>82</v>
      </c>
      <c r="N980" s="4">
        <v>429.96</v>
      </c>
      <c r="O980" s="19" t="str">
        <f t="shared" si="75"/>
        <v>Jun-2024</v>
      </c>
      <c r="P980">
        <f t="shared" si="76"/>
        <v>2024</v>
      </c>
      <c r="Q980" t="str">
        <f t="shared" si="77"/>
        <v>OK</v>
      </c>
      <c r="R980">
        <v>1</v>
      </c>
      <c r="S980">
        <f t="shared" si="78"/>
        <v>0</v>
      </c>
      <c r="T980">
        <f t="shared" si="79"/>
        <v>0</v>
      </c>
    </row>
    <row r="981" spans="1:20">
      <c r="A981" t="s">
        <v>3560</v>
      </c>
      <c r="B981" s="3">
        <v>45077</v>
      </c>
      <c r="C981" t="s">
        <v>3561</v>
      </c>
      <c r="D981" t="s">
        <v>22</v>
      </c>
      <c r="E981">
        <v>3</v>
      </c>
      <c r="F981" s="4">
        <v>669.06</v>
      </c>
      <c r="G981" t="s">
        <v>1119</v>
      </c>
      <c r="H981" t="s">
        <v>71</v>
      </c>
      <c r="I981" t="s">
        <v>56</v>
      </c>
      <c r="J981" t="s">
        <v>3562</v>
      </c>
      <c r="K981">
        <v>7</v>
      </c>
      <c r="L981" t="s">
        <v>27</v>
      </c>
      <c r="M981" t="s">
        <v>51</v>
      </c>
      <c r="N981" s="4">
        <v>2007.18</v>
      </c>
      <c r="O981" s="19" t="str">
        <f t="shared" si="75"/>
        <v>May-2023</v>
      </c>
      <c r="P981">
        <f t="shared" si="76"/>
        <v>2023</v>
      </c>
      <c r="Q981" t="str">
        <f t="shared" si="77"/>
        <v>OK</v>
      </c>
      <c r="R981">
        <v>1</v>
      </c>
      <c r="S981">
        <f t="shared" si="78"/>
        <v>0</v>
      </c>
      <c r="T981">
        <f t="shared" si="79"/>
        <v>0</v>
      </c>
    </row>
    <row r="982" spans="1:20">
      <c r="A982" t="s">
        <v>3563</v>
      </c>
      <c r="B982" s="3">
        <v>45213</v>
      </c>
      <c r="C982" t="s">
        <v>3564</v>
      </c>
      <c r="D982" t="s">
        <v>47</v>
      </c>
      <c r="E982">
        <v>3</v>
      </c>
      <c r="F982" s="4">
        <v>69.650000000000006</v>
      </c>
      <c r="G982" t="s">
        <v>3565</v>
      </c>
      <c r="H982" t="s">
        <v>71</v>
      </c>
      <c r="I982" t="s">
        <v>56</v>
      </c>
      <c r="J982" t="s">
        <v>3566</v>
      </c>
      <c r="K982">
        <v>7</v>
      </c>
      <c r="L982" t="s">
        <v>87</v>
      </c>
      <c r="M982" t="s">
        <v>28</v>
      </c>
      <c r="N982" s="4">
        <v>208.95</v>
      </c>
      <c r="O982" s="19" t="str">
        <f t="shared" si="75"/>
        <v>Oct-2023</v>
      </c>
      <c r="P982">
        <f t="shared" si="76"/>
        <v>2023</v>
      </c>
      <c r="Q982" t="str">
        <f t="shared" si="77"/>
        <v>OK</v>
      </c>
      <c r="R982">
        <v>1</v>
      </c>
      <c r="S982">
        <f t="shared" si="78"/>
        <v>0</v>
      </c>
      <c r="T982">
        <f t="shared" si="79"/>
        <v>0</v>
      </c>
    </row>
    <row r="983" spans="1:20">
      <c r="A983" t="s">
        <v>3567</v>
      </c>
      <c r="B983" s="3">
        <v>45256</v>
      </c>
      <c r="C983" t="s">
        <v>3568</v>
      </c>
      <c r="D983" t="s">
        <v>31</v>
      </c>
      <c r="E983">
        <v>4</v>
      </c>
      <c r="F983" s="4">
        <v>136.83000000000001</v>
      </c>
      <c r="G983" t="s">
        <v>3569</v>
      </c>
      <c r="H983" t="s">
        <v>24</v>
      </c>
      <c r="I983" t="s">
        <v>95</v>
      </c>
      <c r="J983" t="s">
        <v>3570</v>
      </c>
      <c r="K983">
        <v>8</v>
      </c>
      <c r="L983" t="s">
        <v>27</v>
      </c>
      <c r="M983" t="s">
        <v>44</v>
      </c>
      <c r="N983" s="4">
        <v>547.32000000000005</v>
      </c>
      <c r="O983" s="19" t="str">
        <f t="shared" si="75"/>
        <v>Nov-2023</v>
      </c>
      <c r="P983">
        <f t="shared" si="76"/>
        <v>2023</v>
      </c>
      <c r="Q983" t="str">
        <f t="shared" si="77"/>
        <v>OK</v>
      </c>
      <c r="R983">
        <v>1</v>
      </c>
      <c r="S983">
        <f t="shared" si="78"/>
        <v>0</v>
      </c>
      <c r="T983">
        <f t="shared" si="79"/>
        <v>0</v>
      </c>
    </row>
    <row r="984" spans="1:20">
      <c r="A984" t="s">
        <v>3571</v>
      </c>
      <c r="B984" s="3">
        <v>45541</v>
      </c>
      <c r="C984" t="s">
        <v>3572</v>
      </c>
      <c r="D984" t="s">
        <v>22</v>
      </c>
      <c r="E984">
        <v>1</v>
      </c>
      <c r="F984" s="4">
        <v>304.11</v>
      </c>
      <c r="G984" t="s">
        <v>2674</v>
      </c>
      <c r="H984" t="s">
        <v>66</v>
      </c>
      <c r="I984" t="s">
        <v>25</v>
      </c>
      <c r="J984" t="s">
        <v>3573</v>
      </c>
      <c r="K984">
        <v>2</v>
      </c>
      <c r="L984" t="s">
        <v>27</v>
      </c>
      <c r="M984" t="s">
        <v>35</v>
      </c>
      <c r="N984" s="4">
        <v>304.11</v>
      </c>
      <c r="O984" s="19" t="str">
        <f t="shared" si="75"/>
        <v>Sep-2024</v>
      </c>
      <c r="P984">
        <f t="shared" si="76"/>
        <v>2024</v>
      </c>
      <c r="Q984" t="str">
        <f t="shared" si="77"/>
        <v>OK</v>
      </c>
      <c r="R984">
        <v>1</v>
      </c>
      <c r="S984">
        <f t="shared" si="78"/>
        <v>0</v>
      </c>
      <c r="T984">
        <f t="shared" si="79"/>
        <v>0</v>
      </c>
    </row>
    <row r="985" spans="1:20">
      <c r="A985" t="s">
        <v>3574</v>
      </c>
      <c r="B985" s="3">
        <v>45620</v>
      </c>
      <c r="C985" t="s">
        <v>3575</v>
      </c>
      <c r="D985" t="s">
        <v>22</v>
      </c>
      <c r="E985">
        <v>4</v>
      </c>
      <c r="F985" s="4">
        <v>296.27999999999997</v>
      </c>
      <c r="G985" t="s">
        <v>3576</v>
      </c>
      <c r="H985" t="s">
        <v>66</v>
      </c>
      <c r="I985" t="s">
        <v>25</v>
      </c>
      <c r="J985" t="s">
        <v>3577</v>
      </c>
      <c r="K985">
        <v>5</v>
      </c>
      <c r="L985" t="s">
        <v>27</v>
      </c>
      <c r="M985" t="s">
        <v>44</v>
      </c>
      <c r="N985" s="4">
        <v>1185.1199999999999</v>
      </c>
      <c r="O985" s="19" t="str">
        <f t="shared" si="75"/>
        <v>Nov-2024</v>
      </c>
      <c r="P985">
        <f t="shared" si="76"/>
        <v>2024</v>
      </c>
      <c r="Q985" t="str">
        <f t="shared" si="77"/>
        <v>OK</v>
      </c>
      <c r="R985">
        <v>1</v>
      </c>
      <c r="S985">
        <f t="shared" si="78"/>
        <v>0</v>
      </c>
      <c r="T985">
        <f t="shared" si="79"/>
        <v>0</v>
      </c>
    </row>
    <row r="986" spans="1:20">
      <c r="A986" t="s">
        <v>3578</v>
      </c>
      <c r="B986" s="3">
        <v>45716</v>
      </c>
      <c r="C986" t="s">
        <v>3579</v>
      </c>
      <c r="D986" t="s">
        <v>79</v>
      </c>
      <c r="E986">
        <v>1</v>
      </c>
      <c r="F986" s="4">
        <v>77.64</v>
      </c>
      <c r="G986" t="s">
        <v>70</v>
      </c>
      <c r="H986" t="s">
        <v>40</v>
      </c>
      <c r="I986" t="s">
        <v>25</v>
      </c>
      <c r="J986" t="s">
        <v>3580</v>
      </c>
      <c r="K986">
        <v>1</v>
      </c>
      <c r="L986" t="s">
        <v>43</v>
      </c>
      <c r="M986" t="s">
        <v>51</v>
      </c>
      <c r="N986" s="4">
        <v>77.64</v>
      </c>
      <c r="O986" s="19" t="str">
        <f t="shared" si="75"/>
        <v>Feb-2025</v>
      </c>
      <c r="P986">
        <f t="shared" si="76"/>
        <v>2025</v>
      </c>
      <c r="Q986" t="str">
        <f t="shared" si="77"/>
        <v>OK</v>
      </c>
      <c r="R986">
        <v>1</v>
      </c>
      <c r="S986">
        <f t="shared" si="78"/>
        <v>0</v>
      </c>
      <c r="T986">
        <f t="shared" si="79"/>
        <v>0</v>
      </c>
    </row>
    <row r="987" spans="1:20">
      <c r="A987" t="s">
        <v>3581</v>
      </c>
      <c r="B987" s="3">
        <v>45493</v>
      </c>
      <c r="C987" t="s">
        <v>3582</v>
      </c>
      <c r="D987" t="s">
        <v>79</v>
      </c>
      <c r="E987">
        <v>1</v>
      </c>
      <c r="F987" s="4">
        <v>243.71</v>
      </c>
      <c r="G987" t="s">
        <v>935</v>
      </c>
      <c r="H987" t="s">
        <v>66</v>
      </c>
      <c r="I987" t="s">
        <v>56</v>
      </c>
      <c r="J987" t="s">
        <v>3583</v>
      </c>
      <c r="K987">
        <v>6</v>
      </c>
      <c r="L987" t="s">
        <v>27</v>
      </c>
      <c r="M987" t="s">
        <v>82</v>
      </c>
      <c r="N987" s="4">
        <v>243.71</v>
      </c>
      <c r="O987" s="19" t="str">
        <f t="shared" si="75"/>
        <v>Jul-2024</v>
      </c>
      <c r="P987">
        <f t="shared" si="76"/>
        <v>2024</v>
      </c>
      <c r="Q987" t="str">
        <f t="shared" si="77"/>
        <v>OK</v>
      </c>
      <c r="R987">
        <v>1</v>
      </c>
      <c r="S987">
        <f t="shared" si="78"/>
        <v>0</v>
      </c>
      <c r="T987">
        <f t="shared" si="79"/>
        <v>0</v>
      </c>
    </row>
    <row r="988" spans="1:20">
      <c r="A988" t="s">
        <v>3584</v>
      </c>
      <c r="B988" s="3">
        <v>45542</v>
      </c>
      <c r="C988" t="s">
        <v>3585</v>
      </c>
      <c r="D988" t="s">
        <v>64</v>
      </c>
      <c r="E988">
        <v>4</v>
      </c>
      <c r="F988" s="4">
        <v>644.96</v>
      </c>
      <c r="G988" t="s">
        <v>432</v>
      </c>
      <c r="H988" t="s">
        <v>40</v>
      </c>
      <c r="I988" t="s">
        <v>95</v>
      </c>
      <c r="J988" t="s">
        <v>3586</v>
      </c>
      <c r="K988">
        <v>7</v>
      </c>
      <c r="L988" t="s">
        <v>43</v>
      </c>
      <c r="M988" t="s">
        <v>44</v>
      </c>
      <c r="N988" s="4">
        <v>2579.84</v>
      </c>
      <c r="O988" s="19" t="str">
        <f t="shared" si="75"/>
        <v>Sep-2024</v>
      </c>
      <c r="P988">
        <f t="shared" si="76"/>
        <v>2024</v>
      </c>
      <c r="Q988" t="str">
        <f t="shared" si="77"/>
        <v>OK</v>
      </c>
      <c r="R988">
        <v>1</v>
      </c>
      <c r="S988">
        <f t="shared" si="78"/>
        <v>0</v>
      </c>
      <c r="T988">
        <f t="shared" si="79"/>
        <v>0</v>
      </c>
    </row>
    <row r="989" spans="1:20">
      <c r="A989" t="s">
        <v>3587</v>
      </c>
      <c r="B989" s="3">
        <v>45813</v>
      </c>
      <c r="C989" t="s">
        <v>3588</v>
      </c>
      <c r="D989" t="s">
        <v>31</v>
      </c>
      <c r="E989">
        <v>5</v>
      </c>
      <c r="F989" s="4">
        <v>283.73</v>
      </c>
      <c r="G989" t="s">
        <v>1703</v>
      </c>
      <c r="H989" t="s">
        <v>66</v>
      </c>
      <c r="I989" t="s">
        <v>95</v>
      </c>
      <c r="J989" t="s">
        <v>3589</v>
      </c>
      <c r="K989">
        <v>8</v>
      </c>
      <c r="L989" t="s">
        <v>43</v>
      </c>
      <c r="M989" t="s">
        <v>28</v>
      </c>
      <c r="N989" s="4">
        <v>1418.65</v>
      </c>
      <c r="O989" s="19" t="str">
        <f t="shared" si="75"/>
        <v>Jun-2025</v>
      </c>
      <c r="P989">
        <f t="shared" si="76"/>
        <v>2025</v>
      </c>
      <c r="Q989" t="str">
        <f t="shared" si="77"/>
        <v>OK</v>
      </c>
      <c r="R989">
        <v>1</v>
      </c>
      <c r="S989">
        <f t="shared" si="78"/>
        <v>0</v>
      </c>
      <c r="T989">
        <f t="shared" si="79"/>
        <v>0</v>
      </c>
    </row>
    <row r="990" spans="1:20">
      <c r="A990" t="s">
        <v>3590</v>
      </c>
      <c r="B990" s="3">
        <v>45692</v>
      </c>
      <c r="C990" t="s">
        <v>3591</v>
      </c>
      <c r="D990" t="s">
        <v>79</v>
      </c>
      <c r="E990">
        <v>2</v>
      </c>
      <c r="F990" s="4">
        <v>629.55999999999995</v>
      </c>
      <c r="G990" t="s">
        <v>1323</v>
      </c>
      <c r="H990" t="s">
        <v>66</v>
      </c>
      <c r="I990" t="s">
        <v>41</v>
      </c>
      <c r="J990" t="s">
        <v>3592</v>
      </c>
      <c r="K990">
        <v>5</v>
      </c>
      <c r="L990" t="s">
        <v>87</v>
      </c>
      <c r="M990" t="s">
        <v>28</v>
      </c>
      <c r="N990" s="4">
        <v>1259.1199999999999</v>
      </c>
      <c r="O990" s="19" t="str">
        <f t="shared" si="75"/>
        <v>Feb-2025</v>
      </c>
      <c r="P990">
        <f t="shared" si="76"/>
        <v>2025</v>
      </c>
      <c r="Q990" t="str">
        <f t="shared" si="77"/>
        <v>OK</v>
      </c>
      <c r="R990">
        <v>1</v>
      </c>
      <c r="S990">
        <f t="shared" si="78"/>
        <v>1</v>
      </c>
      <c r="T990">
        <f t="shared" si="79"/>
        <v>0</v>
      </c>
    </row>
    <row r="991" spans="1:20">
      <c r="A991" t="s">
        <v>3593</v>
      </c>
      <c r="B991" s="3">
        <v>45008</v>
      </c>
      <c r="C991" t="s">
        <v>3594</v>
      </c>
      <c r="D991" t="s">
        <v>64</v>
      </c>
      <c r="E991">
        <v>4</v>
      </c>
      <c r="F991" s="4">
        <v>246.11</v>
      </c>
      <c r="G991" t="s">
        <v>3595</v>
      </c>
      <c r="H991" t="s">
        <v>40</v>
      </c>
      <c r="I991" t="s">
        <v>95</v>
      </c>
      <c r="J991" t="s">
        <v>3596</v>
      </c>
      <c r="K991">
        <v>4</v>
      </c>
      <c r="L991" t="s">
        <v>27</v>
      </c>
      <c r="M991" t="s">
        <v>28</v>
      </c>
      <c r="N991" s="4">
        <v>984.44</v>
      </c>
      <c r="O991" s="19" t="str">
        <f t="shared" si="75"/>
        <v>Mar-2023</v>
      </c>
      <c r="P991">
        <f t="shared" si="76"/>
        <v>2023</v>
      </c>
      <c r="Q991" t="str">
        <f t="shared" si="77"/>
        <v>OK</v>
      </c>
      <c r="R991">
        <v>1</v>
      </c>
      <c r="S991">
        <f t="shared" si="78"/>
        <v>0</v>
      </c>
      <c r="T991">
        <f t="shared" si="79"/>
        <v>0</v>
      </c>
    </row>
    <row r="992" spans="1:20">
      <c r="A992" t="s">
        <v>3597</v>
      </c>
      <c r="B992" s="3">
        <v>45249</v>
      </c>
      <c r="C992" t="s">
        <v>3598</v>
      </c>
      <c r="D992" t="s">
        <v>31</v>
      </c>
      <c r="E992">
        <v>2</v>
      </c>
      <c r="F992" s="4">
        <v>418.26</v>
      </c>
      <c r="G992" t="s">
        <v>3599</v>
      </c>
      <c r="H992" t="s">
        <v>24</v>
      </c>
      <c r="I992" t="s">
        <v>95</v>
      </c>
      <c r="J992" t="s">
        <v>3600</v>
      </c>
      <c r="K992">
        <v>2</v>
      </c>
      <c r="L992" t="s">
        <v>27</v>
      </c>
      <c r="M992" t="s">
        <v>82</v>
      </c>
      <c r="N992" s="4">
        <v>836.52</v>
      </c>
      <c r="O992" s="19" t="str">
        <f t="shared" si="75"/>
        <v>Nov-2023</v>
      </c>
      <c r="P992">
        <f t="shared" si="76"/>
        <v>2023</v>
      </c>
      <c r="Q992" t="str">
        <f t="shared" si="77"/>
        <v>OK</v>
      </c>
      <c r="R992">
        <v>1</v>
      </c>
      <c r="S992">
        <f t="shared" si="78"/>
        <v>0</v>
      </c>
      <c r="T992">
        <f t="shared" si="79"/>
        <v>0</v>
      </c>
    </row>
    <row r="993" spans="1:20">
      <c r="A993" t="s">
        <v>3601</v>
      </c>
      <c r="B993" s="3">
        <v>45421</v>
      </c>
      <c r="C993" t="s">
        <v>3602</v>
      </c>
      <c r="D993" t="s">
        <v>79</v>
      </c>
      <c r="E993">
        <v>5</v>
      </c>
      <c r="F993" s="4">
        <v>127.18</v>
      </c>
      <c r="G993" t="s">
        <v>586</v>
      </c>
      <c r="H993" t="s">
        <v>24</v>
      </c>
      <c r="I993" t="s">
        <v>41</v>
      </c>
      <c r="J993" t="s">
        <v>3603</v>
      </c>
      <c r="K993">
        <v>10</v>
      </c>
      <c r="L993" t="s">
        <v>43</v>
      </c>
      <c r="M993" t="s">
        <v>82</v>
      </c>
      <c r="N993" s="4">
        <v>635.90000000000009</v>
      </c>
      <c r="O993" s="19" t="str">
        <f t="shared" si="75"/>
        <v>May-2024</v>
      </c>
      <c r="P993">
        <f t="shared" si="76"/>
        <v>2024</v>
      </c>
      <c r="Q993" t="str">
        <f t="shared" si="77"/>
        <v>OK</v>
      </c>
      <c r="R993">
        <v>1</v>
      </c>
      <c r="S993">
        <f t="shared" si="78"/>
        <v>1</v>
      </c>
      <c r="T993">
        <f t="shared" si="79"/>
        <v>0</v>
      </c>
    </row>
    <row r="994" spans="1:20">
      <c r="A994" t="s">
        <v>3604</v>
      </c>
      <c r="B994" s="3">
        <v>45531</v>
      </c>
      <c r="C994" t="s">
        <v>3605</v>
      </c>
      <c r="D994" t="s">
        <v>54</v>
      </c>
      <c r="E994">
        <v>3</v>
      </c>
      <c r="F994" s="4">
        <v>586.21</v>
      </c>
      <c r="G994" t="s">
        <v>609</v>
      </c>
      <c r="H994" t="s">
        <v>66</v>
      </c>
      <c r="I994" t="s">
        <v>95</v>
      </c>
      <c r="J994" t="s">
        <v>3606</v>
      </c>
      <c r="K994">
        <v>4</v>
      </c>
      <c r="L994" t="s">
        <v>87</v>
      </c>
      <c r="M994" t="s">
        <v>35</v>
      </c>
      <c r="N994" s="4">
        <v>1758.63</v>
      </c>
      <c r="O994" s="19" t="str">
        <f t="shared" si="75"/>
        <v>Aug-2024</v>
      </c>
      <c r="P994">
        <f t="shared" si="76"/>
        <v>2024</v>
      </c>
      <c r="Q994" t="str">
        <f t="shared" si="77"/>
        <v>OK</v>
      </c>
      <c r="R994">
        <v>1</v>
      </c>
      <c r="S994">
        <f t="shared" si="78"/>
        <v>0</v>
      </c>
      <c r="T994">
        <f t="shared" si="79"/>
        <v>0</v>
      </c>
    </row>
    <row r="995" spans="1:20">
      <c r="A995" t="s">
        <v>3607</v>
      </c>
      <c r="B995" s="3">
        <v>45388</v>
      </c>
      <c r="C995" t="s">
        <v>3608</v>
      </c>
      <c r="D995" t="s">
        <v>22</v>
      </c>
      <c r="E995">
        <v>3</v>
      </c>
      <c r="F995" s="4">
        <v>267.45</v>
      </c>
      <c r="G995" t="s">
        <v>3609</v>
      </c>
      <c r="H995" t="s">
        <v>66</v>
      </c>
      <c r="I995" t="s">
        <v>56</v>
      </c>
      <c r="J995" t="s">
        <v>3610</v>
      </c>
      <c r="K995">
        <v>5</v>
      </c>
      <c r="L995" t="s">
        <v>87</v>
      </c>
      <c r="M995" t="s">
        <v>28</v>
      </c>
      <c r="N995" s="4">
        <v>802.34999999999991</v>
      </c>
      <c r="O995" s="19" t="str">
        <f t="shared" si="75"/>
        <v>Apr-2024</v>
      </c>
      <c r="P995">
        <f t="shared" si="76"/>
        <v>2024</v>
      </c>
      <c r="Q995" t="str">
        <f t="shared" si="77"/>
        <v>OK</v>
      </c>
      <c r="R995">
        <v>1</v>
      </c>
      <c r="S995">
        <f t="shared" si="78"/>
        <v>0</v>
      </c>
      <c r="T995">
        <f t="shared" si="79"/>
        <v>0</v>
      </c>
    </row>
    <row r="996" spans="1:20">
      <c r="A996" t="s">
        <v>3611</v>
      </c>
      <c r="B996" s="3">
        <v>45470</v>
      </c>
      <c r="C996" t="s">
        <v>3612</v>
      </c>
      <c r="D996" t="s">
        <v>38</v>
      </c>
      <c r="E996">
        <v>4</v>
      </c>
      <c r="F996" s="4">
        <v>615.65</v>
      </c>
      <c r="G996" t="s">
        <v>369</v>
      </c>
      <c r="H996" t="s">
        <v>24</v>
      </c>
      <c r="I996" t="s">
        <v>56</v>
      </c>
      <c r="J996" t="s">
        <v>3613</v>
      </c>
      <c r="K996">
        <v>9</v>
      </c>
      <c r="L996" t="s">
        <v>87</v>
      </c>
      <c r="M996" t="s">
        <v>82</v>
      </c>
      <c r="N996" s="4">
        <v>2462.6</v>
      </c>
      <c r="O996" s="19" t="str">
        <f t="shared" si="75"/>
        <v>Jun-2024</v>
      </c>
      <c r="P996">
        <f t="shared" si="76"/>
        <v>2024</v>
      </c>
      <c r="Q996" t="str">
        <f t="shared" si="77"/>
        <v>OK</v>
      </c>
      <c r="R996">
        <v>1</v>
      </c>
      <c r="S996">
        <f t="shared" si="78"/>
        <v>0</v>
      </c>
      <c r="T996">
        <f t="shared" si="79"/>
        <v>0</v>
      </c>
    </row>
    <row r="997" spans="1:20">
      <c r="A997" t="s">
        <v>3614</v>
      </c>
      <c r="B997" s="3">
        <v>45248</v>
      </c>
      <c r="C997" t="s">
        <v>3615</v>
      </c>
      <c r="D997" t="s">
        <v>22</v>
      </c>
      <c r="E997">
        <v>2</v>
      </c>
      <c r="F997" s="4">
        <v>113.29</v>
      </c>
      <c r="G997" t="s">
        <v>1998</v>
      </c>
      <c r="H997" t="s">
        <v>71</v>
      </c>
      <c r="I997" t="s">
        <v>95</v>
      </c>
      <c r="J997" t="s">
        <v>3616</v>
      </c>
      <c r="K997">
        <v>5</v>
      </c>
      <c r="L997" t="s">
        <v>27</v>
      </c>
      <c r="M997" t="s">
        <v>51</v>
      </c>
      <c r="N997" s="4">
        <v>226.58</v>
      </c>
      <c r="O997" s="19" t="str">
        <f t="shared" si="75"/>
        <v>Nov-2023</v>
      </c>
      <c r="P997">
        <f t="shared" si="76"/>
        <v>2023</v>
      </c>
      <c r="Q997" t="str">
        <f t="shared" si="77"/>
        <v>OK</v>
      </c>
      <c r="R997">
        <v>1</v>
      </c>
      <c r="S997">
        <f t="shared" si="78"/>
        <v>0</v>
      </c>
      <c r="T997">
        <f t="shared" si="79"/>
        <v>0</v>
      </c>
    </row>
    <row r="998" spans="1:20">
      <c r="A998" t="s">
        <v>3617</v>
      </c>
      <c r="B998" s="3">
        <v>45410</v>
      </c>
      <c r="C998" t="s">
        <v>3618</v>
      </c>
      <c r="D998" t="s">
        <v>22</v>
      </c>
      <c r="E998">
        <v>4</v>
      </c>
      <c r="F998" s="4">
        <v>473.86</v>
      </c>
      <c r="G998" t="s">
        <v>1262</v>
      </c>
      <c r="H998" t="s">
        <v>24</v>
      </c>
      <c r="I998" t="s">
        <v>56</v>
      </c>
      <c r="J998" t="s">
        <v>3619</v>
      </c>
      <c r="K998">
        <v>7</v>
      </c>
      <c r="L998" t="s">
        <v>27</v>
      </c>
      <c r="M998" t="s">
        <v>51</v>
      </c>
      <c r="N998" s="4">
        <v>1895.44</v>
      </c>
      <c r="O998" s="19" t="str">
        <f t="shared" si="75"/>
        <v>Apr-2024</v>
      </c>
      <c r="P998">
        <f t="shared" si="76"/>
        <v>2024</v>
      </c>
      <c r="Q998" t="str">
        <f t="shared" si="77"/>
        <v>OK</v>
      </c>
      <c r="R998">
        <v>1</v>
      </c>
      <c r="S998">
        <f t="shared" si="78"/>
        <v>0</v>
      </c>
      <c r="T998">
        <f t="shared" si="79"/>
        <v>0</v>
      </c>
    </row>
    <row r="999" spans="1:20">
      <c r="A999" t="s">
        <v>3620</v>
      </c>
      <c r="B999" s="3">
        <v>45257</v>
      </c>
      <c r="C999" t="s">
        <v>3621</v>
      </c>
      <c r="D999" t="s">
        <v>64</v>
      </c>
      <c r="E999">
        <v>3</v>
      </c>
      <c r="F999" s="4">
        <v>444.75</v>
      </c>
      <c r="G999" t="s">
        <v>1944</v>
      </c>
      <c r="H999" t="s">
        <v>71</v>
      </c>
      <c r="I999" t="s">
        <v>56</v>
      </c>
      <c r="J999" t="s">
        <v>3622</v>
      </c>
      <c r="K999">
        <v>6</v>
      </c>
      <c r="L999" t="s">
        <v>27</v>
      </c>
      <c r="M999" t="s">
        <v>51</v>
      </c>
      <c r="N999" s="4">
        <v>1334.25</v>
      </c>
      <c r="O999" s="19" t="str">
        <f t="shared" si="75"/>
        <v>Nov-2023</v>
      </c>
      <c r="P999">
        <f t="shared" si="76"/>
        <v>2023</v>
      </c>
      <c r="Q999" t="str">
        <f t="shared" si="77"/>
        <v>OK</v>
      </c>
      <c r="R999">
        <v>1</v>
      </c>
      <c r="S999">
        <f t="shared" si="78"/>
        <v>0</v>
      </c>
      <c r="T999">
        <f t="shared" si="79"/>
        <v>0</v>
      </c>
    </row>
    <row r="1000" spans="1:20">
      <c r="A1000" t="s">
        <v>3623</v>
      </c>
      <c r="B1000" s="3">
        <v>45065</v>
      </c>
      <c r="C1000" t="s">
        <v>3624</v>
      </c>
      <c r="D1000" t="s">
        <v>31</v>
      </c>
      <c r="E1000">
        <v>2</v>
      </c>
      <c r="F1000" s="4">
        <v>183.67</v>
      </c>
      <c r="G1000" t="s">
        <v>962</v>
      </c>
      <c r="H1000" t="s">
        <v>24</v>
      </c>
      <c r="I1000" t="s">
        <v>41</v>
      </c>
      <c r="J1000" t="s">
        <v>3625</v>
      </c>
      <c r="K1000">
        <v>6</v>
      </c>
      <c r="L1000" t="s">
        <v>27</v>
      </c>
      <c r="M1000" t="s">
        <v>82</v>
      </c>
      <c r="N1000" s="4">
        <v>367.34</v>
      </c>
      <c r="O1000" s="19" t="str">
        <f t="shared" si="75"/>
        <v>May-2023</v>
      </c>
      <c r="P1000">
        <f t="shared" si="76"/>
        <v>2023</v>
      </c>
      <c r="Q1000" t="str">
        <f t="shared" si="77"/>
        <v>OK</v>
      </c>
      <c r="R1000">
        <v>1</v>
      </c>
      <c r="S1000">
        <f t="shared" si="78"/>
        <v>1</v>
      </c>
      <c r="T1000">
        <f t="shared" si="79"/>
        <v>0</v>
      </c>
    </row>
    <row r="1001" spans="1:20">
      <c r="A1001" t="s">
        <v>3626</v>
      </c>
      <c r="B1001" s="3">
        <v>45284</v>
      </c>
      <c r="C1001" t="s">
        <v>3627</v>
      </c>
      <c r="D1001" t="s">
        <v>54</v>
      </c>
      <c r="E1001">
        <v>1</v>
      </c>
      <c r="F1001" s="4">
        <v>483.38</v>
      </c>
      <c r="G1001" t="s">
        <v>1626</v>
      </c>
      <c r="H1001" t="s">
        <v>71</v>
      </c>
      <c r="I1001" t="s">
        <v>95</v>
      </c>
      <c r="J1001" t="s">
        <v>3628</v>
      </c>
      <c r="K1001">
        <v>6</v>
      </c>
      <c r="L1001" t="s">
        <v>43</v>
      </c>
      <c r="M1001" t="s">
        <v>82</v>
      </c>
      <c r="N1001" s="4">
        <v>483.38</v>
      </c>
      <c r="O1001" s="19" t="str">
        <f t="shared" si="75"/>
        <v>Dec-2023</v>
      </c>
      <c r="P1001">
        <f t="shared" si="76"/>
        <v>2023</v>
      </c>
      <c r="Q1001" t="str">
        <f t="shared" si="77"/>
        <v>OK</v>
      </c>
      <c r="R1001">
        <v>1</v>
      </c>
      <c r="S1001">
        <f t="shared" si="78"/>
        <v>0</v>
      </c>
      <c r="T1001">
        <f t="shared" si="79"/>
        <v>0</v>
      </c>
    </row>
    <row r="1002" spans="1:20">
      <c r="A1002" t="s">
        <v>3629</v>
      </c>
      <c r="B1002" s="3">
        <v>45098</v>
      </c>
      <c r="C1002" t="s">
        <v>3630</v>
      </c>
      <c r="D1002" t="s">
        <v>54</v>
      </c>
      <c r="E1002">
        <v>5</v>
      </c>
      <c r="F1002" s="4">
        <v>260.93</v>
      </c>
      <c r="G1002" t="s">
        <v>3631</v>
      </c>
      <c r="H1002" t="s">
        <v>33</v>
      </c>
      <c r="I1002" t="s">
        <v>56</v>
      </c>
      <c r="J1002" t="s">
        <v>3632</v>
      </c>
      <c r="K1002">
        <v>9</v>
      </c>
      <c r="L1002" t="s">
        <v>27</v>
      </c>
      <c r="M1002" t="s">
        <v>44</v>
      </c>
      <c r="N1002" s="4">
        <v>1304.6500000000001</v>
      </c>
      <c r="O1002" s="19" t="str">
        <f t="shared" si="75"/>
        <v>Jun-2023</v>
      </c>
      <c r="P1002">
        <f t="shared" si="76"/>
        <v>2023</v>
      </c>
      <c r="Q1002" t="str">
        <f t="shared" si="77"/>
        <v>OK</v>
      </c>
      <c r="R1002">
        <v>1</v>
      </c>
      <c r="S1002">
        <f t="shared" si="78"/>
        <v>0</v>
      </c>
      <c r="T1002">
        <f t="shared" si="79"/>
        <v>0</v>
      </c>
    </row>
    <row r="1003" spans="1:20">
      <c r="A1003" t="s">
        <v>3633</v>
      </c>
      <c r="B1003" s="3">
        <v>45268</v>
      </c>
      <c r="C1003" t="s">
        <v>3634</v>
      </c>
      <c r="D1003" t="s">
        <v>54</v>
      </c>
      <c r="E1003">
        <v>2</v>
      </c>
      <c r="F1003" s="4">
        <v>253.68</v>
      </c>
      <c r="G1003" t="s">
        <v>500</v>
      </c>
      <c r="H1003" t="s">
        <v>66</v>
      </c>
      <c r="I1003" t="s">
        <v>25</v>
      </c>
      <c r="J1003" t="s">
        <v>3635</v>
      </c>
      <c r="K1003">
        <v>6</v>
      </c>
      <c r="M1003" t="s">
        <v>35</v>
      </c>
      <c r="N1003" s="4">
        <v>507.36</v>
      </c>
      <c r="O1003" s="19" t="str">
        <f t="shared" si="75"/>
        <v>Dec-2023</v>
      </c>
      <c r="P1003">
        <f t="shared" si="76"/>
        <v>2023</v>
      </c>
      <c r="Q1003" t="str">
        <f t="shared" si="77"/>
        <v>OK</v>
      </c>
      <c r="R1003">
        <v>1</v>
      </c>
      <c r="S1003">
        <f t="shared" si="78"/>
        <v>0</v>
      </c>
      <c r="T1003">
        <f t="shared" si="79"/>
        <v>0</v>
      </c>
    </row>
    <row r="1004" spans="1:20">
      <c r="A1004" t="s">
        <v>3636</v>
      </c>
      <c r="B1004" s="3">
        <v>45827</v>
      </c>
      <c r="C1004" t="s">
        <v>3637</v>
      </c>
      <c r="D1004" t="s">
        <v>38</v>
      </c>
      <c r="E1004">
        <v>4</v>
      </c>
      <c r="F1004" s="4">
        <v>699.88</v>
      </c>
      <c r="G1004" t="s">
        <v>448</v>
      </c>
      <c r="H1004" t="s">
        <v>71</v>
      </c>
      <c r="I1004" t="s">
        <v>95</v>
      </c>
      <c r="J1004" t="s">
        <v>3638</v>
      </c>
      <c r="K1004">
        <v>5</v>
      </c>
      <c r="L1004" t="s">
        <v>87</v>
      </c>
      <c r="M1004" t="s">
        <v>35</v>
      </c>
      <c r="N1004" s="4">
        <v>2799.52</v>
      </c>
      <c r="O1004" s="19" t="str">
        <f t="shared" si="75"/>
        <v>Jun-2025</v>
      </c>
      <c r="P1004">
        <f t="shared" si="76"/>
        <v>2025</v>
      </c>
      <c r="Q1004" t="str">
        <f t="shared" si="77"/>
        <v>OK</v>
      </c>
      <c r="R1004">
        <v>1</v>
      </c>
      <c r="S1004">
        <f t="shared" si="78"/>
        <v>0</v>
      </c>
      <c r="T1004">
        <f t="shared" si="79"/>
        <v>0</v>
      </c>
    </row>
    <row r="1005" spans="1:20">
      <c r="A1005" t="s">
        <v>3639</v>
      </c>
      <c r="B1005" s="3">
        <v>44937</v>
      </c>
      <c r="C1005" t="s">
        <v>3640</v>
      </c>
      <c r="D1005" t="s">
        <v>54</v>
      </c>
      <c r="E1005">
        <v>5</v>
      </c>
      <c r="F1005" s="4">
        <v>319.97000000000003</v>
      </c>
      <c r="G1005" t="s">
        <v>3631</v>
      </c>
      <c r="H1005" t="s">
        <v>71</v>
      </c>
      <c r="I1005" t="s">
        <v>25</v>
      </c>
      <c r="J1005" t="s">
        <v>3641</v>
      </c>
      <c r="K1005">
        <v>7</v>
      </c>
      <c r="L1005" t="s">
        <v>27</v>
      </c>
      <c r="M1005" t="s">
        <v>82</v>
      </c>
      <c r="N1005" s="4">
        <v>1599.85</v>
      </c>
      <c r="O1005" s="19" t="str">
        <f t="shared" si="75"/>
        <v>Jan-2023</v>
      </c>
      <c r="P1005">
        <f t="shared" si="76"/>
        <v>2023</v>
      </c>
      <c r="Q1005" t="str">
        <f t="shared" si="77"/>
        <v>OK</v>
      </c>
      <c r="R1005">
        <v>1</v>
      </c>
      <c r="S1005">
        <f t="shared" si="78"/>
        <v>0</v>
      </c>
      <c r="T1005">
        <f t="shared" si="79"/>
        <v>0</v>
      </c>
    </row>
    <row r="1006" spans="1:20">
      <c r="A1006" t="s">
        <v>3642</v>
      </c>
      <c r="B1006" s="3">
        <v>45817</v>
      </c>
      <c r="C1006" t="s">
        <v>3643</v>
      </c>
      <c r="D1006" t="s">
        <v>47</v>
      </c>
      <c r="E1006">
        <v>4</v>
      </c>
      <c r="F1006" s="4">
        <v>246.91</v>
      </c>
      <c r="G1006" t="s">
        <v>151</v>
      </c>
      <c r="H1006" t="s">
        <v>33</v>
      </c>
      <c r="I1006" t="s">
        <v>95</v>
      </c>
      <c r="J1006" t="s">
        <v>3644</v>
      </c>
      <c r="K1006">
        <v>8</v>
      </c>
      <c r="L1006" t="s">
        <v>27</v>
      </c>
      <c r="M1006" t="s">
        <v>35</v>
      </c>
      <c r="N1006" s="4">
        <v>987.64</v>
      </c>
      <c r="O1006" s="19" t="str">
        <f t="shared" si="75"/>
        <v>Jun-2025</v>
      </c>
      <c r="P1006">
        <f t="shared" si="76"/>
        <v>2025</v>
      </c>
      <c r="Q1006" t="str">
        <f t="shared" si="77"/>
        <v>OK</v>
      </c>
      <c r="R1006">
        <v>1</v>
      </c>
      <c r="S1006">
        <f t="shared" si="78"/>
        <v>0</v>
      </c>
      <c r="T1006">
        <f t="shared" si="79"/>
        <v>0</v>
      </c>
    </row>
    <row r="1007" spans="1:20">
      <c r="A1007" t="s">
        <v>3645</v>
      </c>
      <c r="B1007" s="3">
        <v>44987</v>
      </c>
      <c r="C1007" t="s">
        <v>3646</v>
      </c>
      <c r="D1007" t="s">
        <v>54</v>
      </c>
      <c r="E1007">
        <v>3</v>
      </c>
      <c r="F1007" s="4">
        <v>392.85</v>
      </c>
      <c r="G1007" t="s">
        <v>2954</v>
      </c>
      <c r="H1007" t="s">
        <v>40</v>
      </c>
      <c r="I1007" t="s">
        <v>49</v>
      </c>
      <c r="J1007" t="s">
        <v>3647</v>
      </c>
      <c r="K1007">
        <v>6</v>
      </c>
      <c r="M1007" t="s">
        <v>82</v>
      </c>
      <c r="N1007" s="4">
        <v>1178.55</v>
      </c>
      <c r="O1007" s="19" t="str">
        <f t="shared" si="75"/>
        <v>Mar-2023</v>
      </c>
      <c r="P1007">
        <f t="shared" si="76"/>
        <v>2023</v>
      </c>
      <c r="Q1007" t="str">
        <f t="shared" si="77"/>
        <v>OK</v>
      </c>
      <c r="R1007">
        <v>1</v>
      </c>
      <c r="S1007">
        <f t="shared" si="78"/>
        <v>0</v>
      </c>
      <c r="T1007">
        <f t="shared" si="79"/>
        <v>1</v>
      </c>
    </row>
    <row r="1008" spans="1:20">
      <c r="A1008" t="s">
        <v>3648</v>
      </c>
      <c r="B1008" s="3">
        <v>45439</v>
      </c>
      <c r="C1008" t="s">
        <v>3649</v>
      </c>
      <c r="D1008" t="s">
        <v>38</v>
      </c>
      <c r="E1008">
        <v>5</v>
      </c>
      <c r="F1008" s="4">
        <v>420.98</v>
      </c>
      <c r="G1008" t="s">
        <v>2525</v>
      </c>
      <c r="H1008" t="s">
        <v>71</v>
      </c>
      <c r="I1008" t="s">
        <v>56</v>
      </c>
      <c r="J1008" t="s">
        <v>3650</v>
      </c>
      <c r="K1008">
        <v>7</v>
      </c>
      <c r="L1008" t="s">
        <v>27</v>
      </c>
      <c r="M1008" t="s">
        <v>51</v>
      </c>
      <c r="N1008" s="4">
        <v>2104.9</v>
      </c>
      <c r="O1008" s="19" t="str">
        <f t="shared" si="75"/>
        <v>May-2024</v>
      </c>
      <c r="P1008">
        <f t="shared" si="76"/>
        <v>2024</v>
      </c>
      <c r="Q1008" t="str">
        <f t="shared" si="77"/>
        <v>OK</v>
      </c>
      <c r="R1008">
        <v>1</v>
      </c>
      <c r="S1008">
        <f t="shared" si="78"/>
        <v>0</v>
      </c>
      <c r="T1008">
        <f t="shared" si="79"/>
        <v>0</v>
      </c>
    </row>
    <row r="1009" spans="1:20">
      <c r="A1009" t="s">
        <v>3651</v>
      </c>
      <c r="B1009" s="3">
        <v>45371</v>
      </c>
      <c r="C1009" t="s">
        <v>1874</v>
      </c>
      <c r="D1009" t="s">
        <v>22</v>
      </c>
      <c r="E1009">
        <v>2</v>
      </c>
      <c r="F1009" s="4">
        <v>73.260000000000005</v>
      </c>
      <c r="G1009" t="s">
        <v>421</v>
      </c>
      <c r="H1009" t="s">
        <v>71</v>
      </c>
      <c r="I1009" t="s">
        <v>95</v>
      </c>
      <c r="J1009" t="s">
        <v>3652</v>
      </c>
      <c r="K1009">
        <v>4</v>
      </c>
      <c r="L1009" t="s">
        <v>87</v>
      </c>
      <c r="M1009" t="s">
        <v>51</v>
      </c>
      <c r="N1009" s="4">
        <v>146.52000000000001</v>
      </c>
      <c r="O1009" s="19" t="str">
        <f t="shared" si="75"/>
        <v>Mar-2024</v>
      </c>
      <c r="P1009">
        <f t="shared" si="76"/>
        <v>2024</v>
      </c>
      <c r="Q1009" t="str">
        <f t="shared" si="77"/>
        <v>OK</v>
      </c>
      <c r="R1009">
        <v>1</v>
      </c>
      <c r="S1009">
        <f t="shared" si="78"/>
        <v>0</v>
      </c>
      <c r="T1009">
        <f t="shared" si="79"/>
        <v>0</v>
      </c>
    </row>
    <row r="1010" spans="1:20">
      <c r="A1010" t="s">
        <v>3653</v>
      </c>
      <c r="B1010" s="3">
        <v>44939</v>
      </c>
      <c r="C1010" t="s">
        <v>3654</v>
      </c>
      <c r="D1010" t="s">
        <v>22</v>
      </c>
      <c r="E1010">
        <v>3</v>
      </c>
      <c r="F1010" s="4">
        <v>410.88</v>
      </c>
      <c r="G1010" t="s">
        <v>2872</v>
      </c>
      <c r="H1010" t="s">
        <v>71</v>
      </c>
      <c r="I1010" t="s">
        <v>56</v>
      </c>
      <c r="J1010" t="s">
        <v>3655</v>
      </c>
      <c r="K1010">
        <v>8</v>
      </c>
      <c r="L1010" t="s">
        <v>43</v>
      </c>
      <c r="M1010" t="s">
        <v>28</v>
      </c>
      <c r="N1010" s="4">
        <v>1232.6400000000001</v>
      </c>
      <c r="O1010" s="19" t="str">
        <f t="shared" si="75"/>
        <v>Jan-2023</v>
      </c>
      <c r="P1010">
        <f t="shared" si="76"/>
        <v>2023</v>
      </c>
      <c r="Q1010" t="str">
        <f t="shared" si="77"/>
        <v>OK</v>
      </c>
      <c r="R1010">
        <v>1</v>
      </c>
      <c r="S1010">
        <f t="shared" si="78"/>
        <v>0</v>
      </c>
      <c r="T1010">
        <f t="shared" si="79"/>
        <v>0</v>
      </c>
    </row>
    <row r="1011" spans="1:20">
      <c r="A1011" t="s">
        <v>3656</v>
      </c>
      <c r="B1011" s="3">
        <v>45171</v>
      </c>
      <c r="C1011" t="s">
        <v>3657</v>
      </c>
      <c r="D1011" t="s">
        <v>38</v>
      </c>
      <c r="E1011">
        <v>2</v>
      </c>
      <c r="F1011" s="4">
        <v>176.46</v>
      </c>
      <c r="G1011" t="s">
        <v>1951</v>
      </c>
      <c r="H1011" t="s">
        <v>40</v>
      </c>
      <c r="I1011" t="s">
        <v>56</v>
      </c>
      <c r="J1011" t="s">
        <v>3658</v>
      </c>
      <c r="K1011">
        <v>2</v>
      </c>
      <c r="L1011" t="s">
        <v>43</v>
      </c>
      <c r="M1011" t="s">
        <v>44</v>
      </c>
      <c r="N1011" s="4">
        <v>352.92</v>
      </c>
      <c r="O1011" s="19" t="str">
        <f t="shared" si="75"/>
        <v>Sep-2023</v>
      </c>
      <c r="P1011">
        <f t="shared" si="76"/>
        <v>2023</v>
      </c>
      <c r="Q1011" t="str">
        <f t="shared" si="77"/>
        <v>OK</v>
      </c>
      <c r="R1011">
        <v>1</v>
      </c>
      <c r="S1011">
        <f t="shared" si="78"/>
        <v>0</v>
      </c>
      <c r="T1011">
        <f t="shared" si="79"/>
        <v>0</v>
      </c>
    </row>
    <row r="1012" spans="1:20">
      <c r="A1012" t="s">
        <v>3659</v>
      </c>
      <c r="B1012" s="3">
        <v>45016</v>
      </c>
      <c r="C1012" t="s">
        <v>3660</v>
      </c>
      <c r="D1012" t="s">
        <v>22</v>
      </c>
      <c r="E1012">
        <v>3</v>
      </c>
      <c r="F1012" s="4">
        <v>659.57</v>
      </c>
      <c r="G1012" t="s">
        <v>432</v>
      </c>
      <c r="H1012" t="s">
        <v>40</v>
      </c>
      <c r="I1012" t="s">
        <v>41</v>
      </c>
      <c r="J1012" t="s">
        <v>3661</v>
      </c>
      <c r="K1012">
        <v>6</v>
      </c>
      <c r="L1012" t="s">
        <v>27</v>
      </c>
      <c r="M1012" t="s">
        <v>44</v>
      </c>
      <c r="N1012" s="4">
        <v>1978.71</v>
      </c>
      <c r="O1012" s="19" t="str">
        <f t="shared" si="75"/>
        <v>Mar-2023</v>
      </c>
      <c r="P1012">
        <f t="shared" si="76"/>
        <v>2023</v>
      </c>
      <c r="Q1012" t="str">
        <f t="shared" si="77"/>
        <v>OK</v>
      </c>
      <c r="R1012">
        <v>1</v>
      </c>
      <c r="S1012">
        <f t="shared" si="78"/>
        <v>1</v>
      </c>
      <c r="T1012">
        <f t="shared" si="79"/>
        <v>0</v>
      </c>
    </row>
    <row r="1013" spans="1:20">
      <c r="A1013" t="s">
        <v>3662</v>
      </c>
      <c r="B1013" s="3">
        <v>45629</v>
      </c>
      <c r="C1013" t="s">
        <v>3663</v>
      </c>
      <c r="D1013" t="s">
        <v>31</v>
      </c>
      <c r="E1013">
        <v>2</v>
      </c>
      <c r="F1013" s="4">
        <v>478.36</v>
      </c>
      <c r="G1013" t="s">
        <v>1111</v>
      </c>
      <c r="H1013" t="s">
        <v>33</v>
      </c>
      <c r="I1013" t="s">
        <v>25</v>
      </c>
      <c r="J1013" t="s">
        <v>3664</v>
      </c>
      <c r="K1013">
        <v>3</v>
      </c>
      <c r="M1013" t="s">
        <v>82</v>
      </c>
      <c r="N1013" s="4">
        <v>956.72</v>
      </c>
      <c r="O1013" s="19" t="str">
        <f t="shared" si="75"/>
        <v>Dec-2024</v>
      </c>
      <c r="P1013">
        <f t="shared" si="76"/>
        <v>2024</v>
      </c>
      <c r="Q1013" t="str">
        <f t="shared" si="77"/>
        <v>OK</v>
      </c>
      <c r="R1013">
        <v>1</v>
      </c>
      <c r="S1013">
        <f t="shared" si="78"/>
        <v>0</v>
      </c>
      <c r="T1013">
        <f t="shared" si="79"/>
        <v>0</v>
      </c>
    </row>
    <row r="1014" spans="1:20">
      <c r="A1014" t="s">
        <v>3665</v>
      </c>
      <c r="B1014" s="3">
        <v>45629</v>
      </c>
      <c r="C1014" t="s">
        <v>3666</v>
      </c>
      <c r="D1014" t="s">
        <v>54</v>
      </c>
      <c r="E1014">
        <v>4</v>
      </c>
      <c r="F1014" s="4">
        <v>30.05</v>
      </c>
      <c r="G1014" t="s">
        <v>1258</v>
      </c>
      <c r="H1014" t="s">
        <v>33</v>
      </c>
      <c r="I1014" t="s">
        <v>49</v>
      </c>
      <c r="J1014" t="s">
        <v>3667</v>
      </c>
      <c r="K1014">
        <v>6</v>
      </c>
      <c r="M1014" t="s">
        <v>51</v>
      </c>
      <c r="N1014" s="4">
        <v>120.2</v>
      </c>
      <c r="O1014" s="19" t="str">
        <f t="shared" si="75"/>
        <v>Dec-2024</v>
      </c>
      <c r="P1014">
        <f t="shared" si="76"/>
        <v>2024</v>
      </c>
      <c r="Q1014" t="str">
        <f t="shared" si="77"/>
        <v>OK</v>
      </c>
      <c r="R1014">
        <v>1</v>
      </c>
      <c r="S1014">
        <f t="shared" si="78"/>
        <v>0</v>
      </c>
      <c r="T1014">
        <f t="shared" si="79"/>
        <v>1</v>
      </c>
    </row>
    <row r="1015" spans="1:20">
      <c r="A1015" t="s">
        <v>3668</v>
      </c>
      <c r="B1015" s="3">
        <v>45773</v>
      </c>
      <c r="C1015" t="s">
        <v>3669</v>
      </c>
      <c r="D1015" t="s">
        <v>64</v>
      </c>
      <c r="E1015">
        <v>4</v>
      </c>
      <c r="F1015" s="4">
        <v>300.56</v>
      </c>
      <c r="G1015" t="s">
        <v>271</v>
      </c>
      <c r="H1015" t="s">
        <v>71</v>
      </c>
      <c r="I1015" t="s">
        <v>41</v>
      </c>
      <c r="J1015" t="s">
        <v>3670</v>
      </c>
      <c r="K1015">
        <v>9</v>
      </c>
      <c r="L1015" t="s">
        <v>43</v>
      </c>
      <c r="M1015" t="s">
        <v>51</v>
      </c>
      <c r="N1015" s="4">
        <v>1202.24</v>
      </c>
      <c r="O1015" s="19" t="str">
        <f t="shared" si="75"/>
        <v>Apr-2025</v>
      </c>
      <c r="P1015">
        <f t="shared" si="76"/>
        <v>2025</v>
      </c>
      <c r="Q1015" t="str">
        <f t="shared" si="77"/>
        <v>OK</v>
      </c>
      <c r="R1015">
        <v>1</v>
      </c>
      <c r="S1015">
        <f t="shared" si="78"/>
        <v>1</v>
      </c>
      <c r="T1015">
        <f t="shared" si="79"/>
        <v>0</v>
      </c>
    </row>
    <row r="1016" spans="1:20">
      <c r="A1016" t="s">
        <v>3671</v>
      </c>
      <c r="B1016" s="3">
        <v>45326</v>
      </c>
      <c r="C1016" t="s">
        <v>3672</v>
      </c>
      <c r="D1016" t="s">
        <v>38</v>
      </c>
      <c r="E1016">
        <v>5</v>
      </c>
      <c r="F1016" s="4">
        <v>226.45</v>
      </c>
      <c r="G1016" t="s">
        <v>1749</v>
      </c>
      <c r="H1016" t="s">
        <v>24</v>
      </c>
      <c r="I1016" t="s">
        <v>49</v>
      </c>
      <c r="J1016" t="s">
        <v>3673</v>
      </c>
      <c r="K1016">
        <v>6</v>
      </c>
      <c r="L1016" t="s">
        <v>43</v>
      </c>
      <c r="M1016" t="s">
        <v>44</v>
      </c>
      <c r="N1016" s="4">
        <v>1132.25</v>
      </c>
      <c r="O1016" s="19" t="str">
        <f t="shared" si="75"/>
        <v>Feb-2024</v>
      </c>
      <c r="P1016">
        <f t="shared" si="76"/>
        <v>2024</v>
      </c>
      <c r="Q1016" t="str">
        <f t="shared" si="77"/>
        <v>OK</v>
      </c>
      <c r="R1016">
        <v>1</v>
      </c>
      <c r="S1016">
        <f t="shared" si="78"/>
        <v>0</v>
      </c>
      <c r="T1016">
        <f t="shared" si="79"/>
        <v>1</v>
      </c>
    </row>
    <row r="1017" spans="1:20">
      <c r="A1017" t="s">
        <v>3674</v>
      </c>
      <c r="B1017" s="3">
        <v>45317</v>
      </c>
      <c r="C1017" t="s">
        <v>3675</v>
      </c>
      <c r="D1017" t="s">
        <v>54</v>
      </c>
      <c r="E1017">
        <v>2</v>
      </c>
      <c r="F1017" s="4">
        <v>349.4</v>
      </c>
      <c r="G1017" t="s">
        <v>2289</v>
      </c>
      <c r="H1017" t="s">
        <v>33</v>
      </c>
      <c r="I1017" t="s">
        <v>25</v>
      </c>
      <c r="J1017" t="s">
        <v>3676</v>
      </c>
      <c r="K1017">
        <v>2</v>
      </c>
      <c r="L1017" t="s">
        <v>27</v>
      </c>
      <c r="M1017" t="s">
        <v>28</v>
      </c>
      <c r="N1017" s="4">
        <v>698.8</v>
      </c>
      <c r="O1017" s="19" t="str">
        <f t="shared" si="75"/>
        <v>Jan-2024</v>
      </c>
      <c r="P1017">
        <f t="shared" si="76"/>
        <v>2024</v>
      </c>
      <c r="Q1017" t="str">
        <f t="shared" si="77"/>
        <v>OK</v>
      </c>
      <c r="R1017">
        <v>1</v>
      </c>
      <c r="S1017">
        <f t="shared" si="78"/>
        <v>0</v>
      </c>
      <c r="T1017">
        <f t="shared" si="79"/>
        <v>0</v>
      </c>
    </row>
    <row r="1018" spans="1:20">
      <c r="A1018" t="s">
        <v>3677</v>
      </c>
      <c r="B1018" s="3">
        <v>45289</v>
      </c>
      <c r="C1018" t="s">
        <v>3678</v>
      </c>
      <c r="D1018" t="s">
        <v>38</v>
      </c>
      <c r="E1018">
        <v>5</v>
      </c>
      <c r="F1018" s="4">
        <v>268.77999999999997</v>
      </c>
      <c r="G1018" t="s">
        <v>3679</v>
      </c>
      <c r="H1018" t="s">
        <v>24</v>
      </c>
      <c r="I1018" t="s">
        <v>56</v>
      </c>
      <c r="J1018" t="s">
        <v>3680</v>
      </c>
      <c r="K1018">
        <v>7</v>
      </c>
      <c r="L1018" t="s">
        <v>87</v>
      </c>
      <c r="M1018" t="s">
        <v>44</v>
      </c>
      <c r="N1018" s="4">
        <v>1343.9</v>
      </c>
      <c r="O1018" s="19" t="str">
        <f t="shared" si="75"/>
        <v>Dec-2023</v>
      </c>
      <c r="P1018">
        <f t="shared" si="76"/>
        <v>2023</v>
      </c>
      <c r="Q1018" t="str">
        <f t="shared" si="77"/>
        <v>OK</v>
      </c>
      <c r="R1018">
        <v>1</v>
      </c>
      <c r="S1018">
        <f t="shared" si="78"/>
        <v>0</v>
      </c>
      <c r="T1018">
        <f t="shared" si="79"/>
        <v>0</v>
      </c>
    </row>
    <row r="1019" spans="1:20">
      <c r="A1019" t="s">
        <v>3681</v>
      </c>
      <c r="B1019" s="3">
        <v>45529</v>
      </c>
      <c r="C1019" t="s">
        <v>3682</v>
      </c>
      <c r="D1019" t="s">
        <v>47</v>
      </c>
      <c r="E1019">
        <v>2</v>
      </c>
      <c r="F1019" s="4">
        <v>680.85</v>
      </c>
      <c r="G1019" t="s">
        <v>3683</v>
      </c>
      <c r="H1019" t="s">
        <v>66</v>
      </c>
      <c r="I1019" t="s">
        <v>56</v>
      </c>
      <c r="J1019" t="s">
        <v>3684</v>
      </c>
      <c r="K1019">
        <v>6</v>
      </c>
      <c r="L1019" t="s">
        <v>43</v>
      </c>
      <c r="M1019" t="s">
        <v>35</v>
      </c>
      <c r="N1019" s="4">
        <v>1361.7</v>
      </c>
      <c r="O1019" s="19" t="str">
        <f t="shared" si="75"/>
        <v>Aug-2024</v>
      </c>
      <c r="P1019">
        <f t="shared" si="76"/>
        <v>2024</v>
      </c>
      <c r="Q1019" t="str">
        <f t="shared" si="77"/>
        <v>OK</v>
      </c>
      <c r="R1019">
        <v>1</v>
      </c>
      <c r="S1019">
        <f t="shared" si="78"/>
        <v>0</v>
      </c>
      <c r="T1019">
        <f t="shared" si="79"/>
        <v>0</v>
      </c>
    </row>
    <row r="1020" spans="1:20">
      <c r="A1020" t="s">
        <v>3685</v>
      </c>
      <c r="B1020" s="3">
        <v>45115</v>
      </c>
      <c r="C1020" t="s">
        <v>3686</v>
      </c>
      <c r="D1020" t="s">
        <v>64</v>
      </c>
      <c r="E1020">
        <v>3</v>
      </c>
      <c r="F1020" s="4">
        <v>182.48</v>
      </c>
      <c r="G1020" t="s">
        <v>3687</v>
      </c>
      <c r="H1020" t="s">
        <v>71</v>
      </c>
      <c r="I1020" t="s">
        <v>56</v>
      </c>
      <c r="J1020" t="s">
        <v>3688</v>
      </c>
      <c r="K1020">
        <v>3</v>
      </c>
      <c r="M1020" t="s">
        <v>28</v>
      </c>
      <c r="N1020" s="4">
        <v>547.43999999999994</v>
      </c>
      <c r="O1020" s="19" t="str">
        <f t="shared" si="75"/>
        <v>Jul-2023</v>
      </c>
      <c r="P1020">
        <f t="shared" si="76"/>
        <v>2023</v>
      </c>
      <c r="Q1020" t="str">
        <f t="shared" si="77"/>
        <v>OK</v>
      </c>
      <c r="R1020">
        <v>1</v>
      </c>
      <c r="S1020">
        <f t="shared" si="78"/>
        <v>0</v>
      </c>
      <c r="T1020">
        <f t="shared" si="79"/>
        <v>0</v>
      </c>
    </row>
    <row r="1021" spans="1:20">
      <c r="A1021" t="s">
        <v>3689</v>
      </c>
      <c r="B1021" s="3">
        <v>45388</v>
      </c>
      <c r="C1021" t="s">
        <v>3690</v>
      </c>
      <c r="D1021" t="s">
        <v>79</v>
      </c>
      <c r="E1021">
        <v>1</v>
      </c>
      <c r="F1021" s="4">
        <v>277.08999999999997</v>
      </c>
      <c r="G1021" t="s">
        <v>1354</v>
      </c>
      <c r="H1021" t="s">
        <v>71</v>
      </c>
      <c r="I1021" t="s">
        <v>49</v>
      </c>
      <c r="J1021" t="s">
        <v>3691</v>
      </c>
      <c r="K1021">
        <v>2</v>
      </c>
      <c r="L1021" t="s">
        <v>27</v>
      </c>
      <c r="M1021" t="s">
        <v>35</v>
      </c>
      <c r="N1021" s="4">
        <v>277.08999999999997</v>
      </c>
      <c r="O1021" s="19" t="str">
        <f t="shared" si="75"/>
        <v>Apr-2024</v>
      </c>
      <c r="P1021">
        <f t="shared" si="76"/>
        <v>2024</v>
      </c>
      <c r="Q1021" t="str">
        <f t="shared" si="77"/>
        <v>OK</v>
      </c>
      <c r="R1021">
        <v>1</v>
      </c>
      <c r="S1021">
        <f t="shared" si="78"/>
        <v>0</v>
      </c>
      <c r="T1021">
        <f t="shared" si="79"/>
        <v>1</v>
      </c>
    </row>
    <row r="1022" spans="1:20">
      <c r="A1022" t="s">
        <v>3692</v>
      </c>
      <c r="B1022" s="3">
        <v>45404</v>
      </c>
      <c r="C1022" t="s">
        <v>3693</v>
      </c>
      <c r="D1022" t="s">
        <v>38</v>
      </c>
      <c r="E1022">
        <v>2</v>
      </c>
      <c r="F1022" s="4">
        <v>26.5</v>
      </c>
      <c r="G1022" t="s">
        <v>1437</v>
      </c>
      <c r="H1022" t="s">
        <v>33</v>
      </c>
      <c r="I1022" t="s">
        <v>56</v>
      </c>
      <c r="J1022" t="s">
        <v>3694</v>
      </c>
      <c r="K1022">
        <v>3</v>
      </c>
      <c r="L1022" t="s">
        <v>27</v>
      </c>
      <c r="M1022" t="s">
        <v>28</v>
      </c>
      <c r="N1022" s="4">
        <v>53</v>
      </c>
      <c r="O1022" s="19" t="str">
        <f t="shared" si="75"/>
        <v>Apr-2024</v>
      </c>
      <c r="P1022">
        <f t="shared" si="76"/>
        <v>2024</v>
      </c>
      <c r="Q1022" t="str">
        <f t="shared" si="77"/>
        <v>OK</v>
      </c>
      <c r="R1022">
        <v>1</v>
      </c>
      <c r="S1022">
        <f t="shared" si="78"/>
        <v>0</v>
      </c>
      <c r="T1022">
        <f t="shared" si="79"/>
        <v>0</v>
      </c>
    </row>
    <row r="1023" spans="1:20">
      <c r="A1023" t="s">
        <v>3695</v>
      </c>
      <c r="B1023" s="3">
        <v>45222</v>
      </c>
      <c r="C1023" t="s">
        <v>3696</v>
      </c>
      <c r="D1023" t="s">
        <v>31</v>
      </c>
      <c r="E1023">
        <v>3</v>
      </c>
      <c r="F1023" s="4">
        <v>315.27</v>
      </c>
      <c r="G1023" t="s">
        <v>3198</v>
      </c>
      <c r="H1023" t="s">
        <v>40</v>
      </c>
      <c r="I1023" t="s">
        <v>41</v>
      </c>
      <c r="J1023" t="s">
        <v>3697</v>
      </c>
      <c r="K1023">
        <v>4</v>
      </c>
      <c r="L1023" t="s">
        <v>27</v>
      </c>
      <c r="M1023" t="s">
        <v>44</v>
      </c>
      <c r="N1023" s="4">
        <v>945.81</v>
      </c>
      <c r="O1023" s="19" t="str">
        <f t="shared" si="75"/>
        <v>Oct-2023</v>
      </c>
      <c r="P1023">
        <f t="shared" si="76"/>
        <v>2023</v>
      </c>
      <c r="Q1023" t="str">
        <f t="shared" si="77"/>
        <v>OK</v>
      </c>
      <c r="R1023">
        <v>1</v>
      </c>
      <c r="S1023">
        <f t="shared" si="78"/>
        <v>1</v>
      </c>
      <c r="T1023">
        <f t="shared" si="79"/>
        <v>0</v>
      </c>
    </row>
    <row r="1024" spans="1:20">
      <c r="A1024" t="s">
        <v>3698</v>
      </c>
      <c r="B1024" s="3">
        <v>45712</v>
      </c>
      <c r="C1024" t="s">
        <v>3699</v>
      </c>
      <c r="D1024" t="s">
        <v>38</v>
      </c>
      <c r="E1024">
        <v>3</v>
      </c>
      <c r="F1024" s="4">
        <v>450.98</v>
      </c>
      <c r="G1024" t="s">
        <v>2585</v>
      </c>
      <c r="H1024" t="s">
        <v>40</v>
      </c>
      <c r="I1024" t="s">
        <v>25</v>
      </c>
      <c r="J1024" t="s">
        <v>3700</v>
      </c>
      <c r="K1024">
        <v>8</v>
      </c>
      <c r="L1024" t="s">
        <v>27</v>
      </c>
      <c r="M1024" t="s">
        <v>35</v>
      </c>
      <c r="N1024" s="4">
        <v>1352.94</v>
      </c>
      <c r="O1024" s="19" t="str">
        <f t="shared" si="75"/>
        <v>Feb-2025</v>
      </c>
      <c r="P1024">
        <f t="shared" si="76"/>
        <v>2025</v>
      </c>
      <c r="Q1024" t="str">
        <f t="shared" si="77"/>
        <v>OK</v>
      </c>
      <c r="R1024">
        <v>1</v>
      </c>
      <c r="S1024">
        <f t="shared" si="78"/>
        <v>0</v>
      </c>
      <c r="T1024">
        <f t="shared" si="79"/>
        <v>0</v>
      </c>
    </row>
    <row r="1025" spans="1:20">
      <c r="A1025" t="s">
        <v>3701</v>
      </c>
      <c r="B1025" s="3">
        <v>45558</v>
      </c>
      <c r="C1025" t="s">
        <v>3702</v>
      </c>
      <c r="D1025" t="s">
        <v>64</v>
      </c>
      <c r="E1025">
        <v>5</v>
      </c>
      <c r="F1025" s="4">
        <v>233.67</v>
      </c>
      <c r="G1025" t="s">
        <v>397</v>
      </c>
      <c r="H1025" t="s">
        <v>71</v>
      </c>
      <c r="I1025" t="s">
        <v>25</v>
      </c>
      <c r="J1025" t="s">
        <v>3703</v>
      </c>
      <c r="K1025">
        <v>10</v>
      </c>
      <c r="M1025" t="s">
        <v>35</v>
      </c>
      <c r="N1025" s="4">
        <v>1168.3499999999999</v>
      </c>
      <c r="O1025" s="19" t="str">
        <f t="shared" si="75"/>
        <v>Sep-2024</v>
      </c>
      <c r="P1025">
        <f t="shared" si="76"/>
        <v>2024</v>
      </c>
      <c r="Q1025" t="str">
        <f t="shared" si="77"/>
        <v>OK</v>
      </c>
      <c r="R1025">
        <v>1</v>
      </c>
      <c r="S1025">
        <f t="shared" si="78"/>
        <v>0</v>
      </c>
      <c r="T1025">
        <f t="shared" si="79"/>
        <v>0</v>
      </c>
    </row>
    <row r="1026" spans="1:20">
      <c r="A1026" t="s">
        <v>3704</v>
      </c>
      <c r="B1026" s="3">
        <v>45320</v>
      </c>
      <c r="C1026" t="s">
        <v>3705</v>
      </c>
      <c r="D1026" t="s">
        <v>47</v>
      </c>
      <c r="E1026">
        <v>3</v>
      </c>
      <c r="F1026" s="4">
        <v>367.75</v>
      </c>
      <c r="G1026" t="s">
        <v>1792</v>
      </c>
      <c r="H1026" t="s">
        <v>71</v>
      </c>
      <c r="I1026" t="s">
        <v>95</v>
      </c>
      <c r="J1026" t="s">
        <v>3706</v>
      </c>
      <c r="K1026">
        <v>7</v>
      </c>
      <c r="L1026" t="s">
        <v>43</v>
      </c>
      <c r="M1026" t="s">
        <v>51</v>
      </c>
      <c r="N1026" s="4">
        <v>1103.25</v>
      </c>
      <c r="O1026" s="19" t="str">
        <f t="shared" ref="O1026:O1089" si="80">TEXT(B1026,"mmm-yyyy")</f>
        <v>Jan-2024</v>
      </c>
      <c r="P1026">
        <f t="shared" ref="P1026:P1089" si="81">YEAR(B1026)</f>
        <v>2024</v>
      </c>
      <c r="Q1026" t="str">
        <f t="shared" ref="Q1026:Q1089" si="82">IF(ABS(N1026-(E1026*F1026))&lt;0.01,"OK","CHECK")</f>
        <v>OK</v>
      </c>
      <c r="R1026">
        <v>1</v>
      </c>
      <c r="S1026">
        <f t="shared" ref="S1026:S1089" si="83">IF(I1026="Cancelled",1,0)</f>
        <v>0</v>
      </c>
      <c r="T1026">
        <f t="shared" ref="T1026:T1089" si="84">IF(I1026="Returned",1,0)</f>
        <v>0</v>
      </c>
    </row>
    <row r="1027" spans="1:20">
      <c r="A1027" t="s">
        <v>3707</v>
      </c>
      <c r="B1027" s="3">
        <v>45794</v>
      </c>
      <c r="C1027" t="s">
        <v>3708</v>
      </c>
      <c r="D1027" t="s">
        <v>47</v>
      </c>
      <c r="E1027">
        <v>1</v>
      </c>
      <c r="F1027" s="4">
        <v>23.53</v>
      </c>
      <c r="G1027" t="s">
        <v>632</v>
      </c>
      <c r="H1027" t="s">
        <v>66</v>
      </c>
      <c r="I1027" t="s">
        <v>56</v>
      </c>
      <c r="J1027" t="s">
        <v>3709</v>
      </c>
      <c r="K1027">
        <v>2</v>
      </c>
      <c r="L1027" t="s">
        <v>43</v>
      </c>
      <c r="M1027" t="s">
        <v>28</v>
      </c>
      <c r="N1027" s="4">
        <v>23.53</v>
      </c>
      <c r="O1027" s="19" t="str">
        <f t="shared" si="80"/>
        <v>May-2025</v>
      </c>
      <c r="P1027">
        <f t="shared" si="81"/>
        <v>2025</v>
      </c>
      <c r="Q1027" t="str">
        <f t="shared" si="82"/>
        <v>OK</v>
      </c>
      <c r="R1027">
        <v>1</v>
      </c>
      <c r="S1027">
        <f t="shared" si="83"/>
        <v>0</v>
      </c>
      <c r="T1027">
        <f t="shared" si="84"/>
        <v>0</v>
      </c>
    </row>
    <row r="1028" spans="1:20">
      <c r="A1028" t="s">
        <v>3710</v>
      </c>
      <c r="B1028" s="3">
        <v>45047</v>
      </c>
      <c r="C1028" t="s">
        <v>3711</v>
      </c>
      <c r="D1028" t="s">
        <v>22</v>
      </c>
      <c r="E1028">
        <v>1</v>
      </c>
      <c r="F1028" s="4">
        <v>677.48</v>
      </c>
      <c r="G1028" t="s">
        <v>512</v>
      </c>
      <c r="H1028" t="s">
        <v>33</v>
      </c>
      <c r="I1028" t="s">
        <v>56</v>
      </c>
      <c r="J1028" t="s">
        <v>3712</v>
      </c>
      <c r="K1028">
        <v>1</v>
      </c>
      <c r="L1028" t="s">
        <v>87</v>
      </c>
      <c r="M1028" t="s">
        <v>51</v>
      </c>
      <c r="N1028" s="4">
        <v>677.48</v>
      </c>
      <c r="O1028" s="19" t="str">
        <f t="shared" si="80"/>
        <v>May-2023</v>
      </c>
      <c r="P1028">
        <f t="shared" si="81"/>
        <v>2023</v>
      </c>
      <c r="Q1028" t="str">
        <f t="shared" si="82"/>
        <v>OK</v>
      </c>
      <c r="R1028">
        <v>1</v>
      </c>
      <c r="S1028">
        <f t="shared" si="83"/>
        <v>0</v>
      </c>
      <c r="T1028">
        <f t="shared" si="84"/>
        <v>0</v>
      </c>
    </row>
    <row r="1029" spans="1:20">
      <c r="A1029" t="s">
        <v>3713</v>
      </c>
      <c r="B1029" s="3">
        <v>45433</v>
      </c>
      <c r="C1029" t="s">
        <v>3714</v>
      </c>
      <c r="D1029" t="s">
        <v>64</v>
      </c>
      <c r="E1029">
        <v>4</v>
      </c>
      <c r="F1029" s="4">
        <v>554.83000000000004</v>
      </c>
      <c r="G1029" t="s">
        <v>2804</v>
      </c>
      <c r="H1029" t="s">
        <v>71</v>
      </c>
      <c r="I1029" t="s">
        <v>49</v>
      </c>
      <c r="J1029" t="s">
        <v>3715</v>
      </c>
      <c r="K1029">
        <v>6</v>
      </c>
      <c r="M1029" t="s">
        <v>82</v>
      </c>
      <c r="N1029" s="4">
        <v>2219.3200000000002</v>
      </c>
      <c r="O1029" s="19" t="str">
        <f t="shared" si="80"/>
        <v>May-2024</v>
      </c>
      <c r="P1029">
        <f t="shared" si="81"/>
        <v>2024</v>
      </c>
      <c r="Q1029" t="str">
        <f t="shared" si="82"/>
        <v>OK</v>
      </c>
      <c r="R1029">
        <v>1</v>
      </c>
      <c r="S1029">
        <f t="shared" si="83"/>
        <v>0</v>
      </c>
      <c r="T1029">
        <f t="shared" si="84"/>
        <v>1</v>
      </c>
    </row>
    <row r="1030" spans="1:20">
      <c r="A1030" t="s">
        <v>3716</v>
      </c>
      <c r="B1030" s="3">
        <v>44974</v>
      </c>
      <c r="C1030" t="s">
        <v>3717</v>
      </c>
      <c r="D1030" t="s">
        <v>79</v>
      </c>
      <c r="E1030">
        <v>4</v>
      </c>
      <c r="F1030" s="4">
        <v>440.31</v>
      </c>
      <c r="G1030" t="s">
        <v>943</v>
      </c>
      <c r="H1030" t="s">
        <v>71</v>
      </c>
      <c r="I1030" t="s">
        <v>41</v>
      </c>
      <c r="J1030" t="s">
        <v>3718</v>
      </c>
      <c r="K1030">
        <v>6</v>
      </c>
      <c r="M1030" t="s">
        <v>28</v>
      </c>
      <c r="N1030" s="4">
        <v>1761.24</v>
      </c>
      <c r="O1030" s="19" t="str">
        <f t="shared" si="80"/>
        <v>Feb-2023</v>
      </c>
      <c r="P1030">
        <f t="shared" si="81"/>
        <v>2023</v>
      </c>
      <c r="Q1030" t="str">
        <f t="shared" si="82"/>
        <v>OK</v>
      </c>
      <c r="R1030">
        <v>1</v>
      </c>
      <c r="S1030">
        <f t="shared" si="83"/>
        <v>1</v>
      </c>
      <c r="T1030">
        <f t="shared" si="84"/>
        <v>0</v>
      </c>
    </row>
    <row r="1031" spans="1:20">
      <c r="A1031" t="s">
        <v>3719</v>
      </c>
      <c r="B1031" s="3">
        <v>45717</v>
      </c>
      <c r="C1031" t="s">
        <v>3720</v>
      </c>
      <c r="D1031" t="s">
        <v>79</v>
      </c>
      <c r="E1031">
        <v>1</v>
      </c>
      <c r="F1031" s="4">
        <v>87.06</v>
      </c>
      <c r="G1031" t="s">
        <v>3489</v>
      </c>
      <c r="H1031" t="s">
        <v>40</v>
      </c>
      <c r="I1031" t="s">
        <v>25</v>
      </c>
      <c r="J1031" t="s">
        <v>3721</v>
      </c>
      <c r="K1031">
        <v>4</v>
      </c>
      <c r="L1031" t="s">
        <v>43</v>
      </c>
      <c r="M1031" t="s">
        <v>44</v>
      </c>
      <c r="N1031" s="4">
        <v>87.06</v>
      </c>
      <c r="O1031" s="19" t="str">
        <f t="shared" si="80"/>
        <v>Mar-2025</v>
      </c>
      <c r="P1031">
        <f t="shared" si="81"/>
        <v>2025</v>
      </c>
      <c r="Q1031" t="str">
        <f t="shared" si="82"/>
        <v>OK</v>
      </c>
      <c r="R1031">
        <v>1</v>
      </c>
      <c r="S1031">
        <f t="shared" si="83"/>
        <v>0</v>
      </c>
      <c r="T1031">
        <f t="shared" si="84"/>
        <v>0</v>
      </c>
    </row>
    <row r="1032" spans="1:20">
      <c r="A1032" t="s">
        <v>3722</v>
      </c>
      <c r="B1032" s="3">
        <v>45201</v>
      </c>
      <c r="C1032" t="s">
        <v>3723</v>
      </c>
      <c r="D1032" t="s">
        <v>31</v>
      </c>
      <c r="E1032">
        <v>4</v>
      </c>
      <c r="F1032" s="4">
        <v>245.28</v>
      </c>
      <c r="G1032" t="s">
        <v>3724</v>
      </c>
      <c r="H1032" t="s">
        <v>40</v>
      </c>
      <c r="I1032" t="s">
        <v>56</v>
      </c>
      <c r="J1032" t="s">
        <v>3725</v>
      </c>
      <c r="K1032">
        <v>6</v>
      </c>
      <c r="L1032" t="s">
        <v>87</v>
      </c>
      <c r="M1032" t="s">
        <v>44</v>
      </c>
      <c r="N1032" s="4">
        <v>981.12</v>
      </c>
      <c r="O1032" s="19" t="str">
        <f t="shared" si="80"/>
        <v>Oct-2023</v>
      </c>
      <c r="P1032">
        <f t="shared" si="81"/>
        <v>2023</v>
      </c>
      <c r="Q1032" t="str">
        <f t="shared" si="82"/>
        <v>OK</v>
      </c>
      <c r="R1032">
        <v>1</v>
      </c>
      <c r="S1032">
        <f t="shared" si="83"/>
        <v>0</v>
      </c>
      <c r="T1032">
        <f t="shared" si="84"/>
        <v>0</v>
      </c>
    </row>
    <row r="1033" spans="1:20">
      <c r="A1033" t="s">
        <v>3726</v>
      </c>
      <c r="B1033" s="3">
        <v>44985</v>
      </c>
      <c r="C1033" t="s">
        <v>3727</v>
      </c>
      <c r="D1033" t="s">
        <v>31</v>
      </c>
      <c r="E1033">
        <v>5</v>
      </c>
      <c r="F1033" s="4">
        <v>664.51</v>
      </c>
      <c r="G1033" t="s">
        <v>3728</v>
      </c>
      <c r="H1033" t="s">
        <v>24</v>
      </c>
      <c r="I1033" t="s">
        <v>95</v>
      </c>
      <c r="J1033" t="s">
        <v>3729</v>
      </c>
      <c r="K1033">
        <v>8</v>
      </c>
      <c r="L1033" t="s">
        <v>27</v>
      </c>
      <c r="M1033" t="s">
        <v>44</v>
      </c>
      <c r="N1033" s="4">
        <v>3322.55</v>
      </c>
      <c r="O1033" s="19" t="str">
        <f t="shared" si="80"/>
        <v>Feb-2023</v>
      </c>
      <c r="P1033">
        <f t="shared" si="81"/>
        <v>2023</v>
      </c>
      <c r="Q1033" t="str">
        <f t="shared" si="82"/>
        <v>OK</v>
      </c>
      <c r="R1033">
        <v>1</v>
      </c>
      <c r="S1033">
        <f t="shared" si="83"/>
        <v>0</v>
      </c>
      <c r="T1033">
        <f t="shared" si="84"/>
        <v>0</v>
      </c>
    </row>
    <row r="1034" spans="1:20">
      <c r="A1034" t="s">
        <v>3730</v>
      </c>
      <c r="B1034" s="3">
        <v>45036</v>
      </c>
      <c r="C1034" t="s">
        <v>3731</v>
      </c>
      <c r="D1034" t="s">
        <v>47</v>
      </c>
      <c r="E1034">
        <v>1</v>
      </c>
      <c r="F1034" s="4">
        <v>618.67999999999995</v>
      </c>
      <c r="G1034" t="s">
        <v>1139</v>
      </c>
      <c r="H1034" t="s">
        <v>33</v>
      </c>
      <c r="I1034" t="s">
        <v>56</v>
      </c>
      <c r="J1034" t="s">
        <v>3732</v>
      </c>
      <c r="K1034">
        <v>6</v>
      </c>
      <c r="L1034" t="s">
        <v>87</v>
      </c>
      <c r="M1034" t="s">
        <v>35</v>
      </c>
      <c r="N1034" s="4">
        <v>618.67999999999995</v>
      </c>
      <c r="O1034" s="19" t="str">
        <f t="shared" si="80"/>
        <v>Apr-2023</v>
      </c>
      <c r="P1034">
        <f t="shared" si="81"/>
        <v>2023</v>
      </c>
      <c r="Q1034" t="str">
        <f t="shared" si="82"/>
        <v>OK</v>
      </c>
      <c r="R1034">
        <v>1</v>
      </c>
      <c r="S1034">
        <f t="shared" si="83"/>
        <v>0</v>
      </c>
      <c r="T1034">
        <f t="shared" si="84"/>
        <v>0</v>
      </c>
    </row>
    <row r="1035" spans="1:20">
      <c r="A1035" t="s">
        <v>3733</v>
      </c>
      <c r="B1035" s="3">
        <v>45650</v>
      </c>
      <c r="C1035" t="s">
        <v>3734</v>
      </c>
      <c r="D1035" t="s">
        <v>22</v>
      </c>
      <c r="E1035">
        <v>1</v>
      </c>
      <c r="F1035" s="4">
        <v>370.85</v>
      </c>
      <c r="G1035" t="s">
        <v>3735</v>
      </c>
      <c r="H1035" t="s">
        <v>66</v>
      </c>
      <c r="I1035" t="s">
        <v>56</v>
      </c>
      <c r="J1035" t="s">
        <v>3736</v>
      </c>
      <c r="K1035">
        <v>2</v>
      </c>
      <c r="L1035" t="s">
        <v>43</v>
      </c>
      <c r="M1035" t="s">
        <v>35</v>
      </c>
      <c r="N1035" s="4">
        <v>370.85</v>
      </c>
      <c r="O1035" s="19" t="str">
        <f t="shared" si="80"/>
        <v>Dec-2024</v>
      </c>
      <c r="P1035">
        <f t="shared" si="81"/>
        <v>2024</v>
      </c>
      <c r="Q1035" t="str">
        <f t="shared" si="82"/>
        <v>OK</v>
      </c>
      <c r="R1035">
        <v>1</v>
      </c>
      <c r="S1035">
        <f t="shared" si="83"/>
        <v>0</v>
      </c>
      <c r="T1035">
        <f t="shared" si="84"/>
        <v>0</v>
      </c>
    </row>
    <row r="1036" spans="1:20">
      <c r="A1036" t="s">
        <v>3737</v>
      </c>
      <c r="B1036" s="3">
        <v>45459</v>
      </c>
      <c r="C1036" t="s">
        <v>3738</v>
      </c>
      <c r="D1036" t="s">
        <v>54</v>
      </c>
      <c r="E1036">
        <v>4</v>
      </c>
      <c r="F1036" s="4">
        <v>517.98</v>
      </c>
      <c r="G1036" t="s">
        <v>3739</v>
      </c>
      <c r="H1036" t="s">
        <v>71</v>
      </c>
      <c r="I1036" t="s">
        <v>41</v>
      </c>
      <c r="J1036" t="s">
        <v>3740</v>
      </c>
      <c r="K1036">
        <v>8</v>
      </c>
      <c r="L1036" t="s">
        <v>43</v>
      </c>
      <c r="M1036" t="s">
        <v>51</v>
      </c>
      <c r="N1036" s="4">
        <v>2071.92</v>
      </c>
      <c r="O1036" s="19" t="str">
        <f t="shared" si="80"/>
        <v>Jun-2024</v>
      </c>
      <c r="P1036">
        <f t="shared" si="81"/>
        <v>2024</v>
      </c>
      <c r="Q1036" t="str">
        <f t="shared" si="82"/>
        <v>OK</v>
      </c>
      <c r="R1036">
        <v>1</v>
      </c>
      <c r="S1036">
        <f t="shared" si="83"/>
        <v>1</v>
      </c>
      <c r="T1036">
        <f t="shared" si="84"/>
        <v>0</v>
      </c>
    </row>
    <row r="1037" spans="1:20">
      <c r="A1037" t="s">
        <v>3741</v>
      </c>
      <c r="B1037" s="3">
        <v>45242</v>
      </c>
      <c r="C1037" t="s">
        <v>3742</v>
      </c>
      <c r="D1037" t="s">
        <v>64</v>
      </c>
      <c r="E1037">
        <v>4</v>
      </c>
      <c r="F1037" s="4">
        <v>506.11</v>
      </c>
      <c r="G1037" t="s">
        <v>3743</v>
      </c>
      <c r="H1037" t="s">
        <v>71</v>
      </c>
      <c r="I1037" t="s">
        <v>41</v>
      </c>
      <c r="J1037" t="s">
        <v>3744</v>
      </c>
      <c r="K1037">
        <v>5</v>
      </c>
      <c r="M1037" t="s">
        <v>35</v>
      </c>
      <c r="N1037" s="4">
        <v>2024.44</v>
      </c>
      <c r="O1037" s="19" t="str">
        <f t="shared" si="80"/>
        <v>Nov-2023</v>
      </c>
      <c r="P1037">
        <f t="shared" si="81"/>
        <v>2023</v>
      </c>
      <c r="Q1037" t="str">
        <f t="shared" si="82"/>
        <v>OK</v>
      </c>
      <c r="R1037">
        <v>1</v>
      </c>
      <c r="S1037">
        <f t="shared" si="83"/>
        <v>1</v>
      </c>
      <c r="T1037">
        <f t="shared" si="84"/>
        <v>0</v>
      </c>
    </row>
    <row r="1038" spans="1:20">
      <c r="A1038" t="s">
        <v>3745</v>
      </c>
      <c r="B1038" s="3">
        <v>45443</v>
      </c>
      <c r="C1038" t="s">
        <v>3746</v>
      </c>
      <c r="D1038" t="s">
        <v>31</v>
      </c>
      <c r="E1038">
        <v>3</v>
      </c>
      <c r="F1038" s="4">
        <v>413.83</v>
      </c>
      <c r="G1038" t="s">
        <v>318</v>
      </c>
      <c r="H1038" t="s">
        <v>66</v>
      </c>
      <c r="I1038" t="s">
        <v>25</v>
      </c>
      <c r="J1038" t="s">
        <v>3747</v>
      </c>
      <c r="K1038">
        <v>8</v>
      </c>
      <c r="L1038" t="s">
        <v>27</v>
      </c>
      <c r="M1038" t="s">
        <v>51</v>
      </c>
      <c r="N1038" s="4">
        <v>1241.49</v>
      </c>
      <c r="O1038" s="19" t="str">
        <f t="shared" si="80"/>
        <v>May-2024</v>
      </c>
      <c r="P1038">
        <f t="shared" si="81"/>
        <v>2024</v>
      </c>
      <c r="Q1038" t="str">
        <f t="shared" si="82"/>
        <v>OK</v>
      </c>
      <c r="R1038">
        <v>1</v>
      </c>
      <c r="S1038">
        <f t="shared" si="83"/>
        <v>0</v>
      </c>
      <c r="T1038">
        <f t="shared" si="84"/>
        <v>0</v>
      </c>
    </row>
    <row r="1039" spans="1:20">
      <c r="A1039" t="s">
        <v>3748</v>
      </c>
      <c r="B1039" s="3">
        <v>45273</v>
      </c>
      <c r="C1039" t="s">
        <v>3749</v>
      </c>
      <c r="D1039" t="s">
        <v>54</v>
      </c>
      <c r="E1039">
        <v>1</v>
      </c>
      <c r="F1039" s="4">
        <v>249.81</v>
      </c>
      <c r="G1039" t="s">
        <v>2571</v>
      </c>
      <c r="H1039" t="s">
        <v>71</v>
      </c>
      <c r="I1039" t="s">
        <v>95</v>
      </c>
      <c r="J1039" t="s">
        <v>3750</v>
      </c>
      <c r="K1039">
        <v>1</v>
      </c>
      <c r="L1039" t="s">
        <v>27</v>
      </c>
      <c r="M1039" t="s">
        <v>82</v>
      </c>
      <c r="N1039" s="4">
        <v>249.81</v>
      </c>
      <c r="O1039" s="19" t="str">
        <f t="shared" si="80"/>
        <v>Dec-2023</v>
      </c>
      <c r="P1039">
        <f t="shared" si="81"/>
        <v>2023</v>
      </c>
      <c r="Q1039" t="str">
        <f t="shared" si="82"/>
        <v>OK</v>
      </c>
      <c r="R1039">
        <v>1</v>
      </c>
      <c r="S1039">
        <f t="shared" si="83"/>
        <v>0</v>
      </c>
      <c r="T1039">
        <f t="shared" si="84"/>
        <v>0</v>
      </c>
    </row>
    <row r="1040" spans="1:20">
      <c r="A1040" t="s">
        <v>3751</v>
      </c>
      <c r="B1040" s="3">
        <v>45731</v>
      </c>
      <c r="C1040" t="s">
        <v>3752</v>
      </c>
      <c r="D1040" t="s">
        <v>38</v>
      </c>
      <c r="E1040">
        <v>3</v>
      </c>
      <c r="F1040" s="4">
        <v>362.53</v>
      </c>
      <c r="G1040" t="s">
        <v>3753</v>
      </c>
      <c r="H1040" t="s">
        <v>24</v>
      </c>
      <c r="I1040" t="s">
        <v>49</v>
      </c>
      <c r="J1040" t="s">
        <v>3754</v>
      </c>
      <c r="K1040">
        <v>5</v>
      </c>
      <c r="M1040" t="s">
        <v>51</v>
      </c>
      <c r="N1040" s="4">
        <v>1087.5899999999999</v>
      </c>
      <c r="O1040" s="19" t="str">
        <f t="shared" si="80"/>
        <v>Mar-2025</v>
      </c>
      <c r="P1040">
        <f t="shared" si="81"/>
        <v>2025</v>
      </c>
      <c r="Q1040" t="str">
        <f t="shared" si="82"/>
        <v>OK</v>
      </c>
      <c r="R1040">
        <v>1</v>
      </c>
      <c r="S1040">
        <f t="shared" si="83"/>
        <v>0</v>
      </c>
      <c r="T1040">
        <f t="shared" si="84"/>
        <v>1</v>
      </c>
    </row>
    <row r="1041" spans="1:20">
      <c r="A1041" t="s">
        <v>3755</v>
      </c>
      <c r="B1041" s="3">
        <v>45836</v>
      </c>
      <c r="C1041" t="s">
        <v>3756</v>
      </c>
      <c r="D1041" t="s">
        <v>79</v>
      </c>
      <c r="E1041">
        <v>2</v>
      </c>
      <c r="F1041" s="4">
        <v>299.23</v>
      </c>
      <c r="G1041" t="s">
        <v>3757</v>
      </c>
      <c r="H1041" t="s">
        <v>40</v>
      </c>
      <c r="I1041" t="s">
        <v>41</v>
      </c>
      <c r="J1041" t="s">
        <v>3758</v>
      </c>
      <c r="K1041">
        <v>2</v>
      </c>
      <c r="L1041" t="s">
        <v>87</v>
      </c>
      <c r="M1041" t="s">
        <v>28</v>
      </c>
      <c r="N1041" s="4">
        <v>598.46</v>
      </c>
      <c r="O1041" s="19" t="str">
        <f t="shared" si="80"/>
        <v>Jun-2025</v>
      </c>
      <c r="P1041">
        <f t="shared" si="81"/>
        <v>2025</v>
      </c>
      <c r="Q1041" t="str">
        <f t="shared" si="82"/>
        <v>OK</v>
      </c>
      <c r="R1041">
        <v>1</v>
      </c>
      <c r="S1041">
        <f t="shared" si="83"/>
        <v>1</v>
      </c>
      <c r="T1041">
        <f t="shared" si="84"/>
        <v>0</v>
      </c>
    </row>
    <row r="1042" spans="1:20">
      <c r="A1042" t="s">
        <v>3759</v>
      </c>
      <c r="B1042" s="3">
        <v>45245</v>
      </c>
      <c r="C1042" t="s">
        <v>3760</v>
      </c>
      <c r="D1042" t="s">
        <v>38</v>
      </c>
      <c r="E1042">
        <v>1</v>
      </c>
      <c r="F1042" s="4">
        <v>536.07000000000005</v>
      </c>
      <c r="G1042" t="s">
        <v>2122</v>
      </c>
      <c r="H1042" t="s">
        <v>24</v>
      </c>
      <c r="I1042" t="s">
        <v>56</v>
      </c>
      <c r="J1042" t="s">
        <v>3761</v>
      </c>
      <c r="K1042">
        <v>5</v>
      </c>
      <c r="L1042" t="s">
        <v>43</v>
      </c>
      <c r="M1042" t="s">
        <v>82</v>
      </c>
      <c r="N1042" s="4">
        <v>536.07000000000005</v>
      </c>
      <c r="O1042" s="19" t="str">
        <f t="shared" si="80"/>
        <v>Nov-2023</v>
      </c>
      <c r="P1042">
        <f t="shared" si="81"/>
        <v>2023</v>
      </c>
      <c r="Q1042" t="str">
        <f t="shared" si="82"/>
        <v>OK</v>
      </c>
      <c r="R1042">
        <v>1</v>
      </c>
      <c r="S1042">
        <f t="shared" si="83"/>
        <v>0</v>
      </c>
      <c r="T1042">
        <f t="shared" si="84"/>
        <v>0</v>
      </c>
    </row>
    <row r="1043" spans="1:20">
      <c r="A1043" t="s">
        <v>3762</v>
      </c>
      <c r="B1043" s="3">
        <v>44968</v>
      </c>
      <c r="C1043" t="s">
        <v>3763</v>
      </c>
      <c r="D1043" t="s">
        <v>22</v>
      </c>
      <c r="E1043">
        <v>4</v>
      </c>
      <c r="F1043" s="4">
        <v>558.9</v>
      </c>
      <c r="G1043" t="s">
        <v>935</v>
      </c>
      <c r="H1043" t="s">
        <v>66</v>
      </c>
      <c r="I1043" t="s">
        <v>25</v>
      </c>
      <c r="J1043" t="s">
        <v>3764</v>
      </c>
      <c r="K1043">
        <v>9</v>
      </c>
      <c r="L1043" t="s">
        <v>87</v>
      </c>
      <c r="M1043" t="s">
        <v>82</v>
      </c>
      <c r="N1043" s="4">
        <v>2235.6</v>
      </c>
      <c r="O1043" s="19" t="str">
        <f t="shared" si="80"/>
        <v>Feb-2023</v>
      </c>
      <c r="P1043">
        <f t="shared" si="81"/>
        <v>2023</v>
      </c>
      <c r="Q1043" t="str">
        <f t="shared" si="82"/>
        <v>OK</v>
      </c>
      <c r="R1043">
        <v>1</v>
      </c>
      <c r="S1043">
        <f t="shared" si="83"/>
        <v>0</v>
      </c>
      <c r="T1043">
        <f t="shared" si="84"/>
        <v>0</v>
      </c>
    </row>
    <row r="1044" spans="1:20">
      <c r="A1044" t="s">
        <v>3765</v>
      </c>
      <c r="B1044" s="3">
        <v>45635</v>
      </c>
      <c r="C1044" t="s">
        <v>3766</v>
      </c>
      <c r="D1044" t="s">
        <v>38</v>
      </c>
      <c r="E1044">
        <v>2</v>
      </c>
      <c r="F1044" s="4">
        <v>409.75</v>
      </c>
      <c r="G1044" t="s">
        <v>1287</v>
      </c>
      <c r="H1044" t="s">
        <v>24</v>
      </c>
      <c r="I1044" t="s">
        <v>25</v>
      </c>
      <c r="J1044" t="s">
        <v>3767</v>
      </c>
      <c r="K1044">
        <v>2</v>
      </c>
      <c r="L1044" t="s">
        <v>87</v>
      </c>
      <c r="M1044" t="s">
        <v>51</v>
      </c>
      <c r="N1044" s="4">
        <v>819.5</v>
      </c>
      <c r="O1044" s="19" t="str">
        <f t="shared" si="80"/>
        <v>Dec-2024</v>
      </c>
      <c r="P1044">
        <f t="shared" si="81"/>
        <v>2024</v>
      </c>
      <c r="Q1044" t="str">
        <f t="shared" si="82"/>
        <v>OK</v>
      </c>
      <c r="R1044">
        <v>1</v>
      </c>
      <c r="S1044">
        <f t="shared" si="83"/>
        <v>0</v>
      </c>
      <c r="T1044">
        <f t="shared" si="84"/>
        <v>0</v>
      </c>
    </row>
    <row r="1045" spans="1:20">
      <c r="A1045" t="s">
        <v>3768</v>
      </c>
      <c r="B1045" s="3">
        <v>45668</v>
      </c>
      <c r="C1045" t="s">
        <v>3769</v>
      </c>
      <c r="D1045" t="s">
        <v>38</v>
      </c>
      <c r="E1045">
        <v>2</v>
      </c>
      <c r="F1045" s="4">
        <v>179.96</v>
      </c>
      <c r="G1045" t="s">
        <v>3528</v>
      </c>
      <c r="H1045" t="s">
        <v>66</v>
      </c>
      <c r="I1045" t="s">
        <v>25</v>
      </c>
      <c r="J1045" t="s">
        <v>3770</v>
      </c>
      <c r="K1045">
        <v>5</v>
      </c>
      <c r="M1045" t="s">
        <v>28</v>
      </c>
      <c r="N1045" s="4">
        <v>359.92</v>
      </c>
      <c r="O1045" s="19" t="str">
        <f t="shared" si="80"/>
        <v>Jan-2025</v>
      </c>
      <c r="P1045">
        <f t="shared" si="81"/>
        <v>2025</v>
      </c>
      <c r="Q1045" t="str">
        <f t="shared" si="82"/>
        <v>OK</v>
      </c>
      <c r="R1045">
        <v>1</v>
      </c>
      <c r="S1045">
        <f t="shared" si="83"/>
        <v>0</v>
      </c>
      <c r="T1045">
        <f t="shared" si="84"/>
        <v>0</v>
      </c>
    </row>
    <row r="1046" spans="1:20">
      <c r="A1046" t="s">
        <v>3771</v>
      </c>
      <c r="B1046" s="3">
        <v>45830</v>
      </c>
      <c r="C1046" t="s">
        <v>3772</v>
      </c>
      <c r="D1046" t="s">
        <v>54</v>
      </c>
      <c r="E1046">
        <v>1</v>
      </c>
      <c r="F1046" s="4">
        <v>38.49</v>
      </c>
      <c r="G1046" t="s">
        <v>3773</v>
      </c>
      <c r="H1046" t="s">
        <v>40</v>
      </c>
      <c r="I1046" t="s">
        <v>56</v>
      </c>
      <c r="J1046" t="s">
        <v>3774</v>
      </c>
      <c r="K1046">
        <v>4</v>
      </c>
      <c r="L1046" t="s">
        <v>43</v>
      </c>
      <c r="M1046" t="s">
        <v>35</v>
      </c>
      <c r="N1046" s="4">
        <v>38.49</v>
      </c>
      <c r="O1046" s="19" t="str">
        <f t="shared" si="80"/>
        <v>Jun-2025</v>
      </c>
      <c r="P1046">
        <f t="shared" si="81"/>
        <v>2025</v>
      </c>
      <c r="Q1046" t="str">
        <f t="shared" si="82"/>
        <v>OK</v>
      </c>
      <c r="R1046">
        <v>1</v>
      </c>
      <c r="S1046">
        <f t="shared" si="83"/>
        <v>0</v>
      </c>
      <c r="T1046">
        <f t="shared" si="84"/>
        <v>0</v>
      </c>
    </row>
    <row r="1047" spans="1:20">
      <c r="A1047" t="s">
        <v>3775</v>
      </c>
      <c r="B1047" s="3">
        <v>45555</v>
      </c>
      <c r="C1047" t="s">
        <v>3776</v>
      </c>
      <c r="D1047" t="s">
        <v>64</v>
      </c>
      <c r="E1047">
        <v>5</v>
      </c>
      <c r="F1047" s="4">
        <v>316.39999999999998</v>
      </c>
      <c r="G1047" t="s">
        <v>3777</v>
      </c>
      <c r="H1047" t="s">
        <v>66</v>
      </c>
      <c r="I1047" t="s">
        <v>49</v>
      </c>
      <c r="J1047" t="s">
        <v>3778</v>
      </c>
      <c r="K1047">
        <v>7</v>
      </c>
      <c r="M1047" t="s">
        <v>44</v>
      </c>
      <c r="N1047" s="4">
        <v>1582</v>
      </c>
      <c r="O1047" s="19" t="str">
        <f t="shared" si="80"/>
        <v>Sep-2024</v>
      </c>
      <c r="P1047">
        <f t="shared" si="81"/>
        <v>2024</v>
      </c>
      <c r="Q1047" t="str">
        <f t="shared" si="82"/>
        <v>OK</v>
      </c>
      <c r="R1047">
        <v>1</v>
      </c>
      <c r="S1047">
        <f t="shared" si="83"/>
        <v>0</v>
      </c>
      <c r="T1047">
        <f t="shared" si="84"/>
        <v>1</v>
      </c>
    </row>
    <row r="1048" spans="1:20">
      <c r="A1048" t="s">
        <v>3779</v>
      </c>
      <c r="B1048" s="3">
        <v>45572</v>
      </c>
      <c r="C1048" t="s">
        <v>3780</v>
      </c>
      <c r="D1048" t="s">
        <v>38</v>
      </c>
      <c r="E1048">
        <v>3</v>
      </c>
      <c r="F1048" s="4">
        <v>547.15</v>
      </c>
      <c r="G1048" t="s">
        <v>3781</v>
      </c>
      <c r="H1048" t="s">
        <v>33</v>
      </c>
      <c r="I1048" t="s">
        <v>25</v>
      </c>
      <c r="J1048" t="s">
        <v>3782</v>
      </c>
      <c r="K1048">
        <v>4</v>
      </c>
      <c r="L1048" t="s">
        <v>87</v>
      </c>
      <c r="M1048" t="s">
        <v>28</v>
      </c>
      <c r="N1048" s="4">
        <v>1641.45</v>
      </c>
      <c r="O1048" s="19" t="str">
        <f t="shared" si="80"/>
        <v>Oct-2024</v>
      </c>
      <c r="P1048">
        <f t="shared" si="81"/>
        <v>2024</v>
      </c>
      <c r="Q1048" t="str">
        <f t="shared" si="82"/>
        <v>OK</v>
      </c>
      <c r="R1048">
        <v>1</v>
      </c>
      <c r="S1048">
        <f t="shared" si="83"/>
        <v>0</v>
      </c>
      <c r="T1048">
        <f t="shared" si="84"/>
        <v>0</v>
      </c>
    </row>
    <row r="1049" spans="1:20">
      <c r="A1049" t="s">
        <v>3783</v>
      </c>
      <c r="B1049" s="3">
        <v>45100</v>
      </c>
      <c r="C1049" t="s">
        <v>3784</v>
      </c>
      <c r="D1049" t="s">
        <v>47</v>
      </c>
      <c r="E1049">
        <v>4</v>
      </c>
      <c r="F1049" s="4">
        <v>540.34</v>
      </c>
      <c r="G1049" t="s">
        <v>3785</v>
      </c>
      <c r="H1049" t="s">
        <v>66</v>
      </c>
      <c r="I1049" t="s">
        <v>25</v>
      </c>
      <c r="J1049" t="s">
        <v>3786</v>
      </c>
      <c r="K1049">
        <v>6</v>
      </c>
      <c r="L1049" t="s">
        <v>87</v>
      </c>
      <c r="M1049" t="s">
        <v>35</v>
      </c>
      <c r="N1049" s="4">
        <v>2161.36</v>
      </c>
      <c r="O1049" s="19" t="str">
        <f t="shared" si="80"/>
        <v>Jun-2023</v>
      </c>
      <c r="P1049">
        <f t="shared" si="81"/>
        <v>2023</v>
      </c>
      <c r="Q1049" t="str">
        <f t="shared" si="82"/>
        <v>OK</v>
      </c>
      <c r="R1049">
        <v>1</v>
      </c>
      <c r="S1049">
        <f t="shared" si="83"/>
        <v>0</v>
      </c>
      <c r="T1049">
        <f t="shared" si="84"/>
        <v>0</v>
      </c>
    </row>
    <row r="1050" spans="1:20">
      <c r="A1050" t="s">
        <v>3787</v>
      </c>
      <c r="B1050" s="3">
        <v>45544</v>
      </c>
      <c r="C1050" t="s">
        <v>3788</v>
      </c>
      <c r="D1050" t="s">
        <v>22</v>
      </c>
      <c r="E1050">
        <v>4</v>
      </c>
      <c r="F1050" s="4">
        <v>73.650000000000006</v>
      </c>
      <c r="G1050" t="s">
        <v>3789</v>
      </c>
      <c r="H1050" t="s">
        <v>24</v>
      </c>
      <c r="I1050" t="s">
        <v>25</v>
      </c>
      <c r="J1050" t="s">
        <v>3790</v>
      </c>
      <c r="K1050">
        <v>9</v>
      </c>
      <c r="M1050" t="s">
        <v>82</v>
      </c>
      <c r="N1050" s="4">
        <v>294.60000000000002</v>
      </c>
      <c r="O1050" s="19" t="str">
        <f t="shared" si="80"/>
        <v>Sep-2024</v>
      </c>
      <c r="P1050">
        <f t="shared" si="81"/>
        <v>2024</v>
      </c>
      <c r="Q1050" t="str">
        <f t="shared" si="82"/>
        <v>OK</v>
      </c>
      <c r="R1050">
        <v>1</v>
      </c>
      <c r="S1050">
        <f t="shared" si="83"/>
        <v>0</v>
      </c>
      <c r="T1050">
        <f t="shared" si="84"/>
        <v>0</v>
      </c>
    </row>
    <row r="1051" spans="1:20">
      <c r="A1051" t="s">
        <v>3791</v>
      </c>
      <c r="B1051" s="3">
        <v>45491</v>
      </c>
      <c r="C1051" t="s">
        <v>3792</v>
      </c>
      <c r="D1051" t="s">
        <v>79</v>
      </c>
      <c r="E1051">
        <v>5</v>
      </c>
      <c r="F1051" s="4">
        <v>391.86</v>
      </c>
      <c r="G1051" t="s">
        <v>127</v>
      </c>
      <c r="H1051" t="s">
        <v>40</v>
      </c>
      <c r="I1051" t="s">
        <v>25</v>
      </c>
      <c r="J1051" t="s">
        <v>3793</v>
      </c>
      <c r="K1051">
        <v>6</v>
      </c>
      <c r="M1051" t="s">
        <v>28</v>
      </c>
      <c r="N1051" s="4">
        <v>1959.3</v>
      </c>
      <c r="O1051" s="19" t="str">
        <f t="shared" si="80"/>
        <v>Jul-2024</v>
      </c>
      <c r="P1051">
        <f t="shared" si="81"/>
        <v>2024</v>
      </c>
      <c r="Q1051" t="str">
        <f t="shared" si="82"/>
        <v>OK</v>
      </c>
      <c r="R1051">
        <v>1</v>
      </c>
      <c r="S1051">
        <f t="shared" si="83"/>
        <v>0</v>
      </c>
      <c r="T1051">
        <f t="shared" si="84"/>
        <v>0</v>
      </c>
    </row>
    <row r="1052" spans="1:20">
      <c r="A1052" t="s">
        <v>3794</v>
      </c>
      <c r="B1052" s="3">
        <v>45158</v>
      </c>
      <c r="C1052" t="s">
        <v>3795</v>
      </c>
      <c r="D1052" t="s">
        <v>64</v>
      </c>
      <c r="E1052">
        <v>5</v>
      </c>
      <c r="F1052" s="4">
        <v>69.7</v>
      </c>
      <c r="G1052" t="s">
        <v>2035</v>
      </c>
      <c r="H1052" t="s">
        <v>33</v>
      </c>
      <c r="I1052" t="s">
        <v>49</v>
      </c>
      <c r="J1052" t="s">
        <v>3796</v>
      </c>
      <c r="K1052">
        <v>9</v>
      </c>
      <c r="M1052" t="s">
        <v>28</v>
      </c>
      <c r="N1052" s="4">
        <v>348.5</v>
      </c>
      <c r="O1052" s="19" t="str">
        <f t="shared" si="80"/>
        <v>Aug-2023</v>
      </c>
      <c r="P1052">
        <f t="shared" si="81"/>
        <v>2023</v>
      </c>
      <c r="Q1052" t="str">
        <f t="shared" si="82"/>
        <v>OK</v>
      </c>
      <c r="R1052">
        <v>1</v>
      </c>
      <c r="S1052">
        <f t="shared" si="83"/>
        <v>0</v>
      </c>
      <c r="T1052">
        <f t="shared" si="84"/>
        <v>1</v>
      </c>
    </row>
    <row r="1053" spans="1:20">
      <c r="A1053" t="s">
        <v>3797</v>
      </c>
      <c r="B1053" s="3">
        <v>45721</v>
      </c>
      <c r="C1053" t="s">
        <v>3798</v>
      </c>
      <c r="D1053" t="s">
        <v>22</v>
      </c>
      <c r="E1053">
        <v>5</v>
      </c>
      <c r="F1053" s="4">
        <v>26.43</v>
      </c>
      <c r="G1053" t="s">
        <v>3799</v>
      </c>
      <c r="H1053" t="s">
        <v>66</v>
      </c>
      <c r="I1053" t="s">
        <v>25</v>
      </c>
      <c r="J1053" t="s">
        <v>3800</v>
      </c>
      <c r="K1053">
        <v>5</v>
      </c>
      <c r="L1053" t="s">
        <v>43</v>
      </c>
      <c r="M1053" t="s">
        <v>51</v>
      </c>
      <c r="N1053" s="4">
        <v>132.15</v>
      </c>
      <c r="O1053" s="19" t="str">
        <f t="shared" si="80"/>
        <v>Mar-2025</v>
      </c>
      <c r="P1053">
        <f t="shared" si="81"/>
        <v>2025</v>
      </c>
      <c r="Q1053" t="str">
        <f t="shared" si="82"/>
        <v>OK</v>
      </c>
      <c r="R1053">
        <v>1</v>
      </c>
      <c r="S1053">
        <f t="shared" si="83"/>
        <v>0</v>
      </c>
      <c r="T1053">
        <f t="shared" si="84"/>
        <v>0</v>
      </c>
    </row>
    <row r="1054" spans="1:20">
      <c r="A1054" t="s">
        <v>3801</v>
      </c>
      <c r="B1054" s="3">
        <v>45180</v>
      </c>
      <c r="C1054" t="s">
        <v>3802</v>
      </c>
      <c r="D1054" t="s">
        <v>38</v>
      </c>
      <c r="E1054">
        <v>1</v>
      </c>
      <c r="F1054" s="4">
        <v>531.74</v>
      </c>
      <c r="G1054" t="s">
        <v>3803</v>
      </c>
      <c r="H1054" t="s">
        <v>33</v>
      </c>
      <c r="I1054" t="s">
        <v>25</v>
      </c>
      <c r="J1054" t="s">
        <v>3804</v>
      </c>
      <c r="K1054">
        <v>1</v>
      </c>
      <c r="L1054" t="s">
        <v>87</v>
      </c>
      <c r="M1054" t="s">
        <v>82</v>
      </c>
      <c r="N1054" s="4">
        <v>531.74</v>
      </c>
      <c r="O1054" s="19" t="str">
        <f t="shared" si="80"/>
        <v>Sep-2023</v>
      </c>
      <c r="P1054">
        <f t="shared" si="81"/>
        <v>2023</v>
      </c>
      <c r="Q1054" t="str">
        <f t="shared" si="82"/>
        <v>OK</v>
      </c>
      <c r="R1054">
        <v>1</v>
      </c>
      <c r="S1054">
        <f t="shared" si="83"/>
        <v>0</v>
      </c>
      <c r="T1054">
        <f t="shared" si="84"/>
        <v>0</v>
      </c>
    </row>
    <row r="1055" spans="1:20">
      <c r="A1055" t="s">
        <v>3805</v>
      </c>
      <c r="B1055" s="3">
        <v>45550</v>
      </c>
      <c r="C1055" t="s">
        <v>3806</v>
      </c>
      <c r="D1055" t="s">
        <v>31</v>
      </c>
      <c r="E1055">
        <v>2</v>
      </c>
      <c r="F1055" s="4">
        <v>496.62</v>
      </c>
      <c r="G1055" t="s">
        <v>3437</v>
      </c>
      <c r="H1055" t="s">
        <v>33</v>
      </c>
      <c r="I1055" t="s">
        <v>95</v>
      </c>
      <c r="J1055" t="s">
        <v>3807</v>
      </c>
      <c r="K1055">
        <v>2</v>
      </c>
      <c r="L1055" t="s">
        <v>27</v>
      </c>
      <c r="M1055" t="s">
        <v>28</v>
      </c>
      <c r="N1055" s="4">
        <v>993.24</v>
      </c>
      <c r="O1055" s="19" t="str">
        <f t="shared" si="80"/>
        <v>Sep-2024</v>
      </c>
      <c r="P1055">
        <f t="shared" si="81"/>
        <v>2024</v>
      </c>
      <c r="Q1055" t="str">
        <f t="shared" si="82"/>
        <v>OK</v>
      </c>
      <c r="R1055">
        <v>1</v>
      </c>
      <c r="S1055">
        <f t="shared" si="83"/>
        <v>0</v>
      </c>
      <c r="T1055">
        <f t="shared" si="84"/>
        <v>0</v>
      </c>
    </row>
    <row r="1056" spans="1:20">
      <c r="A1056" t="s">
        <v>3808</v>
      </c>
      <c r="B1056" s="3">
        <v>45259</v>
      </c>
      <c r="C1056" t="s">
        <v>3809</v>
      </c>
      <c r="D1056" t="s">
        <v>54</v>
      </c>
      <c r="E1056">
        <v>1</v>
      </c>
      <c r="F1056" s="4">
        <v>660.66</v>
      </c>
      <c r="G1056" t="s">
        <v>385</v>
      </c>
      <c r="H1056" t="s">
        <v>24</v>
      </c>
      <c r="I1056" t="s">
        <v>56</v>
      </c>
      <c r="J1056" t="s">
        <v>3810</v>
      </c>
      <c r="K1056">
        <v>3</v>
      </c>
      <c r="L1056" t="s">
        <v>87</v>
      </c>
      <c r="M1056" t="s">
        <v>28</v>
      </c>
      <c r="N1056" s="4">
        <v>660.66</v>
      </c>
      <c r="O1056" s="19" t="str">
        <f t="shared" si="80"/>
        <v>Nov-2023</v>
      </c>
      <c r="P1056">
        <f t="shared" si="81"/>
        <v>2023</v>
      </c>
      <c r="Q1056" t="str">
        <f t="shared" si="82"/>
        <v>OK</v>
      </c>
      <c r="R1056">
        <v>1</v>
      </c>
      <c r="S1056">
        <f t="shared" si="83"/>
        <v>0</v>
      </c>
      <c r="T1056">
        <f t="shared" si="84"/>
        <v>0</v>
      </c>
    </row>
    <row r="1057" spans="1:20">
      <c r="A1057" t="s">
        <v>3811</v>
      </c>
      <c r="B1057" s="3">
        <v>45222</v>
      </c>
      <c r="C1057" t="s">
        <v>3812</v>
      </c>
      <c r="D1057" t="s">
        <v>22</v>
      </c>
      <c r="E1057">
        <v>4</v>
      </c>
      <c r="F1057" s="4">
        <v>274.82</v>
      </c>
      <c r="G1057" t="s">
        <v>2122</v>
      </c>
      <c r="H1057" t="s">
        <v>24</v>
      </c>
      <c r="I1057" t="s">
        <v>56</v>
      </c>
      <c r="J1057" t="s">
        <v>3813</v>
      </c>
      <c r="K1057">
        <v>9</v>
      </c>
      <c r="L1057" t="s">
        <v>87</v>
      </c>
      <c r="M1057" t="s">
        <v>44</v>
      </c>
      <c r="N1057" s="4">
        <v>1099.28</v>
      </c>
      <c r="O1057" s="19" t="str">
        <f t="shared" si="80"/>
        <v>Oct-2023</v>
      </c>
      <c r="P1057">
        <f t="shared" si="81"/>
        <v>2023</v>
      </c>
      <c r="Q1057" t="str">
        <f t="shared" si="82"/>
        <v>OK</v>
      </c>
      <c r="R1057">
        <v>1</v>
      </c>
      <c r="S1057">
        <f t="shared" si="83"/>
        <v>0</v>
      </c>
      <c r="T1057">
        <f t="shared" si="84"/>
        <v>0</v>
      </c>
    </row>
    <row r="1058" spans="1:20">
      <c r="A1058" t="s">
        <v>3814</v>
      </c>
      <c r="B1058" s="3">
        <v>45457</v>
      </c>
      <c r="C1058" t="s">
        <v>3815</v>
      </c>
      <c r="D1058" t="s">
        <v>31</v>
      </c>
      <c r="E1058">
        <v>2</v>
      </c>
      <c r="F1058" s="4">
        <v>486.35</v>
      </c>
      <c r="G1058" t="s">
        <v>725</v>
      </c>
      <c r="H1058" t="s">
        <v>33</v>
      </c>
      <c r="I1058" t="s">
        <v>95</v>
      </c>
      <c r="J1058" t="s">
        <v>3816</v>
      </c>
      <c r="K1058">
        <v>6</v>
      </c>
      <c r="L1058" t="s">
        <v>27</v>
      </c>
      <c r="M1058" t="s">
        <v>35</v>
      </c>
      <c r="N1058" s="4">
        <v>972.7</v>
      </c>
      <c r="O1058" s="19" t="str">
        <f t="shared" si="80"/>
        <v>Jun-2024</v>
      </c>
      <c r="P1058">
        <f t="shared" si="81"/>
        <v>2024</v>
      </c>
      <c r="Q1058" t="str">
        <f t="shared" si="82"/>
        <v>OK</v>
      </c>
      <c r="R1058">
        <v>1</v>
      </c>
      <c r="S1058">
        <f t="shared" si="83"/>
        <v>0</v>
      </c>
      <c r="T1058">
        <f t="shared" si="84"/>
        <v>0</v>
      </c>
    </row>
    <row r="1059" spans="1:20">
      <c r="A1059" t="s">
        <v>3817</v>
      </c>
      <c r="B1059" s="3">
        <v>45559</v>
      </c>
      <c r="C1059" t="s">
        <v>3818</v>
      </c>
      <c r="D1059" t="s">
        <v>64</v>
      </c>
      <c r="E1059">
        <v>3</v>
      </c>
      <c r="F1059" s="4">
        <v>428.88</v>
      </c>
      <c r="G1059" t="s">
        <v>710</v>
      </c>
      <c r="H1059" t="s">
        <v>24</v>
      </c>
      <c r="I1059" t="s">
        <v>25</v>
      </c>
      <c r="J1059" t="s">
        <v>3819</v>
      </c>
      <c r="K1059">
        <v>3</v>
      </c>
      <c r="L1059" t="s">
        <v>87</v>
      </c>
      <c r="M1059" t="s">
        <v>51</v>
      </c>
      <c r="N1059" s="4">
        <v>1286.6400000000001</v>
      </c>
      <c r="O1059" s="19" t="str">
        <f t="shared" si="80"/>
        <v>Sep-2024</v>
      </c>
      <c r="P1059">
        <f t="shared" si="81"/>
        <v>2024</v>
      </c>
      <c r="Q1059" t="str">
        <f t="shared" si="82"/>
        <v>OK</v>
      </c>
      <c r="R1059">
        <v>1</v>
      </c>
      <c r="S1059">
        <f t="shared" si="83"/>
        <v>0</v>
      </c>
      <c r="T1059">
        <f t="shared" si="84"/>
        <v>0</v>
      </c>
    </row>
    <row r="1060" spans="1:20">
      <c r="A1060" t="s">
        <v>3820</v>
      </c>
      <c r="B1060" s="3">
        <v>45177</v>
      </c>
      <c r="C1060" t="s">
        <v>3821</v>
      </c>
      <c r="D1060" t="s">
        <v>79</v>
      </c>
      <c r="E1060">
        <v>2</v>
      </c>
      <c r="F1060" s="4">
        <v>412.14</v>
      </c>
      <c r="G1060" t="s">
        <v>1087</v>
      </c>
      <c r="H1060" t="s">
        <v>40</v>
      </c>
      <c r="I1060" t="s">
        <v>49</v>
      </c>
      <c r="J1060" t="s">
        <v>3822</v>
      </c>
      <c r="K1060">
        <v>2</v>
      </c>
      <c r="L1060" t="s">
        <v>43</v>
      </c>
      <c r="M1060" t="s">
        <v>28</v>
      </c>
      <c r="N1060" s="4">
        <v>824.28</v>
      </c>
      <c r="O1060" s="19" t="str">
        <f t="shared" si="80"/>
        <v>Sep-2023</v>
      </c>
      <c r="P1060">
        <f t="shared" si="81"/>
        <v>2023</v>
      </c>
      <c r="Q1060" t="str">
        <f t="shared" si="82"/>
        <v>OK</v>
      </c>
      <c r="R1060">
        <v>1</v>
      </c>
      <c r="S1060">
        <f t="shared" si="83"/>
        <v>0</v>
      </c>
      <c r="T1060">
        <f t="shared" si="84"/>
        <v>1</v>
      </c>
    </row>
    <row r="1061" spans="1:20">
      <c r="A1061" t="s">
        <v>3823</v>
      </c>
      <c r="B1061" s="3">
        <v>45557</v>
      </c>
      <c r="C1061" t="s">
        <v>3824</v>
      </c>
      <c r="D1061" t="s">
        <v>79</v>
      </c>
      <c r="E1061">
        <v>1</v>
      </c>
      <c r="F1061" s="4">
        <v>265.64</v>
      </c>
      <c r="G1061" t="s">
        <v>3825</v>
      </c>
      <c r="H1061" t="s">
        <v>40</v>
      </c>
      <c r="I1061" t="s">
        <v>49</v>
      </c>
      <c r="J1061" t="s">
        <v>3826</v>
      </c>
      <c r="K1061">
        <v>3</v>
      </c>
      <c r="L1061" t="s">
        <v>87</v>
      </c>
      <c r="M1061" t="s">
        <v>28</v>
      </c>
      <c r="N1061" s="4">
        <v>265.64</v>
      </c>
      <c r="O1061" s="19" t="str">
        <f t="shared" si="80"/>
        <v>Sep-2024</v>
      </c>
      <c r="P1061">
        <f t="shared" si="81"/>
        <v>2024</v>
      </c>
      <c r="Q1061" t="str">
        <f t="shared" si="82"/>
        <v>OK</v>
      </c>
      <c r="R1061">
        <v>1</v>
      </c>
      <c r="S1061">
        <f t="shared" si="83"/>
        <v>0</v>
      </c>
      <c r="T1061">
        <f t="shared" si="84"/>
        <v>1</v>
      </c>
    </row>
    <row r="1062" spans="1:20">
      <c r="A1062" t="s">
        <v>3827</v>
      </c>
      <c r="B1062" s="3">
        <v>45419</v>
      </c>
      <c r="C1062" t="s">
        <v>3828</v>
      </c>
      <c r="D1062" t="s">
        <v>38</v>
      </c>
      <c r="E1062">
        <v>2</v>
      </c>
      <c r="F1062" s="4">
        <v>273.43</v>
      </c>
      <c r="G1062" t="s">
        <v>1386</v>
      </c>
      <c r="H1062" t="s">
        <v>71</v>
      </c>
      <c r="I1062" t="s">
        <v>25</v>
      </c>
      <c r="J1062" t="s">
        <v>3829</v>
      </c>
      <c r="K1062">
        <v>7</v>
      </c>
      <c r="L1062" t="s">
        <v>87</v>
      </c>
      <c r="M1062" t="s">
        <v>35</v>
      </c>
      <c r="N1062" s="4">
        <v>546.86</v>
      </c>
      <c r="O1062" s="19" t="str">
        <f t="shared" si="80"/>
        <v>May-2024</v>
      </c>
      <c r="P1062">
        <f t="shared" si="81"/>
        <v>2024</v>
      </c>
      <c r="Q1062" t="str">
        <f t="shared" si="82"/>
        <v>OK</v>
      </c>
      <c r="R1062">
        <v>1</v>
      </c>
      <c r="S1062">
        <f t="shared" si="83"/>
        <v>0</v>
      </c>
      <c r="T1062">
        <f t="shared" si="84"/>
        <v>0</v>
      </c>
    </row>
    <row r="1063" spans="1:20">
      <c r="A1063" t="s">
        <v>3830</v>
      </c>
      <c r="B1063" s="3">
        <v>45686</v>
      </c>
      <c r="C1063" t="s">
        <v>3831</v>
      </c>
      <c r="D1063" t="s">
        <v>64</v>
      </c>
      <c r="E1063">
        <v>5</v>
      </c>
      <c r="F1063" s="4">
        <v>131.69999999999999</v>
      </c>
      <c r="G1063" t="s">
        <v>175</v>
      </c>
      <c r="H1063" t="s">
        <v>71</v>
      </c>
      <c r="I1063" t="s">
        <v>25</v>
      </c>
      <c r="J1063" t="s">
        <v>3832</v>
      </c>
      <c r="K1063">
        <v>8</v>
      </c>
      <c r="L1063" t="s">
        <v>43</v>
      </c>
      <c r="M1063" t="s">
        <v>82</v>
      </c>
      <c r="N1063" s="4">
        <v>658.5</v>
      </c>
      <c r="O1063" s="19" t="str">
        <f t="shared" si="80"/>
        <v>Jan-2025</v>
      </c>
      <c r="P1063">
        <f t="shared" si="81"/>
        <v>2025</v>
      </c>
      <c r="Q1063" t="str">
        <f t="shared" si="82"/>
        <v>OK</v>
      </c>
      <c r="R1063">
        <v>1</v>
      </c>
      <c r="S1063">
        <f t="shared" si="83"/>
        <v>0</v>
      </c>
      <c r="T1063">
        <f t="shared" si="84"/>
        <v>0</v>
      </c>
    </row>
    <row r="1064" spans="1:20">
      <c r="A1064" t="s">
        <v>3833</v>
      </c>
      <c r="B1064" s="3">
        <v>45161</v>
      </c>
      <c r="C1064" t="s">
        <v>3834</v>
      </c>
      <c r="D1064" t="s">
        <v>47</v>
      </c>
      <c r="E1064">
        <v>5</v>
      </c>
      <c r="F1064" s="4">
        <v>85.52</v>
      </c>
      <c r="G1064" t="s">
        <v>1258</v>
      </c>
      <c r="H1064" t="s">
        <v>66</v>
      </c>
      <c r="I1064" t="s">
        <v>41</v>
      </c>
      <c r="J1064" t="s">
        <v>3835</v>
      </c>
      <c r="K1064">
        <v>5</v>
      </c>
      <c r="M1064" t="s">
        <v>51</v>
      </c>
      <c r="N1064" s="4">
        <v>427.6</v>
      </c>
      <c r="O1064" s="19" t="str">
        <f t="shared" si="80"/>
        <v>Aug-2023</v>
      </c>
      <c r="P1064">
        <f t="shared" si="81"/>
        <v>2023</v>
      </c>
      <c r="Q1064" t="str">
        <f t="shared" si="82"/>
        <v>OK</v>
      </c>
      <c r="R1064">
        <v>1</v>
      </c>
      <c r="S1064">
        <f t="shared" si="83"/>
        <v>1</v>
      </c>
      <c r="T1064">
        <f t="shared" si="84"/>
        <v>0</v>
      </c>
    </row>
    <row r="1065" spans="1:20">
      <c r="A1065" t="s">
        <v>3836</v>
      </c>
      <c r="B1065" s="3">
        <v>45462</v>
      </c>
      <c r="C1065" t="s">
        <v>3837</v>
      </c>
      <c r="D1065" t="s">
        <v>79</v>
      </c>
      <c r="E1065">
        <v>2</v>
      </c>
      <c r="F1065" s="4">
        <v>320.68</v>
      </c>
      <c r="G1065" t="s">
        <v>714</v>
      </c>
      <c r="H1065" t="s">
        <v>40</v>
      </c>
      <c r="I1065" t="s">
        <v>25</v>
      </c>
      <c r="J1065" t="s">
        <v>3838</v>
      </c>
      <c r="K1065">
        <v>5</v>
      </c>
      <c r="L1065" t="s">
        <v>43</v>
      </c>
      <c r="M1065" t="s">
        <v>35</v>
      </c>
      <c r="N1065" s="4">
        <v>641.36</v>
      </c>
      <c r="O1065" s="19" t="str">
        <f t="shared" si="80"/>
        <v>Jun-2024</v>
      </c>
      <c r="P1065">
        <f t="shared" si="81"/>
        <v>2024</v>
      </c>
      <c r="Q1065" t="str">
        <f t="shared" si="82"/>
        <v>OK</v>
      </c>
      <c r="R1065">
        <v>1</v>
      </c>
      <c r="S1065">
        <f t="shared" si="83"/>
        <v>0</v>
      </c>
      <c r="T1065">
        <f t="shared" si="84"/>
        <v>0</v>
      </c>
    </row>
    <row r="1066" spans="1:20">
      <c r="A1066" t="s">
        <v>3839</v>
      </c>
      <c r="B1066" s="3">
        <v>45700</v>
      </c>
      <c r="C1066" t="s">
        <v>3840</v>
      </c>
      <c r="D1066" t="s">
        <v>64</v>
      </c>
      <c r="E1066">
        <v>4</v>
      </c>
      <c r="F1066" s="4">
        <v>198.81</v>
      </c>
      <c r="G1066" t="s">
        <v>1111</v>
      </c>
      <c r="H1066" t="s">
        <v>71</v>
      </c>
      <c r="I1066" t="s">
        <v>49</v>
      </c>
      <c r="J1066" t="s">
        <v>3841</v>
      </c>
      <c r="K1066">
        <v>9</v>
      </c>
      <c r="L1066" t="s">
        <v>43</v>
      </c>
      <c r="M1066" t="s">
        <v>35</v>
      </c>
      <c r="N1066" s="4">
        <v>795.24</v>
      </c>
      <c r="O1066" s="19" t="str">
        <f t="shared" si="80"/>
        <v>Feb-2025</v>
      </c>
      <c r="P1066">
        <f t="shared" si="81"/>
        <v>2025</v>
      </c>
      <c r="Q1066" t="str">
        <f t="shared" si="82"/>
        <v>OK</v>
      </c>
      <c r="R1066">
        <v>1</v>
      </c>
      <c r="S1066">
        <f t="shared" si="83"/>
        <v>0</v>
      </c>
      <c r="T1066">
        <f t="shared" si="84"/>
        <v>1</v>
      </c>
    </row>
    <row r="1067" spans="1:20">
      <c r="A1067" t="s">
        <v>3842</v>
      </c>
      <c r="B1067" s="3">
        <v>45229</v>
      </c>
      <c r="C1067" t="s">
        <v>3843</v>
      </c>
      <c r="D1067" t="s">
        <v>54</v>
      </c>
      <c r="E1067">
        <v>5</v>
      </c>
      <c r="F1067" s="4">
        <v>666.8</v>
      </c>
      <c r="G1067" t="s">
        <v>1658</v>
      </c>
      <c r="H1067" t="s">
        <v>24</v>
      </c>
      <c r="I1067" t="s">
        <v>56</v>
      </c>
      <c r="J1067" t="s">
        <v>3844</v>
      </c>
      <c r="K1067">
        <v>7</v>
      </c>
      <c r="L1067" t="s">
        <v>27</v>
      </c>
      <c r="M1067" t="s">
        <v>35</v>
      </c>
      <c r="N1067" s="4">
        <v>3334</v>
      </c>
      <c r="O1067" s="19" t="str">
        <f t="shared" si="80"/>
        <v>Oct-2023</v>
      </c>
      <c r="P1067">
        <f t="shared" si="81"/>
        <v>2023</v>
      </c>
      <c r="Q1067" t="str">
        <f t="shared" si="82"/>
        <v>OK</v>
      </c>
      <c r="R1067">
        <v>1</v>
      </c>
      <c r="S1067">
        <f t="shared" si="83"/>
        <v>0</v>
      </c>
      <c r="T1067">
        <f t="shared" si="84"/>
        <v>0</v>
      </c>
    </row>
    <row r="1068" spans="1:20">
      <c r="A1068" t="s">
        <v>3845</v>
      </c>
      <c r="B1068" s="3">
        <v>45280</v>
      </c>
      <c r="C1068" t="s">
        <v>3846</v>
      </c>
      <c r="D1068" t="s">
        <v>79</v>
      </c>
      <c r="E1068">
        <v>1</v>
      </c>
      <c r="F1068" s="4">
        <v>355.09</v>
      </c>
      <c r="G1068" t="s">
        <v>2592</v>
      </c>
      <c r="H1068" t="s">
        <v>24</v>
      </c>
      <c r="I1068" t="s">
        <v>41</v>
      </c>
      <c r="J1068" t="s">
        <v>3847</v>
      </c>
      <c r="K1068">
        <v>5</v>
      </c>
      <c r="L1068" t="s">
        <v>27</v>
      </c>
      <c r="M1068" t="s">
        <v>28</v>
      </c>
      <c r="N1068" s="4">
        <v>355.09</v>
      </c>
      <c r="O1068" s="19" t="str">
        <f t="shared" si="80"/>
        <v>Dec-2023</v>
      </c>
      <c r="P1068">
        <f t="shared" si="81"/>
        <v>2023</v>
      </c>
      <c r="Q1068" t="str">
        <f t="shared" si="82"/>
        <v>OK</v>
      </c>
      <c r="R1068">
        <v>1</v>
      </c>
      <c r="S1068">
        <f t="shared" si="83"/>
        <v>1</v>
      </c>
      <c r="T1068">
        <f t="shared" si="84"/>
        <v>0</v>
      </c>
    </row>
    <row r="1069" spans="1:20">
      <c r="A1069" t="s">
        <v>3848</v>
      </c>
      <c r="B1069" s="3">
        <v>45083</v>
      </c>
      <c r="C1069" t="s">
        <v>3849</v>
      </c>
      <c r="D1069" t="s">
        <v>31</v>
      </c>
      <c r="E1069">
        <v>2</v>
      </c>
      <c r="F1069" s="4">
        <v>316.2</v>
      </c>
      <c r="G1069" t="s">
        <v>322</v>
      </c>
      <c r="H1069" t="s">
        <v>33</v>
      </c>
      <c r="I1069" t="s">
        <v>49</v>
      </c>
      <c r="J1069" t="s">
        <v>3850</v>
      </c>
      <c r="K1069">
        <v>2</v>
      </c>
      <c r="M1069" t="s">
        <v>28</v>
      </c>
      <c r="N1069" s="4">
        <v>632.4</v>
      </c>
      <c r="O1069" s="19" t="str">
        <f t="shared" si="80"/>
        <v>Jun-2023</v>
      </c>
      <c r="P1069">
        <f t="shared" si="81"/>
        <v>2023</v>
      </c>
      <c r="Q1069" t="str">
        <f t="shared" si="82"/>
        <v>OK</v>
      </c>
      <c r="R1069">
        <v>1</v>
      </c>
      <c r="S1069">
        <f t="shared" si="83"/>
        <v>0</v>
      </c>
      <c r="T1069">
        <f t="shared" si="84"/>
        <v>1</v>
      </c>
    </row>
    <row r="1070" spans="1:20">
      <c r="A1070" t="s">
        <v>3851</v>
      </c>
      <c r="B1070" s="3">
        <v>45507</v>
      </c>
      <c r="C1070" t="s">
        <v>3852</v>
      </c>
      <c r="D1070" t="s">
        <v>64</v>
      </c>
      <c r="E1070">
        <v>1</v>
      </c>
      <c r="F1070" s="4">
        <v>133.38999999999999</v>
      </c>
      <c r="G1070" t="s">
        <v>3853</v>
      </c>
      <c r="H1070" t="s">
        <v>24</v>
      </c>
      <c r="I1070" t="s">
        <v>25</v>
      </c>
      <c r="J1070" t="s">
        <v>3854</v>
      </c>
      <c r="K1070">
        <v>2</v>
      </c>
      <c r="L1070" t="s">
        <v>27</v>
      </c>
      <c r="M1070" t="s">
        <v>35</v>
      </c>
      <c r="N1070" s="4">
        <v>133.38999999999999</v>
      </c>
      <c r="O1070" s="19" t="str">
        <f t="shared" si="80"/>
        <v>Aug-2024</v>
      </c>
      <c r="P1070">
        <f t="shared" si="81"/>
        <v>2024</v>
      </c>
      <c r="Q1070" t="str">
        <f t="shared" si="82"/>
        <v>OK</v>
      </c>
      <c r="R1070">
        <v>1</v>
      </c>
      <c r="S1070">
        <f t="shared" si="83"/>
        <v>0</v>
      </c>
      <c r="T1070">
        <f t="shared" si="84"/>
        <v>0</v>
      </c>
    </row>
    <row r="1071" spans="1:20">
      <c r="A1071" t="s">
        <v>3855</v>
      </c>
      <c r="B1071" s="3">
        <v>44982</v>
      </c>
      <c r="C1071" t="s">
        <v>3856</v>
      </c>
      <c r="D1071" t="s">
        <v>22</v>
      </c>
      <c r="E1071">
        <v>1</v>
      </c>
      <c r="F1071" s="4">
        <v>454.23</v>
      </c>
      <c r="G1071" t="s">
        <v>974</v>
      </c>
      <c r="H1071" t="s">
        <v>66</v>
      </c>
      <c r="I1071" t="s">
        <v>49</v>
      </c>
      <c r="J1071" t="s">
        <v>3857</v>
      </c>
      <c r="K1071">
        <v>3</v>
      </c>
      <c r="M1071" t="s">
        <v>51</v>
      </c>
      <c r="N1071" s="4">
        <v>454.23</v>
      </c>
      <c r="O1071" s="19" t="str">
        <f t="shared" si="80"/>
        <v>Feb-2023</v>
      </c>
      <c r="P1071">
        <f t="shared" si="81"/>
        <v>2023</v>
      </c>
      <c r="Q1071" t="str">
        <f t="shared" si="82"/>
        <v>OK</v>
      </c>
      <c r="R1071">
        <v>1</v>
      </c>
      <c r="S1071">
        <f t="shared" si="83"/>
        <v>0</v>
      </c>
      <c r="T1071">
        <f t="shared" si="84"/>
        <v>1</v>
      </c>
    </row>
    <row r="1072" spans="1:20">
      <c r="A1072" t="s">
        <v>3858</v>
      </c>
      <c r="B1072" s="3">
        <v>45541</v>
      </c>
      <c r="C1072" t="s">
        <v>3859</v>
      </c>
      <c r="D1072" t="s">
        <v>79</v>
      </c>
      <c r="E1072">
        <v>4</v>
      </c>
      <c r="F1072" s="4">
        <v>491.29</v>
      </c>
      <c r="G1072" t="s">
        <v>365</v>
      </c>
      <c r="H1072" t="s">
        <v>24</v>
      </c>
      <c r="I1072" t="s">
        <v>95</v>
      </c>
      <c r="J1072" t="s">
        <v>3860</v>
      </c>
      <c r="K1072">
        <v>6</v>
      </c>
      <c r="M1072" t="s">
        <v>44</v>
      </c>
      <c r="N1072" s="4">
        <v>1965.16</v>
      </c>
      <c r="O1072" s="19" t="str">
        <f t="shared" si="80"/>
        <v>Sep-2024</v>
      </c>
      <c r="P1072">
        <f t="shared" si="81"/>
        <v>2024</v>
      </c>
      <c r="Q1072" t="str">
        <f t="shared" si="82"/>
        <v>OK</v>
      </c>
      <c r="R1072">
        <v>1</v>
      </c>
      <c r="S1072">
        <f t="shared" si="83"/>
        <v>0</v>
      </c>
      <c r="T1072">
        <f t="shared" si="84"/>
        <v>0</v>
      </c>
    </row>
    <row r="1073" spans="1:20">
      <c r="A1073" t="s">
        <v>3861</v>
      </c>
      <c r="B1073" s="3">
        <v>45832</v>
      </c>
      <c r="C1073" t="s">
        <v>3862</v>
      </c>
      <c r="D1073" t="s">
        <v>31</v>
      </c>
      <c r="E1073">
        <v>2</v>
      </c>
      <c r="F1073" s="4">
        <v>255.14</v>
      </c>
      <c r="G1073" t="s">
        <v>1461</v>
      </c>
      <c r="H1073" t="s">
        <v>71</v>
      </c>
      <c r="I1073" t="s">
        <v>25</v>
      </c>
      <c r="J1073" t="s">
        <v>3863</v>
      </c>
      <c r="K1073">
        <v>2</v>
      </c>
      <c r="M1073" t="s">
        <v>82</v>
      </c>
      <c r="N1073" s="4">
        <v>510.28</v>
      </c>
      <c r="O1073" s="19" t="str">
        <f t="shared" si="80"/>
        <v>Jun-2025</v>
      </c>
      <c r="P1073">
        <f t="shared" si="81"/>
        <v>2025</v>
      </c>
      <c r="Q1073" t="str">
        <f t="shared" si="82"/>
        <v>OK</v>
      </c>
      <c r="R1073">
        <v>1</v>
      </c>
      <c r="S1073">
        <f t="shared" si="83"/>
        <v>0</v>
      </c>
      <c r="T1073">
        <f t="shared" si="84"/>
        <v>0</v>
      </c>
    </row>
    <row r="1074" spans="1:20">
      <c r="A1074" t="s">
        <v>3864</v>
      </c>
      <c r="B1074" s="3">
        <v>44983</v>
      </c>
      <c r="C1074" t="s">
        <v>3865</v>
      </c>
      <c r="D1074" t="s">
        <v>22</v>
      </c>
      <c r="E1074">
        <v>1</v>
      </c>
      <c r="F1074" s="4">
        <v>392.61</v>
      </c>
      <c r="G1074" t="s">
        <v>1064</v>
      </c>
      <c r="H1074" t="s">
        <v>66</v>
      </c>
      <c r="I1074" t="s">
        <v>41</v>
      </c>
      <c r="J1074" t="s">
        <v>3866</v>
      </c>
      <c r="K1074">
        <v>4</v>
      </c>
      <c r="L1074" t="s">
        <v>27</v>
      </c>
      <c r="M1074" t="s">
        <v>35</v>
      </c>
      <c r="N1074" s="4">
        <v>392.61</v>
      </c>
      <c r="O1074" s="19" t="str">
        <f t="shared" si="80"/>
        <v>Feb-2023</v>
      </c>
      <c r="P1074">
        <f t="shared" si="81"/>
        <v>2023</v>
      </c>
      <c r="Q1074" t="str">
        <f t="shared" si="82"/>
        <v>OK</v>
      </c>
      <c r="R1074">
        <v>1</v>
      </c>
      <c r="S1074">
        <f t="shared" si="83"/>
        <v>1</v>
      </c>
      <c r="T1074">
        <f t="shared" si="84"/>
        <v>0</v>
      </c>
    </row>
    <row r="1075" spans="1:20">
      <c r="A1075" t="s">
        <v>3867</v>
      </c>
      <c r="B1075" s="3">
        <v>45576</v>
      </c>
      <c r="C1075" t="s">
        <v>3868</v>
      </c>
      <c r="D1075" t="s">
        <v>38</v>
      </c>
      <c r="E1075">
        <v>4</v>
      </c>
      <c r="F1075" s="4">
        <v>362.06</v>
      </c>
      <c r="G1075" t="s">
        <v>1042</v>
      </c>
      <c r="H1075" t="s">
        <v>24</v>
      </c>
      <c r="I1075" t="s">
        <v>49</v>
      </c>
      <c r="J1075" t="s">
        <v>3869</v>
      </c>
      <c r="K1075">
        <v>4</v>
      </c>
      <c r="M1075" t="s">
        <v>51</v>
      </c>
      <c r="N1075" s="4">
        <v>1448.24</v>
      </c>
      <c r="O1075" s="19" t="str">
        <f t="shared" si="80"/>
        <v>Oct-2024</v>
      </c>
      <c r="P1075">
        <f t="shared" si="81"/>
        <v>2024</v>
      </c>
      <c r="Q1075" t="str">
        <f t="shared" si="82"/>
        <v>OK</v>
      </c>
      <c r="R1075">
        <v>1</v>
      </c>
      <c r="S1075">
        <f t="shared" si="83"/>
        <v>0</v>
      </c>
      <c r="T1075">
        <f t="shared" si="84"/>
        <v>1</v>
      </c>
    </row>
    <row r="1076" spans="1:20">
      <c r="A1076" t="s">
        <v>3870</v>
      </c>
      <c r="B1076" s="3">
        <v>45422</v>
      </c>
      <c r="C1076" t="s">
        <v>3871</v>
      </c>
      <c r="D1076" t="s">
        <v>31</v>
      </c>
      <c r="E1076">
        <v>1</v>
      </c>
      <c r="F1076" s="4">
        <v>222.73</v>
      </c>
      <c r="G1076" t="s">
        <v>3872</v>
      </c>
      <c r="H1076" t="s">
        <v>33</v>
      </c>
      <c r="I1076" t="s">
        <v>49</v>
      </c>
      <c r="J1076" t="s">
        <v>3873</v>
      </c>
      <c r="K1076">
        <v>4</v>
      </c>
      <c r="M1076" t="s">
        <v>82</v>
      </c>
      <c r="N1076" s="4">
        <v>222.73</v>
      </c>
      <c r="O1076" s="19" t="str">
        <f t="shared" si="80"/>
        <v>May-2024</v>
      </c>
      <c r="P1076">
        <f t="shared" si="81"/>
        <v>2024</v>
      </c>
      <c r="Q1076" t="str">
        <f t="shared" si="82"/>
        <v>OK</v>
      </c>
      <c r="R1076">
        <v>1</v>
      </c>
      <c r="S1076">
        <f t="shared" si="83"/>
        <v>0</v>
      </c>
      <c r="T1076">
        <f t="shared" si="84"/>
        <v>1</v>
      </c>
    </row>
    <row r="1077" spans="1:20">
      <c r="A1077" t="s">
        <v>3874</v>
      </c>
      <c r="B1077" s="3">
        <v>45535</v>
      </c>
      <c r="C1077" t="s">
        <v>3875</v>
      </c>
      <c r="D1077" t="s">
        <v>22</v>
      </c>
      <c r="E1077">
        <v>2</v>
      </c>
      <c r="F1077" s="4">
        <v>552.63</v>
      </c>
      <c r="G1077" t="s">
        <v>843</v>
      </c>
      <c r="H1077" t="s">
        <v>24</v>
      </c>
      <c r="I1077" t="s">
        <v>56</v>
      </c>
      <c r="J1077" t="s">
        <v>3876</v>
      </c>
      <c r="K1077">
        <v>7</v>
      </c>
      <c r="L1077" t="s">
        <v>87</v>
      </c>
      <c r="M1077" t="s">
        <v>28</v>
      </c>
      <c r="N1077" s="4">
        <v>1105.26</v>
      </c>
      <c r="O1077" s="19" t="str">
        <f t="shared" si="80"/>
        <v>Aug-2024</v>
      </c>
      <c r="P1077">
        <f t="shared" si="81"/>
        <v>2024</v>
      </c>
      <c r="Q1077" t="str">
        <f t="shared" si="82"/>
        <v>OK</v>
      </c>
      <c r="R1077">
        <v>1</v>
      </c>
      <c r="S1077">
        <f t="shared" si="83"/>
        <v>0</v>
      </c>
      <c r="T1077">
        <f t="shared" si="84"/>
        <v>0</v>
      </c>
    </row>
    <row r="1078" spans="1:20">
      <c r="A1078" t="s">
        <v>3877</v>
      </c>
      <c r="B1078" s="3">
        <v>45054</v>
      </c>
      <c r="C1078" t="s">
        <v>3878</v>
      </c>
      <c r="D1078" t="s">
        <v>64</v>
      </c>
      <c r="E1078">
        <v>4</v>
      </c>
      <c r="F1078" s="4">
        <v>686.61</v>
      </c>
      <c r="G1078" t="s">
        <v>3724</v>
      </c>
      <c r="H1078" t="s">
        <v>71</v>
      </c>
      <c r="I1078" t="s">
        <v>25</v>
      </c>
      <c r="J1078" t="s">
        <v>3879</v>
      </c>
      <c r="K1078">
        <v>6</v>
      </c>
      <c r="M1078" t="s">
        <v>35</v>
      </c>
      <c r="N1078" s="4">
        <v>2746.44</v>
      </c>
      <c r="O1078" s="19" t="str">
        <f t="shared" si="80"/>
        <v>May-2023</v>
      </c>
      <c r="P1078">
        <f t="shared" si="81"/>
        <v>2023</v>
      </c>
      <c r="Q1078" t="str">
        <f t="shared" si="82"/>
        <v>OK</v>
      </c>
      <c r="R1078">
        <v>1</v>
      </c>
      <c r="S1078">
        <f t="shared" si="83"/>
        <v>0</v>
      </c>
      <c r="T1078">
        <f t="shared" si="84"/>
        <v>0</v>
      </c>
    </row>
    <row r="1079" spans="1:20">
      <c r="A1079" t="s">
        <v>3880</v>
      </c>
      <c r="B1079" s="3">
        <v>45723</v>
      </c>
      <c r="C1079" t="s">
        <v>3881</v>
      </c>
      <c r="D1079" t="s">
        <v>54</v>
      </c>
      <c r="E1079">
        <v>3</v>
      </c>
      <c r="F1079" s="4">
        <v>305.16000000000003</v>
      </c>
      <c r="G1079" t="s">
        <v>496</v>
      </c>
      <c r="H1079" t="s">
        <v>40</v>
      </c>
      <c r="I1079" t="s">
        <v>41</v>
      </c>
      <c r="J1079" t="s">
        <v>3882</v>
      </c>
      <c r="K1079">
        <v>8</v>
      </c>
      <c r="L1079" t="s">
        <v>27</v>
      </c>
      <c r="M1079" t="s">
        <v>35</v>
      </c>
      <c r="N1079" s="4">
        <v>915.48</v>
      </c>
      <c r="O1079" s="19" t="str">
        <f t="shared" si="80"/>
        <v>Mar-2025</v>
      </c>
      <c r="P1079">
        <f t="shared" si="81"/>
        <v>2025</v>
      </c>
      <c r="Q1079" t="str">
        <f t="shared" si="82"/>
        <v>OK</v>
      </c>
      <c r="R1079">
        <v>1</v>
      </c>
      <c r="S1079">
        <f t="shared" si="83"/>
        <v>1</v>
      </c>
      <c r="T1079">
        <f t="shared" si="84"/>
        <v>0</v>
      </c>
    </row>
    <row r="1080" spans="1:20">
      <c r="A1080" t="s">
        <v>3883</v>
      </c>
      <c r="B1080" s="3">
        <v>45003</v>
      </c>
      <c r="C1080" t="s">
        <v>3884</v>
      </c>
      <c r="D1080" t="s">
        <v>79</v>
      </c>
      <c r="E1080">
        <v>1</v>
      </c>
      <c r="F1080" s="4">
        <v>41.09</v>
      </c>
      <c r="G1080" t="s">
        <v>155</v>
      </c>
      <c r="H1080" t="s">
        <v>33</v>
      </c>
      <c r="I1080" t="s">
        <v>49</v>
      </c>
      <c r="J1080" t="s">
        <v>3885</v>
      </c>
      <c r="K1080">
        <v>4</v>
      </c>
      <c r="L1080" t="s">
        <v>87</v>
      </c>
      <c r="M1080" t="s">
        <v>44</v>
      </c>
      <c r="N1080" s="4">
        <v>41.09</v>
      </c>
      <c r="O1080" s="19" t="str">
        <f t="shared" si="80"/>
        <v>Mar-2023</v>
      </c>
      <c r="P1080">
        <f t="shared" si="81"/>
        <v>2023</v>
      </c>
      <c r="Q1080" t="str">
        <f t="shared" si="82"/>
        <v>OK</v>
      </c>
      <c r="R1080">
        <v>1</v>
      </c>
      <c r="S1080">
        <f t="shared" si="83"/>
        <v>0</v>
      </c>
      <c r="T1080">
        <f t="shared" si="84"/>
        <v>1</v>
      </c>
    </row>
    <row r="1081" spans="1:20">
      <c r="A1081" t="s">
        <v>3886</v>
      </c>
      <c r="B1081" s="3">
        <v>45463</v>
      </c>
      <c r="C1081" t="s">
        <v>3887</v>
      </c>
      <c r="D1081" t="s">
        <v>31</v>
      </c>
      <c r="E1081">
        <v>5</v>
      </c>
      <c r="F1081" s="4">
        <v>634</v>
      </c>
      <c r="G1081" t="s">
        <v>3376</v>
      </c>
      <c r="H1081" t="s">
        <v>66</v>
      </c>
      <c r="I1081" t="s">
        <v>56</v>
      </c>
      <c r="J1081" t="s">
        <v>3888</v>
      </c>
      <c r="K1081">
        <v>8</v>
      </c>
      <c r="M1081" t="s">
        <v>44</v>
      </c>
      <c r="N1081" s="4">
        <v>3170</v>
      </c>
      <c r="O1081" s="19" t="str">
        <f t="shared" si="80"/>
        <v>Jun-2024</v>
      </c>
      <c r="P1081">
        <f t="shared" si="81"/>
        <v>2024</v>
      </c>
      <c r="Q1081" t="str">
        <f t="shared" si="82"/>
        <v>OK</v>
      </c>
      <c r="R1081">
        <v>1</v>
      </c>
      <c r="S1081">
        <f t="shared" si="83"/>
        <v>0</v>
      </c>
      <c r="T1081">
        <f t="shared" si="84"/>
        <v>0</v>
      </c>
    </row>
    <row r="1082" spans="1:20">
      <c r="A1082" t="s">
        <v>3889</v>
      </c>
      <c r="B1082" s="3">
        <v>44946</v>
      </c>
      <c r="C1082" t="s">
        <v>3890</v>
      </c>
      <c r="D1082" t="s">
        <v>64</v>
      </c>
      <c r="E1082">
        <v>5</v>
      </c>
      <c r="F1082" s="4">
        <v>464.74</v>
      </c>
      <c r="G1082" t="s">
        <v>3891</v>
      </c>
      <c r="H1082" t="s">
        <v>66</v>
      </c>
      <c r="I1082" t="s">
        <v>56</v>
      </c>
      <c r="J1082" t="s">
        <v>3892</v>
      </c>
      <c r="K1082">
        <v>7</v>
      </c>
      <c r="M1082" t="s">
        <v>35</v>
      </c>
      <c r="N1082" s="4">
        <v>2323.6999999999998</v>
      </c>
      <c r="O1082" s="19" t="str">
        <f t="shared" si="80"/>
        <v>Jan-2023</v>
      </c>
      <c r="P1082">
        <f t="shared" si="81"/>
        <v>2023</v>
      </c>
      <c r="Q1082" t="str">
        <f t="shared" si="82"/>
        <v>OK</v>
      </c>
      <c r="R1082">
        <v>1</v>
      </c>
      <c r="S1082">
        <f t="shared" si="83"/>
        <v>0</v>
      </c>
      <c r="T1082">
        <f t="shared" si="84"/>
        <v>0</v>
      </c>
    </row>
    <row r="1083" spans="1:20">
      <c r="A1083" t="s">
        <v>3893</v>
      </c>
      <c r="B1083" s="3">
        <v>45037</v>
      </c>
      <c r="C1083" t="s">
        <v>3894</v>
      </c>
      <c r="D1083" t="s">
        <v>22</v>
      </c>
      <c r="E1083">
        <v>4</v>
      </c>
      <c r="F1083" s="4">
        <v>425.6</v>
      </c>
      <c r="G1083" t="s">
        <v>1394</v>
      </c>
      <c r="H1083" t="s">
        <v>40</v>
      </c>
      <c r="I1083" t="s">
        <v>95</v>
      </c>
      <c r="J1083" t="s">
        <v>3895</v>
      </c>
      <c r="K1083">
        <v>5</v>
      </c>
      <c r="L1083" t="s">
        <v>43</v>
      </c>
      <c r="M1083" t="s">
        <v>82</v>
      </c>
      <c r="N1083" s="4">
        <v>1702.4</v>
      </c>
      <c r="O1083" s="19" t="str">
        <f t="shared" si="80"/>
        <v>Apr-2023</v>
      </c>
      <c r="P1083">
        <f t="shared" si="81"/>
        <v>2023</v>
      </c>
      <c r="Q1083" t="str">
        <f t="shared" si="82"/>
        <v>OK</v>
      </c>
      <c r="R1083">
        <v>1</v>
      </c>
      <c r="S1083">
        <f t="shared" si="83"/>
        <v>0</v>
      </c>
      <c r="T1083">
        <f t="shared" si="84"/>
        <v>0</v>
      </c>
    </row>
    <row r="1084" spans="1:20">
      <c r="A1084" t="s">
        <v>3896</v>
      </c>
      <c r="B1084" s="3">
        <v>45205</v>
      </c>
      <c r="C1084" t="s">
        <v>3897</v>
      </c>
      <c r="D1084" t="s">
        <v>47</v>
      </c>
      <c r="E1084">
        <v>3</v>
      </c>
      <c r="F1084" s="4">
        <v>573.22</v>
      </c>
      <c r="G1084" t="s">
        <v>3757</v>
      </c>
      <c r="H1084" t="s">
        <v>24</v>
      </c>
      <c r="I1084" t="s">
        <v>95</v>
      </c>
      <c r="J1084" t="s">
        <v>3898</v>
      </c>
      <c r="K1084">
        <v>5</v>
      </c>
      <c r="L1084" t="s">
        <v>27</v>
      </c>
      <c r="M1084" t="s">
        <v>44</v>
      </c>
      <c r="N1084" s="4">
        <v>1719.66</v>
      </c>
      <c r="O1084" s="19" t="str">
        <f t="shared" si="80"/>
        <v>Oct-2023</v>
      </c>
      <c r="P1084">
        <f t="shared" si="81"/>
        <v>2023</v>
      </c>
      <c r="Q1084" t="str">
        <f t="shared" si="82"/>
        <v>OK</v>
      </c>
      <c r="R1084">
        <v>1</v>
      </c>
      <c r="S1084">
        <f t="shared" si="83"/>
        <v>0</v>
      </c>
      <c r="T1084">
        <f t="shared" si="84"/>
        <v>0</v>
      </c>
    </row>
    <row r="1085" spans="1:20">
      <c r="A1085" t="s">
        <v>3899</v>
      </c>
      <c r="B1085" s="3">
        <v>45482</v>
      </c>
      <c r="C1085" t="s">
        <v>3900</v>
      </c>
      <c r="D1085" t="s">
        <v>47</v>
      </c>
      <c r="E1085">
        <v>1</v>
      </c>
      <c r="F1085" s="4">
        <v>123.28</v>
      </c>
      <c r="G1085" t="s">
        <v>167</v>
      </c>
      <c r="H1085" t="s">
        <v>40</v>
      </c>
      <c r="I1085" t="s">
        <v>56</v>
      </c>
      <c r="J1085" t="s">
        <v>3901</v>
      </c>
      <c r="K1085">
        <v>3</v>
      </c>
      <c r="L1085" t="s">
        <v>27</v>
      </c>
      <c r="M1085" t="s">
        <v>44</v>
      </c>
      <c r="N1085" s="4">
        <v>123.28</v>
      </c>
      <c r="O1085" s="19" t="str">
        <f t="shared" si="80"/>
        <v>Jul-2024</v>
      </c>
      <c r="P1085">
        <f t="shared" si="81"/>
        <v>2024</v>
      </c>
      <c r="Q1085" t="str">
        <f t="shared" si="82"/>
        <v>OK</v>
      </c>
      <c r="R1085">
        <v>1</v>
      </c>
      <c r="S1085">
        <f t="shared" si="83"/>
        <v>0</v>
      </c>
      <c r="T1085">
        <f t="shared" si="84"/>
        <v>0</v>
      </c>
    </row>
    <row r="1086" spans="1:20">
      <c r="A1086" t="s">
        <v>3902</v>
      </c>
      <c r="B1086" s="3">
        <v>44934</v>
      </c>
      <c r="C1086" t="s">
        <v>3903</v>
      </c>
      <c r="D1086" t="s">
        <v>31</v>
      </c>
      <c r="E1086">
        <v>1</v>
      </c>
      <c r="F1086" s="4">
        <v>70.819999999999993</v>
      </c>
      <c r="G1086" t="s">
        <v>187</v>
      </c>
      <c r="H1086" t="s">
        <v>66</v>
      </c>
      <c r="I1086" t="s">
        <v>95</v>
      </c>
      <c r="J1086" t="s">
        <v>3904</v>
      </c>
      <c r="K1086">
        <v>1</v>
      </c>
      <c r="L1086" t="s">
        <v>87</v>
      </c>
      <c r="M1086" t="s">
        <v>28</v>
      </c>
      <c r="N1086" s="4">
        <v>70.819999999999993</v>
      </c>
      <c r="O1086" s="19" t="str">
        <f t="shared" si="80"/>
        <v>Jan-2023</v>
      </c>
      <c r="P1086">
        <f t="shared" si="81"/>
        <v>2023</v>
      </c>
      <c r="Q1086" t="str">
        <f t="shared" si="82"/>
        <v>OK</v>
      </c>
      <c r="R1086">
        <v>1</v>
      </c>
      <c r="S1086">
        <f t="shared" si="83"/>
        <v>0</v>
      </c>
      <c r="T1086">
        <f t="shared" si="84"/>
        <v>0</v>
      </c>
    </row>
    <row r="1087" spans="1:20">
      <c r="A1087" t="s">
        <v>3905</v>
      </c>
      <c r="B1087" s="3">
        <v>45067</v>
      </c>
      <c r="C1087" t="s">
        <v>3906</v>
      </c>
      <c r="D1087" t="s">
        <v>54</v>
      </c>
      <c r="E1087">
        <v>2</v>
      </c>
      <c r="F1087" s="4">
        <v>646.69000000000005</v>
      </c>
      <c r="G1087" t="s">
        <v>620</v>
      </c>
      <c r="H1087" t="s">
        <v>24</v>
      </c>
      <c r="I1087" t="s">
        <v>25</v>
      </c>
      <c r="J1087" t="s">
        <v>3907</v>
      </c>
      <c r="K1087">
        <v>7</v>
      </c>
      <c r="L1087" t="s">
        <v>87</v>
      </c>
      <c r="M1087" t="s">
        <v>28</v>
      </c>
      <c r="N1087" s="4">
        <v>1293.3800000000001</v>
      </c>
      <c r="O1087" s="19" t="str">
        <f t="shared" si="80"/>
        <v>May-2023</v>
      </c>
      <c r="P1087">
        <f t="shared" si="81"/>
        <v>2023</v>
      </c>
      <c r="Q1087" t="str">
        <f t="shared" si="82"/>
        <v>OK</v>
      </c>
      <c r="R1087">
        <v>1</v>
      </c>
      <c r="S1087">
        <f t="shared" si="83"/>
        <v>0</v>
      </c>
      <c r="T1087">
        <f t="shared" si="84"/>
        <v>0</v>
      </c>
    </row>
    <row r="1088" spans="1:20">
      <c r="A1088" t="s">
        <v>3908</v>
      </c>
      <c r="B1088" s="3">
        <v>45283</v>
      </c>
      <c r="C1088" t="s">
        <v>3909</v>
      </c>
      <c r="D1088" t="s">
        <v>38</v>
      </c>
      <c r="E1088">
        <v>2</v>
      </c>
      <c r="F1088" s="4">
        <v>513.41999999999996</v>
      </c>
      <c r="G1088" t="s">
        <v>3910</v>
      </c>
      <c r="H1088" t="s">
        <v>33</v>
      </c>
      <c r="I1088" t="s">
        <v>95</v>
      </c>
      <c r="J1088" t="s">
        <v>3911</v>
      </c>
      <c r="K1088">
        <v>5</v>
      </c>
      <c r="L1088" t="s">
        <v>87</v>
      </c>
      <c r="M1088" t="s">
        <v>28</v>
      </c>
      <c r="N1088" s="4">
        <v>1026.8399999999999</v>
      </c>
      <c r="O1088" s="19" t="str">
        <f t="shared" si="80"/>
        <v>Dec-2023</v>
      </c>
      <c r="P1088">
        <f t="shared" si="81"/>
        <v>2023</v>
      </c>
      <c r="Q1088" t="str">
        <f t="shared" si="82"/>
        <v>OK</v>
      </c>
      <c r="R1088">
        <v>1</v>
      </c>
      <c r="S1088">
        <f t="shared" si="83"/>
        <v>0</v>
      </c>
      <c r="T1088">
        <f t="shared" si="84"/>
        <v>0</v>
      </c>
    </row>
    <row r="1089" spans="1:20">
      <c r="A1089" t="s">
        <v>3912</v>
      </c>
      <c r="B1089" s="3">
        <v>45739</v>
      </c>
      <c r="C1089" t="s">
        <v>3913</v>
      </c>
      <c r="D1089" t="s">
        <v>64</v>
      </c>
      <c r="E1089">
        <v>4</v>
      </c>
      <c r="F1089" s="4">
        <v>693.07</v>
      </c>
      <c r="G1089" t="s">
        <v>3914</v>
      </c>
      <c r="H1089" t="s">
        <v>33</v>
      </c>
      <c r="I1089" t="s">
        <v>25</v>
      </c>
      <c r="J1089" t="s">
        <v>3915</v>
      </c>
      <c r="K1089">
        <v>8</v>
      </c>
      <c r="L1089" t="s">
        <v>27</v>
      </c>
      <c r="M1089" t="s">
        <v>28</v>
      </c>
      <c r="N1089" s="4">
        <v>2772.28</v>
      </c>
      <c r="O1089" s="19" t="str">
        <f t="shared" si="80"/>
        <v>Mar-2025</v>
      </c>
      <c r="P1089">
        <f t="shared" si="81"/>
        <v>2025</v>
      </c>
      <c r="Q1089" t="str">
        <f t="shared" si="82"/>
        <v>OK</v>
      </c>
      <c r="R1089">
        <v>1</v>
      </c>
      <c r="S1089">
        <f t="shared" si="83"/>
        <v>0</v>
      </c>
      <c r="T1089">
        <f t="shared" si="84"/>
        <v>0</v>
      </c>
    </row>
    <row r="1090" spans="1:20">
      <c r="A1090" t="s">
        <v>3916</v>
      </c>
      <c r="B1090" s="3">
        <v>45260</v>
      </c>
      <c r="C1090" t="s">
        <v>3917</v>
      </c>
      <c r="D1090" t="s">
        <v>79</v>
      </c>
      <c r="E1090">
        <v>3</v>
      </c>
      <c r="F1090" s="4">
        <v>491.43</v>
      </c>
      <c r="G1090" t="s">
        <v>3918</v>
      </c>
      <c r="H1090" t="s">
        <v>66</v>
      </c>
      <c r="I1090" t="s">
        <v>25</v>
      </c>
      <c r="J1090" t="s">
        <v>3919</v>
      </c>
      <c r="K1090">
        <v>6</v>
      </c>
      <c r="L1090" t="s">
        <v>87</v>
      </c>
      <c r="M1090" t="s">
        <v>28</v>
      </c>
      <c r="N1090" s="4">
        <v>1474.29</v>
      </c>
      <c r="O1090" s="19" t="str">
        <f t="shared" ref="O1090:O1153" si="85">TEXT(B1090,"mmm-yyyy")</f>
        <v>Nov-2023</v>
      </c>
      <c r="P1090">
        <f t="shared" ref="P1090:P1153" si="86">YEAR(B1090)</f>
        <v>2023</v>
      </c>
      <c r="Q1090" t="str">
        <f t="shared" ref="Q1090:Q1153" si="87">IF(ABS(N1090-(E1090*F1090))&lt;0.01,"OK","CHECK")</f>
        <v>OK</v>
      </c>
      <c r="R1090">
        <v>1</v>
      </c>
      <c r="S1090">
        <f t="shared" ref="S1090:S1153" si="88">IF(I1090="Cancelled",1,0)</f>
        <v>0</v>
      </c>
      <c r="T1090">
        <f t="shared" ref="T1090:T1153" si="89">IF(I1090="Returned",1,0)</f>
        <v>0</v>
      </c>
    </row>
    <row r="1091" spans="1:20">
      <c r="A1091" t="s">
        <v>3920</v>
      </c>
      <c r="B1091" s="3">
        <v>45731</v>
      </c>
      <c r="C1091" t="s">
        <v>3921</v>
      </c>
      <c r="D1091" t="s">
        <v>38</v>
      </c>
      <c r="E1091">
        <v>2</v>
      </c>
      <c r="F1091" s="4">
        <v>599.74</v>
      </c>
      <c r="G1091" t="s">
        <v>311</v>
      </c>
      <c r="H1091" t="s">
        <v>66</v>
      </c>
      <c r="I1091" t="s">
        <v>25</v>
      </c>
      <c r="J1091" t="s">
        <v>3922</v>
      </c>
      <c r="K1091">
        <v>2</v>
      </c>
      <c r="M1091" t="s">
        <v>28</v>
      </c>
      <c r="N1091" s="4">
        <v>1199.48</v>
      </c>
      <c r="O1091" s="19" t="str">
        <f t="shared" si="85"/>
        <v>Mar-2025</v>
      </c>
      <c r="P1091">
        <f t="shared" si="86"/>
        <v>2025</v>
      </c>
      <c r="Q1091" t="str">
        <f t="shared" si="87"/>
        <v>OK</v>
      </c>
      <c r="R1091">
        <v>1</v>
      </c>
      <c r="S1091">
        <f t="shared" si="88"/>
        <v>0</v>
      </c>
      <c r="T1091">
        <f t="shared" si="89"/>
        <v>0</v>
      </c>
    </row>
    <row r="1092" spans="1:20">
      <c r="A1092" t="s">
        <v>3923</v>
      </c>
      <c r="B1092" s="3">
        <v>44982</v>
      </c>
      <c r="C1092" t="s">
        <v>3924</v>
      </c>
      <c r="D1092" t="s">
        <v>22</v>
      </c>
      <c r="E1092">
        <v>2</v>
      </c>
      <c r="F1092" s="4">
        <v>650.25</v>
      </c>
      <c r="G1092" t="s">
        <v>171</v>
      </c>
      <c r="H1092" t="s">
        <v>66</v>
      </c>
      <c r="I1092" t="s">
        <v>49</v>
      </c>
      <c r="J1092" t="s">
        <v>3925</v>
      </c>
      <c r="K1092">
        <v>6</v>
      </c>
      <c r="M1092" t="s">
        <v>28</v>
      </c>
      <c r="N1092" s="4">
        <v>1300.5</v>
      </c>
      <c r="O1092" s="19" t="str">
        <f t="shared" si="85"/>
        <v>Feb-2023</v>
      </c>
      <c r="P1092">
        <f t="shared" si="86"/>
        <v>2023</v>
      </c>
      <c r="Q1092" t="str">
        <f t="shared" si="87"/>
        <v>OK</v>
      </c>
      <c r="R1092">
        <v>1</v>
      </c>
      <c r="S1092">
        <f t="shared" si="88"/>
        <v>0</v>
      </c>
      <c r="T1092">
        <f t="shared" si="89"/>
        <v>1</v>
      </c>
    </row>
    <row r="1093" spans="1:20">
      <c r="A1093" t="s">
        <v>3926</v>
      </c>
      <c r="B1093" s="3">
        <v>45573</v>
      </c>
      <c r="C1093" t="s">
        <v>3927</v>
      </c>
      <c r="D1093" t="s">
        <v>64</v>
      </c>
      <c r="E1093">
        <v>3</v>
      </c>
      <c r="F1093" s="4">
        <v>209.48</v>
      </c>
      <c r="G1093" t="s">
        <v>1615</v>
      </c>
      <c r="H1093" t="s">
        <v>24</v>
      </c>
      <c r="I1093" t="s">
        <v>95</v>
      </c>
      <c r="J1093" t="s">
        <v>3928</v>
      </c>
      <c r="K1093">
        <v>4</v>
      </c>
      <c r="M1093" t="s">
        <v>44</v>
      </c>
      <c r="N1093" s="4">
        <v>628.43999999999994</v>
      </c>
      <c r="O1093" s="19" t="str">
        <f t="shared" si="85"/>
        <v>Oct-2024</v>
      </c>
      <c r="P1093">
        <f t="shared" si="86"/>
        <v>2024</v>
      </c>
      <c r="Q1093" t="str">
        <f t="shared" si="87"/>
        <v>OK</v>
      </c>
      <c r="R1093">
        <v>1</v>
      </c>
      <c r="S1093">
        <f t="shared" si="88"/>
        <v>0</v>
      </c>
      <c r="T1093">
        <f t="shared" si="89"/>
        <v>0</v>
      </c>
    </row>
    <row r="1094" spans="1:20">
      <c r="A1094" t="s">
        <v>3929</v>
      </c>
      <c r="B1094" s="3">
        <v>45159</v>
      </c>
      <c r="C1094" t="s">
        <v>3930</v>
      </c>
      <c r="D1094" t="s">
        <v>64</v>
      </c>
      <c r="E1094">
        <v>5</v>
      </c>
      <c r="F1094" s="4">
        <v>209.2</v>
      </c>
      <c r="G1094" t="s">
        <v>163</v>
      </c>
      <c r="H1094" t="s">
        <v>24</v>
      </c>
      <c r="I1094" t="s">
        <v>56</v>
      </c>
      <c r="J1094" t="s">
        <v>3931</v>
      </c>
      <c r="K1094">
        <v>6</v>
      </c>
      <c r="L1094" t="s">
        <v>87</v>
      </c>
      <c r="M1094" t="s">
        <v>44</v>
      </c>
      <c r="N1094" s="4">
        <v>1046</v>
      </c>
      <c r="O1094" s="19" t="str">
        <f t="shared" si="85"/>
        <v>Aug-2023</v>
      </c>
      <c r="P1094">
        <f t="shared" si="86"/>
        <v>2023</v>
      </c>
      <c r="Q1094" t="str">
        <f t="shared" si="87"/>
        <v>OK</v>
      </c>
      <c r="R1094">
        <v>1</v>
      </c>
      <c r="S1094">
        <f t="shared" si="88"/>
        <v>0</v>
      </c>
      <c r="T1094">
        <f t="shared" si="89"/>
        <v>0</v>
      </c>
    </row>
    <row r="1095" spans="1:20">
      <c r="A1095" t="s">
        <v>3932</v>
      </c>
      <c r="B1095" s="3">
        <v>45086</v>
      </c>
      <c r="C1095" t="s">
        <v>3933</v>
      </c>
      <c r="D1095" t="s">
        <v>31</v>
      </c>
      <c r="E1095">
        <v>4</v>
      </c>
      <c r="F1095" s="4">
        <v>197.36</v>
      </c>
      <c r="G1095" t="s">
        <v>3934</v>
      </c>
      <c r="H1095" t="s">
        <v>66</v>
      </c>
      <c r="I1095" t="s">
        <v>49</v>
      </c>
      <c r="J1095" t="s">
        <v>3935</v>
      </c>
      <c r="K1095">
        <v>9</v>
      </c>
      <c r="L1095" t="s">
        <v>43</v>
      </c>
      <c r="M1095" t="s">
        <v>28</v>
      </c>
      <c r="N1095" s="4">
        <v>789.44</v>
      </c>
      <c r="O1095" s="19" t="str">
        <f t="shared" si="85"/>
        <v>Jun-2023</v>
      </c>
      <c r="P1095">
        <f t="shared" si="86"/>
        <v>2023</v>
      </c>
      <c r="Q1095" t="str">
        <f t="shared" si="87"/>
        <v>OK</v>
      </c>
      <c r="R1095">
        <v>1</v>
      </c>
      <c r="S1095">
        <f t="shared" si="88"/>
        <v>0</v>
      </c>
      <c r="T1095">
        <f t="shared" si="89"/>
        <v>1</v>
      </c>
    </row>
    <row r="1096" spans="1:20">
      <c r="A1096" t="s">
        <v>3936</v>
      </c>
      <c r="B1096" s="3">
        <v>45105</v>
      </c>
      <c r="C1096" t="s">
        <v>3937</v>
      </c>
      <c r="D1096" t="s">
        <v>54</v>
      </c>
      <c r="E1096">
        <v>4</v>
      </c>
      <c r="F1096" s="4">
        <v>648.91</v>
      </c>
      <c r="G1096" t="s">
        <v>3938</v>
      </c>
      <c r="H1096" t="s">
        <v>40</v>
      </c>
      <c r="I1096" t="s">
        <v>25</v>
      </c>
      <c r="J1096" t="s">
        <v>3939</v>
      </c>
      <c r="K1096">
        <v>6</v>
      </c>
      <c r="L1096" t="s">
        <v>27</v>
      </c>
      <c r="M1096" t="s">
        <v>28</v>
      </c>
      <c r="N1096" s="4">
        <v>2595.64</v>
      </c>
      <c r="O1096" s="19" t="str">
        <f t="shared" si="85"/>
        <v>Jun-2023</v>
      </c>
      <c r="P1096">
        <f t="shared" si="86"/>
        <v>2023</v>
      </c>
      <c r="Q1096" t="str">
        <f t="shared" si="87"/>
        <v>OK</v>
      </c>
      <c r="R1096">
        <v>1</v>
      </c>
      <c r="S1096">
        <f t="shared" si="88"/>
        <v>0</v>
      </c>
      <c r="T1096">
        <f t="shared" si="89"/>
        <v>0</v>
      </c>
    </row>
    <row r="1097" spans="1:20">
      <c r="A1097" t="s">
        <v>3940</v>
      </c>
      <c r="B1097" s="3">
        <v>45405</v>
      </c>
      <c r="C1097" t="s">
        <v>3941</v>
      </c>
      <c r="D1097" t="s">
        <v>31</v>
      </c>
      <c r="E1097">
        <v>2</v>
      </c>
      <c r="F1097" s="4">
        <v>441.54</v>
      </c>
      <c r="G1097" t="s">
        <v>3942</v>
      </c>
      <c r="H1097" t="s">
        <v>33</v>
      </c>
      <c r="I1097" t="s">
        <v>56</v>
      </c>
      <c r="J1097" t="s">
        <v>3943</v>
      </c>
      <c r="K1097">
        <v>2</v>
      </c>
      <c r="L1097" t="s">
        <v>27</v>
      </c>
      <c r="M1097" t="s">
        <v>44</v>
      </c>
      <c r="N1097" s="4">
        <v>883.08</v>
      </c>
      <c r="O1097" s="19" t="str">
        <f t="shared" si="85"/>
        <v>Apr-2024</v>
      </c>
      <c r="P1097">
        <f t="shared" si="86"/>
        <v>2024</v>
      </c>
      <c r="Q1097" t="str">
        <f t="shared" si="87"/>
        <v>OK</v>
      </c>
      <c r="R1097">
        <v>1</v>
      </c>
      <c r="S1097">
        <f t="shared" si="88"/>
        <v>0</v>
      </c>
      <c r="T1097">
        <f t="shared" si="89"/>
        <v>0</v>
      </c>
    </row>
    <row r="1098" spans="1:20">
      <c r="A1098" t="s">
        <v>3944</v>
      </c>
      <c r="B1098" s="3">
        <v>45780</v>
      </c>
      <c r="C1098" t="s">
        <v>3945</v>
      </c>
      <c r="D1098" t="s">
        <v>38</v>
      </c>
      <c r="E1098">
        <v>2</v>
      </c>
      <c r="F1098" s="4">
        <v>464.92</v>
      </c>
      <c r="G1098" t="s">
        <v>3946</v>
      </c>
      <c r="H1098" t="s">
        <v>24</v>
      </c>
      <c r="I1098" t="s">
        <v>49</v>
      </c>
      <c r="J1098" t="s">
        <v>3947</v>
      </c>
      <c r="K1098">
        <v>2</v>
      </c>
      <c r="M1098" t="s">
        <v>51</v>
      </c>
      <c r="N1098" s="4">
        <v>929.84</v>
      </c>
      <c r="O1098" s="19" t="str">
        <f t="shared" si="85"/>
        <v>May-2025</v>
      </c>
      <c r="P1098">
        <f t="shared" si="86"/>
        <v>2025</v>
      </c>
      <c r="Q1098" t="str">
        <f t="shared" si="87"/>
        <v>OK</v>
      </c>
      <c r="R1098">
        <v>1</v>
      </c>
      <c r="S1098">
        <f t="shared" si="88"/>
        <v>0</v>
      </c>
      <c r="T1098">
        <f t="shared" si="89"/>
        <v>1</v>
      </c>
    </row>
    <row r="1099" spans="1:20">
      <c r="A1099" t="s">
        <v>3948</v>
      </c>
      <c r="B1099" s="3">
        <v>45652</v>
      </c>
      <c r="C1099" t="s">
        <v>3949</v>
      </c>
      <c r="D1099" t="s">
        <v>22</v>
      </c>
      <c r="E1099">
        <v>5</v>
      </c>
      <c r="F1099" s="4">
        <v>506.45</v>
      </c>
      <c r="G1099" t="s">
        <v>3950</v>
      </c>
      <c r="H1099" t="s">
        <v>66</v>
      </c>
      <c r="I1099" t="s">
        <v>25</v>
      </c>
      <c r="J1099" t="s">
        <v>3951</v>
      </c>
      <c r="K1099">
        <v>7</v>
      </c>
      <c r="L1099" t="s">
        <v>87</v>
      </c>
      <c r="M1099" t="s">
        <v>82</v>
      </c>
      <c r="N1099" s="4">
        <v>2532.25</v>
      </c>
      <c r="O1099" s="19" t="str">
        <f t="shared" si="85"/>
        <v>Dec-2024</v>
      </c>
      <c r="P1099">
        <f t="shared" si="86"/>
        <v>2024</v>
      </c>
      <c r="Q1099" t="str">
        <f t="shared" si="87"/>
        <v>OK</v>
      </c>
      <c r="R1099">
        <v>1</v>
      </c>
      <c r="S1099">
        <f t="shared" si="88"/>
        <v>0</v>
      </c>
      <c r="T1099">
        <f t="shared" si="89"/>
        <v>0</v>
      </c>
    </row>
    <row r="1100" spans="1:20">
      <c r="A1100" t="s">
        <v>3952</v>
      </c>
      <c r="B1100" s="3">
        <v>45094</v>
      </c>
      <c r="C1100" t="s">
        <v>3953</v>
      </c>
      <c r="D1100" t="s">
        <v>22</v>
      </c>
      <c r="E1100">
        <v>4</v>
      </c>
      <c r="F1100" s="4">
        <v>255.86</v>
      </c>
      <c r="G1100" t="s">
        <v>3954</v>
      </c>
      <c r="H1100" t="s">
        <v>40</v>
      </c>
      <c r="I1100" t="s">
        <v>56</v>
      </c>
      <c r="J1100" t="s">
        <v>3955</v>
      </c>
      <c r="K1100">
        <v>7</v>
      </c>
      <c r="M1100" t="s">
        <v>44</v>
      </c>
      <c r="N1100" s="4">
        <v>1023.44</v>
      </c>
      <c r="O1100" s="19" t="str">
        <f t="shared" si="85"/>
        <v>Jun-2023</v>
      </c>
      <c r="P1100">
        <f t="shared" si="86"/>
        <v>2023</v>
      </c>
      <c r="Q1100" t="str">
        <f t="shared" si="87"/>
        <v>OK</v>
      </c>
      <c r="R1100">
        <v>1</v>
      </c>
      <c r="S1100">
        <f t="shared" si="88"/>
        <v>0</v>
      </c>
      <c r="T1100">
        <f t="shared" si="89"/>
        <v>0</v>
      </c>
    </row>
    <row r="1101" spans="1:20">
      <c r="A1101" t="s">
        <v>3956</v>
      </c>
      <c r="B1101" s="3">
        <v>45554</v>
      </c>
      <c r="C1101" t="s">
        <v>3957</v>
      </c>
      <c r="D1101" t="s">
        <v>64</v>
      </c>
      <c r="E1101">
        <v>2</v>
      </c>
      <c r="F1101" s="4">
        <v>125.23</v>
      </c>
      <c r="G1101" t="s">
        <v>1507</v>
      </c>
      <c r="H1101" t="s">
        <v>71</v>
      </c>
      <c r="I1101" t="s">
        <v>41</v>
      </c>
      <c r="J1101" t="s">
        <v>3958</v>
      </c>
      <c r="K1101">
        <v>3</v>
      </c>
      <c r="L1101" t="s">
        <v>43</v>
      </c>
      <c r="M1101" t="s">
        <v>44</v>
      </c>
      <c r="N1101" s="4">
        <v>250.46</v>
      </c>
      <c r="O1101" s="19" t="str">
        <f t="shared" si="85"/>
        <v>Sep-2024</v>
      </c>
      <c r="P1101">
        <f t="shared" si="86"/>
        <v>2024</v>
      </c>
      <c r="Q1101" t="str">
        <f t="shared" si="87"/>
        <v>OK</v>
      </c>
      <c r="R1101">
        <v>1</v>
      </c>
      <c r="S1101">
        <f t="shared" si="88"/>
        <v>1</v>
      </c>
      <c r="T1101">
        <f t="shared" si="89"/>
        <v>0</v>
      </c>
    </row>
    <row r="1102" spans="1:20">
      <c r="A1102" t="s">
        <v>3959</v>
      </c>
      <c r="B1102" s="3">
        <v>45155</v>
      </c>
      <c r="C1102" t="s">
        <v>3960</v>
      </c>
      <c r="D1102" t="s">
        <v>64</v>
      </c>
      <c r="E1102">
        <v>5</v>
      </c>
      <c r="F1102" s="4">
        <v>38.11</v>
      </c>
      <c r="G1102" t="s">
        <v>3961</v>
      </c>
      <c r="H1102" t="s">
        <v>24</v>
      </c>
      <c r="I1102" t="s">
        <v>41</v>
      </c>
      <c r="J1102" t="s">
        <v>3962</v>
      </c>
      <c r="K1102">
        <v>6</v>
      </c>
      <c r="L1102" t="s">
        <v>87</v>
      </c>
      <c r="M1102" t="s">
        <v>28</v>
      </c>
      <c r="N1102" s="4">
        <v>190.55</v>
      </c>
      <c r="O1102" s="19" t="str">
        <f t="shared" si="85"/>
        <v>Aug-2023</v>
      </c>
      <c r="P1102">
        <f t="shared" si="86"/>
        <v>2023</v>
      </c>
      <c r="Q1102" t="str">
        <f t="shared" si="87"/>
        <v>OK</v>
      </c>
      <c r="R1102">
        <v>1</v>
      </c>
      <c r="S1102">
        <f t="shared" si="88"/>
        <v>1</v>
      </c>
      <c r="T1102">
        <f t="shared" si="89"/>
        <v>0</v>
      </c>
    </row>
    <row r="1103" spans="1:20">
      <c r="A1103" t="s">
        <v>3963</v>
      </c>
      <c r="B1103" s="3">
        <v>45816</v>
      </c>
      <c r="C1103" t="s">
        <v>3964</v>
      </c>
      <c r="D1103" t="s">
        <v>22</v>
      </c>
      <c r="E1103">
        <v>3</v>
      </c>
      <c r="F1103" s="4">
        <v>161.97</v>
      </c>
      <c r="G1103" t="s">
        <v>75</v>
      </c>
      <c r="H1103" t="s">
        <v>71</v>
      </c>
      <c r="I1103" t="s">
        <v>95</v>
      </c>
      <c r="J1103" t="s">
        <v>3965</v>
      </c>
      <c r="K1103">
        <v>4</v>
      </c>
      <c r="L1103" t="s">
        <v>27</v>
      </c>
      <c r="M1103" t="s">
        <v>44</v>
      </c>
      <c r="N1103" s="4">
        <v>485.91</v>
      </c>
      <c r="O1103" s="19" t="str">
        <f t="shared" si="85"/>
        <v>Jun-2025</v>
      </c>
      <c r="P1103">
        <f t="shared" si="86"/>
        <v>2025</v>
      </c>
      <c r="Q1103" t="str">
        <f t="shared" si="87"/>
        <v>OK</v>
      </c>
      <c r="R1103">
        <v>1</v>
      </c>
      <c r="S1103">
        <f t="shared" si="88"/>
        <v>0</v>
      </c>
      <c r="T1103">
        <f t="shared" si="89"/>
        <v>0</v>
      </c>
    </row>
    <row r="1104" spans="1:20">
      <c r="A1104" t="s">
        <v>3966</v>
      </c>
      <c r="B1104" s="3">
        <v>45446</v>
      </c>
      <c r="C1104" t="s">
        <v>102</v>
      </c>
      <c r="D1104" t="s">
        <v>47</v>
      </c>
      <c r="E1104">
        <v>4</v>
      </c>
      <c r="F1104" s="4">
        <v>347.17</v>
      </c>
      <c r="G1104" t="s">
        <v>2785</v>
      </c>
      <c r="H1104" t="s">
        <v>24</v>
      </c>
      <c r="I1104" t="s">
        <v>25</v>
      </c>
      <c r="J1104" t="s">
        <v>3967</v>
      </c>
      <c r="K1104">
        <v>8</v>
      </c>
      <c r="M1104" t="s">
        <v>28</v>
      </c>
      <c r="N1104" s="4">
        <v>1388.68</v>
      </c>
      <c r="O1104" s="19" t="str">
        <f t="shared" si="85"/>
        <v>Jun-2024</v>
      </c>
      <c r="P1104">
        <f t="shared" si="86"/>
        <v>2024</v>
      </c>
      <c r="Q1104" t="str">
        <f t="shared" si="87"/>
        <v>OK</v>
      </c>
      <c r="R1104">
        <v>1</v>
      </c>
      <c r="S1104">
        <f t="shared" si="88"/>
        <v>0</v>
      </c>
      <c r="T1104">
        <f t="shared" si="89"/>
        <v>0</v>
      </c>
    </row>
    <row r="1105" spans="1:20">
      <c r="A1105" t="s">
        <v>3968</v>
      </c>
      <c r="B1105" s="3">
        <v>45040</v>
      </c>
      <c r="C1105" t="s">
        <v>3969</v>
      </c>
      <c r="D1105" t="s">
        <v>64</v>
      </c>
      <c r="E1105">
        <v>4</v>
      </c>
      <c r="F1105" s="4">
        <v>276.32</v>
      </c>
      <c r="G1105" t="s">
        <v>333</v>
      </c>
      <c r="H1105" t="s">
        <v>33</v>
      </c>
      <c r="I1105" t="s">
        <v>56</v>
      </c>
      <c r="J1105" t="s">
        <v>3970</v>
      </c>
      <c r="K1105">
        <v>5</v>
      </c>
      <c r="M1105" t="s">
        <v>82</v>
      </c>
      <c r="N1105" s="4">
        <v>1105.28</v>
      </c>
      <c r="O1105" s="19" t="str">
        <f t="shared" si="85"/>
        <v>Apr-2023</v>
      </c>
      <c r="P1105">
        <f t="shared" si="86"/>
        <v>2023</v>
      </c>
      <c r="Q1105" t="str">
        <f t="shared" si="87"/>
        <v>OK</v>
      </c>
      <c r="R1105">
        <v>1</v>
      </c>
      <c r="S1105">
        <f t="shared" si="88"/>
        <v>0</v>
      </c>
      <c r="T1105">
        <f t="shared" si="89"/>
        <v>0</v>
      </c>
    </row>
    <row r="1106" spans="1:20">
      <c r="A1106" t="s">
        <v>3971</v>
      </c>
      <c r="B1106" s="3">
        <v>45498</v>
      </c>
      <c r="C1106" t="s">
        <v>3972</v>
      </c>
      <c r="D1106" t="s">
        <v>38</v>
      </c>
      <c r="E1106">
        <v>4</v>
      </c>
      <c r="F1106" s="4">
        <v>314.76</v>
      </c>
      <c r="G1106" t="s">
        <v>3973</v>
      </c>
      <c r="H1106" t="s">
        <v>33</v>
      </c>
      <c r="I1106" t="s">
        <v>25</v>
      </c>
      <c r="J1106" t="s">
        <v>3974</v>
      </c>
      <c r="K1106">
        <v>8</v>
      </c>
      <c r="M1106" t="s">
        <v>28</v>
      </c>
      <c r="N1106" s="4">
        <v>1259.04</v>
      </c>
      <c r="O1106" s="19" t="str">
        <f t="shared" si="85"/>
        <v>Jul-2024</v>
      </c>
      <c r="P1106">
        <f t="shared" si="86"/>
        <v>2024</v>
      </c>
      <c r="Q1106" t="str">
        <f t="shared" si="87"/>
        <v>OK</v>
      </c>
      <c r="R1106">
        <v>1</v>
      </c>
      <c r="S1106">
        <f t="shared" si="88"/>
        <v>0</v>
      </c>
      <c r="T1106">
        <f t="shared" si="89"/>
        <v>0</v>
      </c>
    </row>
    <row r="1107" spans="1:20">
      <c r="A1107" t="s">
        <v>3975</v>
      </c>
      <c r="B1107" s="3">
        <v>45299</v>
      </c>
      <c r="C1107" t="s">
        <v>3976</v>
      </c>
      <c r="D1107" t="s">
        <v>38</v>
      </c>
      <c r="E1107">
        <v>3</v>
      </c>
      <c r="F1107" s="4">
        <v>475.69</v>
      </c>
      <c r="G1107" t="s">
        <v>1103</v>
      </c>
      <c r="H1107" t="s">
        <v>66</v>
      </c>
      <c r="I1107" t="s">
        <v>41</v>
      </c>
      <c r="J1107" t="s">
        <v>3977</v>
      </c>
      <c r="K1107">
        <v>3</v>
      </c>
      <c r="L1107" t="s">
        <v>43</v>
      </c>
      <c r="M1107" t="s">
        <v>82</v>
      </c>
      <c r="N1107" s="4">
        <v>1427.07</v>
      </c>
      <c r="O1107" s="19" t="str">
        <f t="shared" si="85"/>
        <v>Jan-2024</v>
      </c>
      <c r="P1107">
        <f t="shared" si="86"/>
        <v>2024</v>
      </c>
      <c r="Q1107" t="str">
        <f t="shared" si="87"/>
        <v>OK</v>
      </c>
      <c r="R1107">
        <v>1</v>
      </c>
      <c r="S1107">
        <f t="shared" si="88"/>
        <v>1</v>
      </c>
      <c r="T1107">
        <f t="shared" si="89"/>
        <v>0</v>
      </c>
    </row>
    <row r="1108" spans="1:20">
      <c r="A1108" t="s">
        <v>3978</v>
      </c>
      <c r="B1108" s="3">
        <v>44997</v>
      </c>
      <c r="C1108" t="s">
        <v>3979</v>
      </c>
      <c r="D1108" t="s">
        <v>47</v>
      </c>
      <c r="E1108">
        <v>1</v>
      </c>
      <c r="F1108" s="4">
        <v>372.8</v>
      </c>
      <c r="G1108" t="s">
        <v>99</v>
      </c>
      <c r="H1108" t="s">
        <v>71</v>
      </c>
      <c r="I1108" t="s">
        <v>41</v>
      </c>
      <c r="J1108" t="s">
        <v>3980</v>
      </c>
      <c r="K1108">
        <v>6</v>
      </c>
      <c r="L1108" t="s">
        <v>27</v>
      </c>
      <c r="M1108" t="s">
        <v>51</v>
      </c>
      <c r="N1108" s="4">
        <v>372.8</v>
      </c>
      <c r="O1108" s="19" t="str">
        <f t="shared" si="85"/>
        <v>Mar-2023</v>
      </c>
      <c r="P1108">
        <f t="shared" si="86"/>
        <v>2023</v>
      </c>
      <c r="Q1108" t="str">
        <f t="shared" si="87"/>
        <v>OK</v>
      </c>
      <c r="R1108">
        <v>1</v>
      </c>
      <c r="S1108">
        <f t="shared" si="88"/>
        <v>1</v>
      </c>
      <c r="T1108">
        <f t="shared" si="89"/>
        <v>0</v>
      </c>
    </row>
    <row r="1109" spans="1:20">
      <c r="A1109" t="s">
        <v>3981</v>
      </c>
      <c r="B1109" s="3">
        <v>45838</v>
      </c>
      <c r="C1109" t="s">
        <v>3982</v>
      </c>
      <c r="D1109" t="s">
        <v>38</v>
      </c>
      <c r="E1109">
        <v>2</v>
      </c>
      <c r="F1109" s="4">
        <v>63.21</v>
      </c>
      <c r="G1109" t="s">
        <v>2296</v>
      </c>
      <c r="H1109" t="s">
        <v>33</v>
      </c>
      <c r="I1109" t="s">
        <v>41</v>
      </c>
      <c r="J1109" t="s">
        <v>3983</v>
      </c>
      <c r="K1109">
        <v>4</v>
      </c>
      <c r="L1109" t="s">
        <v>27</v>
      </c>
      <c r="M1109" t="s">
        <v>82</v>
      </c>
      <c r="N1109" s="4">
        <v>126.42</v>
      </c>
      <c r="O1109" s="19" t="str">
        <f t="shared" si="85"/>
        <v>Jun-2025</v>
      </c>
      <c r="P1109">
        <f t="shared" si="86"/>
        <v>2025</v>
      </c>
      <c r="Q1109" t="str">
        <f t="shared" si="87"/>
        <v>OK</v>
      </c>
      <c r="R1109">
        <v>1</v>
      </c>
      <c r="S1109">
        <f t="shared" si="88"/>
        <v>1</v>
      </c>
      <c r="T1109">
        <f t="shared" si="89"/>
        <v>0</v>
      </c>
    </row>
    <row r="1110" spans="1:20">
      <c r="A1110" t="s">
        <v>3984</v>
      </c>
      <c r="B1110" s="3">
        <v>45005</v>
      </c>
      <c r="C1110" t="s">
        <v>3985</v>
      </c>
      <c r="D1110" t="s">
        <v>64</v>
      </c>
      <c r="E1110">
        <v>1</v>
      </c>
      <c r="F1110" s="4">
        <v>634.94000000000005</v>
      </c>
      <c r="G1110" t="s">
        <v>3986</v>
      </c>
      <c r="H1110" t="s">
        <v>33</v>
      </c>
      <c r="I1110" t="s">
        <v>41</v>
      </c>
      <c r="J1110" t="s">
        <v>3987</v>
      </c>
      <c r="K1110">
        <v>5</v>
      </c>
      <c r="L1110" t="s">
        <v>87</v>
      </c>
      <c r="M1110" t="s">
        <v>28</v>
      </c>
      <c r="N1110" s="4">
        <v>634.94000000000005</v>
      </c>
      <c r="O1110" s="19" t="str">
        <f t="shared" si="85"/>
        <v>Mar-2023</v>
      </c>
      <c r="P1110">
        <f t="shared" si="86"/>
        <v>2023</v>
      </c>
      <c r="Q1110" t="str">
        <f t="shared" si="87"/>
        <v>OK</v>
      </c>
      <c r="R1110">
        <v>1</v>
      </c>
      <c r="S1110">
        <f t="shared" si="88"/>
        <v>1</v>
      </c>
      <c r="T1110">
        <f t="shared" si="89"/>
        <v>0</v>
      </c>
    </row>
    <row r="1111" spans="1:20">
      <c r="A1111" t="s">
        <v>3988</v>
      </c>
      <c r="B1111" s="3">
        <v>45390</v>
      </c>
      <c r="C1111" t="s">
        <v>3989</v>
      </c>
      <c r="D1111" t="s">
        <v>54</v>
      </c>
      <c r="E1111">
        <v>4</v>
      </c>
      <c r="F1111" s="4">
        <v>77.47</v>
      </c>
      <c r="G1111" t="s">
        <v>1785</v>
      </c>
      <c r="H1111" t="s">
        <v>66</v>
      </c>
      <c r="I1111" t="s">
        <v>49</v>
      </c>
      <c r="J1111" t="s">
        <v>3990</v>
      </c>
      <c r="K1111">
        <v>7</v>
      </c>
      <c r="L1111" t="s">
        <v>27</v>
      </c>
      <c r="M1111" t="s">
        <v>28</v>
      </c>
      <c r="N1111" s="4">
        <v>309.88</v>
      </c>
      <c r="O1111" s="19" t="str">
        <f t="shared" si="85"/>
        <v>Apr-2024</v>
      </c>
      <c r="P1111">
        <f t="shared" si="86"/>
        <v>2024</v>
      </c>
      <c r="Q1111" t="str">
        <f t="shared" si="87"/>
        <v>OK</v>
      </c>
      <c r="R1111">
        <v>1</v>
      </c>
      <c r="S1111">
        <f t="shared" si="88"/>
        <v>0</v>
      </c>
      <c r="T1111">
        <f t="shared" si="89"/>
        <v>1</v>
      </c>
    </row>
    <row r="1112" spans="1:20">
      <c r="A1112" t="s">
        <v>3991</v>
      </c>
      <c r="B1112" s="3">
        <v>45347</v>
      </c>
      <c r="C1112" t="s">
        <v>3992</v>
      </c>
      <c r="D1112" t="s">
        <v>47</v>
      </c>
      <c r="E1112">
        <v>3</v>
      </c>
      <c r="F1112" s="4">
        <v>84.31</v>
      </c>
      <c r="G1112" t="s">
        <v>179</v>
      </c>
      <c r="H1112" t="s">
        <v>40</v>
      </c>
      <c r="I1112" t="s">
        <v>25</v>
      </c>
      <c r="J1112" t="s">
        <v>3993</v>
      </c>
      <c r="K1112">
        <v>3</v>
      </c>
      <c r="L1112" t="s">
        <v>27</v>
      </c>
      <c r="M1112" t="s">
        <v>44</v>
      </c>
      <c r="N1112" s="4">
        <v>252.93</v>
      </c>
      <c r="O1112" s="19" t="str">
        <f t="shared" si="85"/>
        <v>Feb-2024</v>
      </c>
      <c r="P1112">
        <f t="shared" si="86"/>
        <v>2024</v>
      </c>
      <c r="Q1112" t="str">
        <f t="shared" si="87"/>
        <v>OK</v>
      </c>
      <c r="R1112">
        <v>1</v>
      </c>
      <c r="S1112">
        <f t="shared" si="88"/>
        <v>0</v>
      </c>
      <c r="T1112">
        <f t="shared" si="89"/>
        <v>0</v>
      </c>
    </row>
    <row r="1113" spans="1:20">
      <c r="A1113" t="s">
        <v>3994</v>
      </c>
      <c r="B1113" s="3">
        <v>45052</v>
      </c>
      <c r="C1113" t="s">
        <v>3995</v>
      </c>
      <c r="D1113" t="s">
        <v>22</v>
      </c>
      <c r="E1113">
        <v>4</v>
      </c>
      <c r="F1113" s="4">
        <v>234.45</v>
      </c>
      <c r="G1113" t="s">
        <v>3996</v>
      </c>
      <c r="H1113" t="s">
        <v>33</v>
      </c>
      <c r="I1113" t="s">
        <v>41</v>
      </c>
      <c r="J1113" t="s">
        <v>3997</v>
      </c>
      <c r="K1113">
        <v>9</v>
      </c>
      <c r="L1113" t="s">
        <v>43</v>
      </c>
      <c r="M1113" t="s">
        <v>28</v>
      </c>
      <c r="N1113" s="4">
        <v>937.8</v>
      </c>
      <c r="O1113" s="19" t="str">
        <f t="shared" si="85"/>
        <v>May-2023</v>
      </c>
      <c r="P1113">
        <f t="shared" si="86"/>
        <v>2023</v>
      </c>
      <c r="Q1113" t="str">
        <f t="shared" si="87"/>
        <v>OK</v>
      </c>
      <c r="R1113">
        <v>1</v>
      </c>
      <c r="S1113">
        <f t="shared" si="88"/>
        <v>1</v>
      </c>
      <c r="T1113">
        <f t="shared" si="89"/>
        <v>0</v>
      </c>
    </row>
    <row r="1114" spans="1:20">
      <c r="A1114" t="s">
        <v>3998</v>
      </c>
      <c r="B1114" s="3">
        <v>45212</v>
      </c>
      <c r="C1114" t="s">
        <v>3999</v>
      </c>
      <c r="D1114" t="s">
        <v>79</v>
      </c>
      <c r="E1114">
        <v>1</v>
      </c>
      <c r="F1114" s="4">
        <v>356.81</v>
      </c>
      <c r="G1114" t="s">
        <v>535</v>
      </c>
      <c r="H1114" t="s">
        <v>33</v>
      </c>
      <c r="I1114" t="s">
        <v>56</v>
      </c>
      <c r="J1114" t="s">
        <v>4000</v>
      </c>
      <c r="K1114">
        <v>1</v>
      </c>
      <c r="L1114" t="s">
        <v>87</v>
      </c>
      <c r="M1114" t="s">
        <v>28</v>
      </c>
      <c r="N1114" s="4">
        <v>356.81</v>
      </c>
      <c r="O1114" s="19" t="str">
        <f t="shared" si="85"/>
        <v>Oct-2023</v>
      </c>
      <c r="P1114">
        <f t="shared" si="86"/>
        <v>2023</v>
      </c>
      <c r="Q1114" t="str">
        <f t="shared" si="87"/>
        <v>OK</v>
      </c>
      <c r="R1114">
        <v>1</v>
      </c>
      <c r="S1114">
        <f t="shared" si="88"/>
        <v>0</v>
      </c>
      <c r="T1114">
        <f t="shared" si="89"/>
        <v>0</v>
      </c>
    </row>
    <row r="1115" spans="1:20">
      <c r="A1115" t="s">
        <v>4001</v>
      </c>
      <c r="B1115" s="3">
        <v>45004</v>
      </c>
      <c r="C1115" t="s">
        <v>4002</v>
      </c>
      <c r="D1115" t="s">
        <v>79</v>
      </c>
      <c r="E1115">
        <v>4</v>
      </c>
      <c r="F1115" s="4">
        <v>209.99</v>
      </c>
      <c r="G1115" t="s">
        <v>3411</v>
      </c>
      <c r="H1115" t="s">
        <v>71</v>
      </c>
      <c r="I1115" t="s">
        <v>56</v>
      </c>
      <c r="J1115" t="s">
        <v>4003</v>
      </c>
      <c r="K1115">
        <v>8</v>
      </c>
      <c r="M1115" t="s">
        <v>82</v>
      </c>
      <c r="N1115" s="4">
        <v>839.96</v>
      </c>
      <c r="O1115" s="19" t="str">
        <f t="shared" si="85"/>
        <v>Mar-2023</v>
      </c>
      <c r="P1115">
        <f t="shared" si="86"/>
        <v>2023</v>
      </c>
      <c r="Q1115" t="str">
        <f t="shared" si="87"/>
        <v>OK</v>
      </c>
      <c r="R1115">
        <v>1</v>
      </c>
      <c r="S1115">
        <f t="shared" si="88"/>
        <v>0</v>
      </c>
      <c r="T1115">
        <f t="shared" si="89"/>
        <v>0</v>
      </c>
    </row>
    <row r="1116" spans="1:20">
      <c r="A1116" t="s">
        <v>4004</v>
      </c>
      <c r="B1116" s="3">
        <v>45001</v>
      </c>
      <c r="C1116" t="s">
        <v>4005</v>
      </c>
      <c r="D1116" t="s">
        <v>38</v>
      </c>
      <c r="E1116">
        <v>3</v>
      </c>
      <c r="F1116" s="4">
        <v>659.88</v>
      </c>
      <c r="G1116" t="s">
        <v>843</v>
      </c>
      <c r="H1116" t="s">
        <v>66</v>
      </c>
      <c r="I1116" t="s">
        <v>41</v>
      </c>
      <c r="J1116" t="s">
        <v>4006</v>
      </c>
      <c r="K1116">
        <v>3</v>
      </c>
      <c r="M1116" t="s">
        <v>82</v>
      </c>
      <c r="N1116" s="4">
        <v>1979.64</v>
      </c>
      <c r="O1116" s="19" t="str">
        <f t="shared" si="85"/>
        <v>Mar-2023</v>
      </c>
      <c r="P1116">
        <f t="shared" si="86"/>
        <v>2023</v>
      </c>
      <c r="Q1116" t="str">
        <f t="shared" si="87"/>
        <v>OK</v>
      </c>
      <c r="R1116">
        <v>1</v>
      </c>
      <c r="S1116">
        <f t="shared" si="88"/>
        <v>1</v>
      </c>
      <c r="T1116">
        <f t="shared" si="89"/>
        <v>0</v>
      </c>
    </row>
    <row r="1117" spans="1:20">
      <c r="A1117" t="s">
        <v>4007</v>
      </c>
      <c r="B1117" s="3">
        <v>45828</v>
      </c>
      <c r="C1117" t="s">
        <v>4008</v>
      </c>
      <c r="D1117" t="s">
        <v>64</v>
      </c>
      <c r="E1117">
        <v>2</v>
      </c>
      <c r="F1117" s="4">
        <v>336.32</v>
      </c>
      <c r="G1117" t="s">
        <v>958</v>
      </c>
      <c r="H1117" t="s">
        <v>33</v>
      </c>
      <c r="I1117" t="s">
        <v>49</v>
      </c>
      <c r="J1117" t="s">
        <v>4009</v>
      </c>
      <c r="K1117">
        <v>3</v>
      </c>
      <c r="M1117" t="s">
        <v>82</v>
      </c>
      <c r="N1117" s="4">
        <v>672.64</v>
      </c>
      <c r="O1117" s="19" t="str">
        <f t="shared" si="85"/>
        <v>Jun-2025</v>
      </c>
      <c r="P1117">
        <f t="shared" si="86"/>
        <v>2025</v>
      </c>
      <c r="Q1117" t="str">
        <f t="shared" si="87"/>
        <v>OK</v>
      </c>
      <c r="R1117">
        <v>1</v>
      </c>
      <c r="S1117">
        <f t="shared" si="88"/>
        <v>0</v>
      </c>
      <c r="T1117">
        <f t="shared" si="89"/>
        <v>1</v>
      </c>
    </row>
    <row r="1118" spans="1:20">
      <c r="A1118" t="s">
        <v>4010</v>
      </c>
      <c r="B1118" s="3">
        <v>45213</v>
      </c>
      <c r="C1118" t="s">
        <v>4011</v>
      </c>
      <c r="D1118" t="s">
        <v>54</v>
      </c>
      <c r="E1118">
        <v>2</v>
      </c>
      <c r="F1118" s="4">
        <v>531.49</v>
      </c>
      <c r="G1118" t="s">
        <v>958</v>
      </c>
      <c r="H1118" t="s">
        <v>40</v>
      </c>
      <c r="I1118" t="s">
        <v>56</v>
      </c>
      <c r="J1118" t="s">
        <v>4012</v>
      </c>
      <c r="K1118">
        <v>7</v>
      </c>
      <c r="L1118" t="s">
        <v>87</v>
      </c>
      <c r="M1118" t="s">
        <v>51</v>
      </c>
      <c r="N1118" s="4">
        <v>1062.98</v>
      </c>
      <c r="O1118" s="19" t="str">
        <f t="shared" si="85"/>
        <v>Oct-2023</v>
      </c>
      <c r="P1118">
        <f t="shared" si="86"/>
        <v>2023</v>
      </c>
      <c r="Q1118" t="str">
        <f t="shared" si="87"/>
        <v>OK</v>
      </c>
      <c r="R1118">
        <v>1</v>
      </c>
      <c r="S1118">
        <f t="shared" si="88"/>
        <v>0</v>
      </c>
      <c r="T1118">
        <f t="shared" si="89"/>
        <v>0</v>
      </c>
    </row>
    <row r="1119" spans="1:20">
      <c r="A1119" t="s">
        <v>4013</v>
      </c>
      <c r="B1119" s="3">
        <v>45432</v>
      </c>
      <c r="C1119" t="s">
        <v>4014</v>
      </c>
      <c r="D1119" t="s">
        <v>47</v>
      </c>
      <c r="E1119">
        <v>3</v>
      </c>
      <c r="F1119" s="4">
        <v>588.44000000000005</v>
      </c>
      <c r="G1119" t="s">
        <v>1577</v>
      </c>
      <c r="H1119" t="s">
        <v>66</v>
      </c>
      <c r="I1119" t="s">
        <v>25</v>
      </c>
      <c r="J1119" t="s">
        <v>4015</v>
      </c>
      <c r="K1119">
        <v>8</v>
      </c>
      <c r="L1119" t="s">
        <v>87</v>
      </c>
      <c r="M1119" t="s">
        <v>82</v>
      </c>
      <c r="N1119" s="4">
        <v>1765.32</v>
      </c>
      <c r="O1119" s="19" t="str">
        <f t="shared" si="85"/>
        <v>May-2024</v>
      </c>
      <c r="P1119">
        <f t="shared" si="86"/>
        <v>2024</v>
      </c>
      <c r="Q1119" t="str">
        <f t="shared" si="87"/>
        <v>OK</v>
      </c>
      <c r="R1119">
        <v>1</v>
      </c>
      <c r="S1119">
        <f t="shared" si="88"/>
        <v>0</v>
      </c>
      <c r="T1119">
        <f t="shared" si="89"/>
        <v>0</v>
      </c>
    </row>
    <row r="1120" spans="1:20">
      <c r="A1120" t="s">
        <v>4016</v>
      </c>
      <c r="B1120" s="3">
        <v>45436</v>
      </c>
      <c r="C1120" t="s">
        <v>4017</v>
      </c>
      <c r="D1120" t="s">
        <v>31</v>
      </c>
      <c r="E1120">
        <v>3</v>
      </c>
      <c r="F1120" s="4">
        <v>251.48</v>
      </c>
      <c r="G1120" t="s">
        <v>1548</v>
      </c>
      <c r="H1120" t="s">
        <v>40</v>
      </c>
      <c r="I1120" t="s">
        <v>49</v>
      </c>
      <c r="J1120" t="s">
        <v>4018</v>
      </c>
      <c r="K1120">
        <v>4</v>
      </c>
      <c r="M1120" t="s">
        <v>44</v>
      </c>
      <c r="N1120" s="4">
        <v>754.43999999999994</v>
      </c>
      <c r="O1120" s="19" t="str">
        <f t="shared" si="85"/>
        <v>May-2024</v>
      </c>
      <c r="P1120">
        <f t="shared" si="86"/>
        <v>2024</v>
      </c>
      <c r="Q1120" t="str">
        <f t="shared" si="87"/>
        <v>OK</v>
      </c>
      <c r="R1120">
        <v>1</v>
      </c>
      <c r="S1120">
        <f t="shared" si="88"/>
        <v>0</v>
      </c>
      <c r="T1120">
        <f t="shared" si="89"/>
        <v>1</v>
      </c>
    </row>
    <row r="1121" spans="1:20">
      <c r="A1121" t="s">
        <v>4019</v>
      </c>
      <c r="B1121" s="3">
        <v>45620</v>
      </c>
      <c r="C1121" t="s">
        <v>4020</v>
      </c>
      <c r="D1121" t="s">
        <v>64</v>
      </c>
      <c r="E1121">
        <v>1</v>
      </c>
      <c r="F1121" s="4">
        <v>684.65</v>
      </c>
      <c r="G1121" t="s">
        <v>1060</v>
      </c>
      <c r="H1121" t="s">
        <v>40</v>
      </c>
      <c r="I1121" t="s">
        <v>56</v>
      </c>
      <c r="J1121" t="s">
        <v>4021</v>
      </c>
      <c r="K1121">
        <v>1</v>
      </c>
      <c r="L1121" t="s">
        <v>43</v>
      </c>
      <c r="M1121" t="s">
        <v>44</v>
      </c>
      <c r="N1121" s="4">
        <v>684.65</v>
      </c>
      <c r="O1121" s="19" t="str">
        <f t="shared" si="85"/>
        <v>Nov-2024</v>
      </c>
      <c r="P1121">
        <f t="shared" si="86"/>
        <v>2024</v>
      </c>
      <c r="Q1121" t="str">
        <f t="shared" si="87"/>
        <v>OK</v>
      </c>
      <c r="R1121">
        <v>1</v>
      </c>
      <c r="S1121">
        <f t="shared" si="88"/>
        <v>0</v>
      </c>
      <c r="T1121">
        <f t="shared" si="89"/>
        <v>0</v>
      </c>
    </row>
    <row r="1122" spans="1:20">
      <c r="A1122" t="s">
        <v>4022</v>
      </c>
      <c r="B1122" s="3">
        <v>45787</v>
      </c>
      <c r="C1122" t="s">
        <v>4023</v>
      </c>
      <c r="D1122" t="s">
        <v>38</v>
      </c>
      <c r="E1122">
        <v>1</v>
      </c>
      <c r="F1122" s="4">
        <v>195.86</v>
      </c>
      <c r="G1122" t="s">
        <v>207</v>
      </c>
      <c r="H1122" t="s">
        <v>33</v>
      </c>
      <c r="I1122" t="s">
        <v>95</v>
      </c>
      <c r="J1122" t="s">
        <v>4024</v>
      </c>
      <c r="K1122">
        <v>3</v>
      </c>
      <c r="M1122" t="s">
        <v>51</v>
      </c>
      <c r="N1122" s="4">
        <v>195.86</v>
      </c>
      <c r="O1122" s="19" t="str">
        <f t="shared" si="85"/>
        <v>May-2025</v>
      </c>
      <c r="P1122">
        <f t="shared" si="86"/>
        <v>2025</v>
      </c>
      <c r="Q1122" t="str">
        <f t="shared" si="87"/>
        <v>OK</v>
      </c>
      <c r="R1122">
        <v>1</v>
      </c>
      <c r="S1122">
        <f t="shared" si="88"/>
        <v>0</v>
      </c>
      <c r="T1122">
        <f t="shared" si="89"/>
        <v>0</v>
      </c>
    </row>
    <row r="1123" spans="1:20">
      <c r="A1123" t="s">
        <v>4025</v>
      </c>
      <c r="B1123" s="3">
        <v>45074</v>
      </c>
      <c r="C1123" t="s">
        <v>4026</v>
      </c>
      <c r="D1123" t="s">
        <v>31</v>
      </c>
      <c r="E1123">
        <v>3</v>
      </c>
      <c r="F1123" s="4">
        <v>50.34</v>
      </c>
      <c r="G1123" t="s">
        <v>3232</v>
      </c>
      <c r="H1123" t="s">
        <v>66</v>
      </c>
      <c r="I1123" t="s">
        <v>49</v>
      </c>
      <c r="J1123" t="s">
        <v>4027</v>
      </c>
      <c r="K1123">
        <v>3</v>
      </c>
      <c r="L1123" t="s">
        <v>43</v>
      </c>
      <c r="M1123" t="s">
        <v>28</v>
      </c>
      <c r="N1123" s="4">
        <v>151.02000000000001</v>
      </c>
      <c r="O1123" s="19" t="str">
        <f t="shared" si="85"/>
        <v>May-2023</v>
      </c>
      <c r="P1123">
        <f t="shared" si="86"/>
        <v>2023</v>
      </c>
      <c r="Q1123" t="str">
        <f t="shared" si="87"/>
        <v>OK</v>
      </c>
      <c r="R1123">
        <v>1</v>
      </c>
      <c r="S1123">
        <f t="shared" si="88"/>
        <v>0</v>
      </c>
      <c r="T1123">
        <f t="shared" si="89"/>
        <v>1</v>
      </c>
    </row>
    <row r="1124" spans="1:20">
      <c r="A1124" t="s">
        <v>4028</v>
      </c>
      <c r="B1124" s="3">
        <v>45084</v>
      </c>
      <c r="C1124" t="s">
        <v>1071</v>
      </c>
      <c r="D1124" t="s">
        <v>22</v>
      </c>
      <c r="E1124">
        <v>5</v>
      </c>
      <c r="F1124" s="4">
        <v>678.19</v>
      </c>
      <c r="G1124" t="s">
        <v>3739</v>
      </c>
      <c r="H1124" t="s">
        <v>33</v>
      </c>
      <c r="I1124" t="s">
        <v>49</v>
      </c>
      <c r="J1124" t="s">
        <v>4029</v>
      </c>
      <c r="K1124">
        <v>8</v>
      </c>
      <c r="M1124" t="s">
        <v>51</v>
      </c>
      <c r="N1124" s="4">
        <v>3390.95</v>
      </c>
      <c r="O1124" s="19" t="str">
        <f t="shared" si="85"/>
        <v>Jun-2023</v>
      </c>
      <c r="P1124">
        <f t="shared" si="86"/>
        <v>2023</v>
      </c>
      <c r="Q1124" t="str">
        <f t="shared" si="87"/>
        <v>OK</v>
      </c>
      <c r="R1124">
        <v>1</v>
      </c>
      <c r="S1124">
        <f t="shared" si="88"/>
        <v>0</v>
      </c>
      <c r="T1124">
        <f t="shared" si="89"/>
        <v>1</v>
      </c>
    </row>
    <row r="1125" spans="1:20">
      <c r="A1125" t="s">
        <v>4030</v>
      </c>
      <c r="B1125" s="3">
        <v>45030</v>
      </c>
      <c r="C1125" t="s">
        <v>4031</v>
      </c>
      <c r="D1125" t="s">
        <v>38</v>
      </c>
      <c r="E1125">
        <v>3</v>
      </c>
      <c r="F1125" s="4">
        <v>554.25</v>
      </c>
      <c r="G1125" t="s">
        <v>4032</v>
      </c>
      <c r="H1125" t="s">
        <v>24</v>
      </c>
      <c r="I1125" t="s">
        <v>25</v>
      </c>
      <c r="J1125" t="s">
        <v>4033</v>
      </c>
      <c r="K1125">
        <v>6</v>
      </c>
      <c r="L1125" t="s">
        <v>87</v>
      </c>
      <c r="M1125" t="s">
        <v>35</v>
      </c>
      <c r="N1125" s="4">
        <v>1662.75</v>
      </c>
      <c r="O1125" s="19" t="str">
        <f t="shared" si="85"/>
        <v>Apr-2023</v>
      </c>
      <c r="P1125">
        <f t="shared" si="86"/>
        <v>2023</v>
      </c>
      <c r="Q1125" t="str">
        <f t="shared" si="87"/>
        <v>OK</v>
      </c>
      <c r="R1125">
        <v>1</v>
      </c>
      <c r="S1125">
        <f t="shared" si="88"/>
        <v>0</v>
      </c>
      <c r="T1125">
        <f t="shared" si="89"/>
        <v>0</v>
      </c>
    </row>
    <row r="1126" spans="1:20">
      <c r="A1126" t="s">
        <v>4034</v>
      </c>
      <c r="B1126" s="3">
        <v>45055</v>
      </c>
      <c r="C1126" t="s">
        <v>4035</v>
      </c>
      <c r="D1126" t="s">
        <v>47</v>
      </c>
      <c r="E1126">
        <v>4</v>
      </c>
      <c r="F1126" s="4">
        <v>576.87</v>
      </c>
      <c r="G1126" t="s">
        <v>4036</v>
      </c>
      <c r="H1126" t="s">
        <v>66</v>
      </c>
      <c r="I1126" t="s">
        <v>49</v>
      </c>
      <c r="J1126" t="s">
        <v>4037</v>
      </c>
      <c r="K1126">
        <v>5</v>
      </c>
      <c r="M1126" t="s">
        <v>28</v>
      </c>
      <c r="N1126" s="4">
        <v>2307.48</v>
      </c>
      <c r="O1126" s="19" t="str">
        <f t="shared" si="85"/>
        <v>May-2023</v>
      </c>
      <c r="P1126">
        <f t="shared" si="86"/>
        <v>2023</v>
      </c>
      <c r="Q1126" t="str">
        <f t="shared" si="87"/>
        <v>OK</v>
      </c>
      <c r="R1126">
        <v>1</v>
      </c>
      <c r="S1126">
        <f t="shared" si="88"/>
        <v>0</v>
      </c>
      <c r="T1126">
        <f t="shared" si="89"/>
        <v>1</v>
      </c>
    </row>
    <row r="1127" spans="1:20">
      <c r="A1127" t="s">
        <v>4038</v>
      </c>
      <c r="B1127" s="3">
        <v>45215</v>
      </c>
      <c r="C1127" t="s">
        <v>4039</v>
      </c>
      <c r="D1127" t="s">
        <v>79</v>
      </c>
      <c r="E1127">
        <v>4</v>
      </c>
      <c r="F1127" s="4">
        <v>408.36</v>
      </c>
      <c r="G1127" t="s">
        <v>3186</v>
      </c>
      <c r="H1127" t="s">
        <v>66</v>
      </c>
      <c r="I1127" t="s">
        <v>41</v>
      </c>
      <c r="J1127" t="s">
        <v>4040</v>
      </c>
      <c r="K1127">
        <v>4</v>
      </c>
      <c r="L1127" t="s">
        <v>43</v>
      </c>
      <c r="M1127" t="s">
        <v>35</v>
      </c>
      <c r="N1127" s="4">
        <v>1633.44</v>
      </c>
      <c r="O1127" s="19" t="str">
        <f t="shared" si="85"/>
        <v>Oct-2023</v>
      </c>
      <c r="P1127">
        <f t="shared" si="86"/>
        <v>2023</v>
      </c>
      <c r="Q1127" t="str">
        <f t="shared" si="87"/>
        <v>OK</v>
      </c>
      <c r="R1127">
        <v>1</v>
      </c>
      <c r="S1127">
        <f t="shared" si="88"/>
        <v>1</v>
      </c>
      <c r="T1127">
        <f t="shared" si="89"/>
        <v>0</v>
      </c>
    </row>
    <row r="1128" spans="1:20">
      <c r="A1128" t="s">
        <v>4041</v>
      </c>
      <c r="B1128" s="3">
        <v>45495</v>
      </c>
      <c r="C1128" t="s">
        <v>4042</v>
      </c>
      <c r="D1128" t="s">
        <v>31</v>
      </c>
      <c r="E1128">
        <v>5</v>
      </c>
      <c r="F1128" s="4">
        <v>190.11</v>
      </c>
      <c r="G1128" t="s">
        <v>4043</v>
      </c>
      <c r="H1128" t="s">
        <v>71</v>
      </c>
      <c r="I1128" t="s">
        <v>56</v>
      </c>
      <c r="J1128" t="s">
        <v>4044</v>
      </c>
      <c r="K1128">
        <v>7</v>
      </c>
      <c r="L1128" t="s">
        <v>27</v>
      </c>
      <c r="M1128" t="s">
        <v>82</v>
      </c>
      <c r="N1128" s="4">
        <v>950.55000000000007</v>
      </c>
      <c r="O1128" s="19" t="str">
        <f t="shared" si="85"/>
        <v>Jul-2024</v>
      </c>
      <c r="P1128">
        <f t="shared" si="86"/>
        <v>2024</v>
      </c>
      <c r="Q1128" t="str">
        <f t="shared" si="87"/>
        <v>OK</v>
      </c>
      <c r="R1128">
        <v>1</v>
      </c>
      <c r="S1128">
        <f t="shared" si="88"/>
        <v>0</v>
      </c>
      <c r="T1128">
        <f t="shared" si="89"/>
        <v>0</v>
      </c>
    </row>
    <row r="1129" spans="1:20">
      <c r="A1129" t="s">
        <v>4045</v>
      </c>
      <c r="B1129" s="3">
        <v>45731</v>
      </c>
      <c r="C1129" t="s">
        <v>4046</v>
      </c>
      <c r="D1129" t="s">
        <v>54</v>
      </c>
      <c r="E1129">
        <v>3</v>
      </c>
      <c r="F1129" s="4">
        <v>602.75</v>
      </c>
      <c r="G1129" t="s">
        <v>3017</v>
      </c>
      <c r="H1129" t="s">
        <v>40</v>
      </c>
      <c r="I1129" t="s">
        <v>25</v>
      </c>
      <c r="J1129" t="s">
        <v>4047</v>
      </c>
      <c r="K1129">
        <v>6</v>
      </c>
      <c r="L1129" t="s">
        <v>27</v>
      </c>
      <c r="M1129" t="s">
        <v>44</v>
      </c>
      <c r="N1129" s="4">
        <v>1808.25</v>
      </c>
      <c r="O1129" s="19" t="str">
        <f t="shared" si="85"/>
        <v>Mar-2025</v>
      </c>
      <c r="P1129">
        <f t="shared" si="86"/>
        <v>2025</v>
      </c>
      <c r="Q1129" t="str">
        <f t="shared" si="87"/>
        <v>OK</v>
      </c>
      <c r="R1129">
        <v>1</v>
      </c>
      <c r="S1129">
        <f t="shared" si="88"/>
        <v>0</v>
      </c>
      <c r="T1129">
        <f t="shared" si="89"/>
        <v>0</v>
      </c>
    </row>
    <row r="1130" spans="1:20">
      <c r="A1130" t="s">
        <v>4048</v>
      </c>
      <c r="B1130" s="3">
        <v>45155</v>
      </c>
      <c r="C1130" t="s">
        <v>4049</v>
      </c>
      <c r="D1130" t="s">
        <v>22</v>
      </c>
      <c r="E1130">
        <v>3</v>
      </c>
      <c r="F1130" s="4">
        <v>646.79</v>
      </c>
      <c r="G1130" t="s">
        <v>385</v>
      </c>
      <c r="H1130" t="s">
        <v>71</v>
      </c>
      <c r="I1130" t="s">
        <v>41</v>
      </c>
      <c r="J1130" t="s">
        <v>4050</v>
      </c>
      <c r="K1130">
        <v>5</v>
      </c>
      <c r="L1130" t="s">
        <v>87</v>
      </c>
      <c r="M1130" t="s">
        <v>82</v>
      </c>
      <c r="N1130" s="4">
        <v>1940.37</v>
      </c>
      <c r="O1130" s="19" t="str">
        <f t="shared" si="85"/>
        <v>Aug-2023</v>
      </c>
      <c r="P1130">
        <f t="shared" si="86"/>
        <v>2023</v>
      </c>
      <c r="Q1130" t="str">
        <f t="shared" si="87"/>
        <v>OK</v>
      </c>
      <c r="R1130">
        <v>1</v>
      </c>
      <c r="S1130">
        <f t="shared" si="88"/>
        <v>1</v>
      </c>
      <c r="T1130">
        <f t="shared" si="89"/>
        <v>0</v>
      </c>
    </row>
    <row r="1131" spans="1:20">
      <c r="A1131" t="s">
        <v>4051</v>
      </c>
      <c r="B1131" s="3">
        <v>45088</v>
      </c>
      <c r="C1131" t="s">
        <v>4052</v>
      </c>
      <c r="D1131" t="s">
        <v>47</v>
      </c>
      <c r="E1131">
        <v>4</v>
      </c>
      <c r="F1131" s="4">
        <v>418.71</v>
      </c>
      <c r="G1131" t="s">
        <v>345</v>
      </c>
      <c r="H1131" t="s">
        <v>71</v>
      </c>
      <c r="I1131" t="s">
        <v>95</v>
      </c>
      <c r="J1131" t="s">
        <v>4053</v>
      </c>
      <c r="K1131">
        <v>8</v>
      </c>
      <c r="L1131" t="s">
        <v>43</v>
      </c>
      <c r="M1131" t="s">
        <v>28</v>
      </c>
      <c r="N1131" s="4">
        <v>1674.84</v>
      </c>
      <c r="O1131" s="19" t="str">
        <f t="shared" si="85"/>
        <v>Jun-2023</v>
      </c>
      <c r="P1131">
        <f t="shared" si="86"/>
        <v>2023</v>
      </c>
      <c r="Q1131" t="str">
        <f t="shared" si="87"/>
        <v>OK</v>
      </c>
      <c r="R1131">
        <v>1</v>
      </c>
      <c r="S1131">
        <f t="shared" si="88"/>
        <v>0</v>
      </c>
      <c r="T1131">
        <f t="shared" si="89"/>
        <v>0</v>
      </c>
    </row>
    <row r="1132" spans="1:20">
      <c r="A1132" t="s">
        <v>4054</v>
      </c>
      <c r="B1132" s="3">
        <v>45704</v>
      </c>
      <c r="C1132" t="s">
        <v>4055</v>
      </c>
      <c r="D1132" t="s">
        <v>64</v>
      </c>
      <c r="E1132">
        <v>2</v>
      </c>
      <c r="F1132" s="4">
        <v>323.45</v>
      </c>
      <c r="G1132" t="s">
        <v>432</v>
      </c>
      <c r="H1132" t="s">
        <v>40</v>
      </c>
      <c r="I1132" t="s">
        <v>49</v>
      </c>
      <c r="J1132" t="s">
        <v>4056</v>
      </c>
      <c r="K1132">
        <v>5</v>
      </c>
      <c r="L1132" t="s">
        <v>43</v>
      </c>
      <c r="M1132" t="s">
        <v>28</v>
      </c>
      <c r="N1132" s="4">
        <v>646.9</v>
      </c>
      <c r="O1132" s="19" t="str">
        <f t="shared" si="85"/>
        <v>Feb-2025</v>
      </c>
      <c r="P1132">
        <f t="shared" si="86"/>
        <v>2025</v>
      </c>
      <c r="Q1132" t="str">
        <f t="shared" si="87"/>
        <v>OK</v>
      </c>
      <c r="R1132">
        <v>1</v>
      </c>
      <c r="S1132">
        <f t="shared" si="88"/>
        <v>0</v>
      </c>
      <c r="T1132">
        <f t="shared" si="89"/>
        <v>1</v>
      </c>
    </row>
    <row r="1133" spans="1:20">
      <c r="A1133" t="s">
        <v>4057</v>
      </c>
      <c r="B1133" s="3">
        <v>45491</v>
      </c>
      <c r="C1133" t="s">
        <v>4058</v>
      </c>
      <c r="D1133" t="s">
        <v>31</v>
      </c>
      <c r="E1133">
        <v>1</v>
      </c>
      <c r="F1133" s="4">
        <v>694.5</v>
      </c>
      <c r="G1133" t="s">
        <v>1131</v>
      </c>
      <c r="H1133" t="s">
        <v>40</v>
      </c>
      <c r="I1133" t="s">
        <v>95</v>
      </c>
      <c r="J1133" t="s">
        <v>4059</v>
      </c>
      <c r="K1133">
        <v>3</v>
      </c>
      <c r="L1133" t="s">
        <v>87</v>
      </c>
      <c r="M1133" t="s">
        <v>51</v>
      </c>
      <c r="N1133" s="4">
        <v>694.5</v>
      </c>
      <c r="O1133" s="19" t="str">
        <f t="shared" si="85"/>
        <v>Jul-2024</v>
      </c>
      <c r="P1133">
        <f t="shared" si="86"/>
        <v>2024</v>
      </c>
      <c r="Q1133" t="str">
        <f t="shared" si="87"/>
        <v>OK</v>
      </c>
      <c r="R1133">
        <v>1</v>
      </c>
      <c r="S1133">
        <f t="shared" si="88"/>
        <v>0</v>
      </c>
      <c r="T1133">
        <f t="shared" si="89"/>
        <v>0</v>
      </c>
    </row>
    <row r="1134" spans="1:20">
      <c r="A1134" t="s">
        <v>4060</v>
      </c>
      <c r="B1134" s="3">
        <v>45628</v>
      </c>
      <c r="C1134" t="s">
        <v>4061</v>
      </c>
      <c r="D1134" t="s">
        <v>47</v>
      </c>
      <c r="E1134">
        <v>2</v>
      </c>
      <c r="F1134" s="4">
        <v>337.32</v>
      </c>
      <c r="G1134" t="s">
        <v>935</v>
      </c>
      <c r="H1134" t="s">
        <v>40</v>
      </c>
      <c r="I1134" t="s">
        <v>41</v>
      </c>
      <c r="J1134" t="s">
        <v>4062</v>
      </c>
      <c r="K1134">
        <v>4</v>
      </c>
      <c r="L1134" t="s">
        <v>27</v>
      </c>
      <c r="M1134" t="s">
        <v>44</v>
      </c>
      <c r="N1134" s="4">
        <v>674.64</v>
      </c>
      <c r="O1134" s="19" t="str">
        <f t="shared" si="85"/>
        <v>Dec-2024</v>
      </c>
      <c r="P1134">
        <f t="shared" si="86"/>
        <v>2024</v>
      </c>
      <c r="Q1134" t="str">
        <f t="shared" si="87"/>
        <v>OK</v>
      </c>
      <c r="R1134">
        <v>1</v>
      </c>
      <c r="S1134">
        <f t="shared" si="88"/>
        <v>1</v>
      </c>
      <c r="T1134">
        <f t="shared" si="89"/>
        <v>0</v>
      </c>
    </row>
    <row r="1135" spans="1:20">
      <c r="A1135" t="s">
        <v>4063</v>
      </c>
      <c r="B1135" s="3">
        <v>45391</v>
      </c>
      <c r="C1135" t="s">
        <v>4064</v>
      </c>
      <c r="D1135" t="s">
        <v>54</v>
      </c>
      <c r="E1135">
        <v>2</v>
      </c>
      <c r="F1135" s="4">
        <v>467.91</v>
      </c>
      <c r="G1135" t="s">
        <v>879</v>
      </c>
      <c r="H1135" t="s">
        <v>66</v>
      </c>
      <c r="I1135" t="s">
        <v>49</v>
      </c>
      <c r="J1135" t="s">
        <v>4065</v>
      </c>
      <c r="K1135">
        <v>5</v>
      </c>
      <c r="L1135" t="s">
        <v>87</v>
      </c>
      <c r="M1135" t="s">
        <v>51</v>
      </c>
      <c r="N1135" s="4">
        <v>935.82</v>
      </c>
      <c r="O1135" s="19" t="str">
        <f t="shared" si="85"/>
        <v>Apr-2024</v>
      </c>
      <c r="P1135">
        <f t="shared" si="86"/>
        <v>2024</v>
      </c>
      <c r="Q1135" t="str">
        <f t="shared" si="87"/>
        <v>OK</v>
      </c>
      <c r="R1135">
        <v>1</v>
      </c>
      <c r="S1135">
        <f t="shared" si="88"/>
        <v>0</v>
      </c>
      <c r="T1135">
        <f t="shared" si="89"/>
        <v>1</v>
      </c>
    </row>
    <row r="1136" spans="1:20">
      <c r="A1136" t="s">
        <v>4066</v>
      </c>
      <c r="B1136" s="3">
        <v>45451</v>
      </c>
      <c r="C1136" t="s">
        <v>4067</v>
      </c>
      <c r="D1136" t="s">
        <v>79</v>
      </c>
      <c r="E1136">
        <v>4</v>
      </c>
      <c r="F1136" s="4">
        <v>38.28</v>
      </c>
      <c r="G1136" t="s">
        <v>4068</v>
      </c>
      <c r="H1136" t="s">
        <v>24</v>
      </c>
      <c r="I1136" t="s">
        <v>41</v>
      </c>
      <c r="J1136" t="s">
        <v>4069</v>
      </c>
      <c r="K1136">
        <v>4</v>
      </c>
      <c r="L1136" t="s">
        <v>87</v>
      </c>
      <c r="M1136" t="s">
        <v>51</v>
      </c>
      <c r="N1136" s="4">
        <v>153.12</v>
      </c>
      <c r="O1136" s="19" t="str">
        <f t="shared" si="85"/>
        <v>Jun-2024</v>
      </c>
      <c r="P1136">
        <f t="shared" si="86"/>
        <v>2024</v>
      </c>
      <c r="Q1136" t="str">
        <f t="shared" si="87"/>
        <v>OK</v>
      </c>
      <c r="R1136">
        <v>1</v>
      </c>
      <c r="S1136">
        <f t="shared" si="88"/>
        <v>1</v>
      </c>
      <c r="T1136">
        <f t="shared" si="89"/>
        <v>0</v>
      </c>
    </row>
    <row r="1137" spans="1:20">
      <c r="A1137" t="s">
        <v>4070</v>
      </c>
      <c r="B1137" s="3">
        <v>45288</v>
      </c>
      <c r="C1137" t="s">
        <v>4071</v>
      </c>
      <c r="D1137" t="s">
        <v>54</v>
      </c>
      <c r="E1137">
        <v>2</v>
      </c>
      <c r="F1137" s="4">
        <v>73.41</v>
      </c>
      <c r="G1137" t="s">
        <v>958</v>
      </c>
      <c r="H1137" t="s">
        <v>33</v>
      </c>
      <c r="I1137" t="s">
        <v>25</v>
      </c>
      <c r="J1137" t="s">
        <v>4072</v>
      </c>
      <c r="K1137">
        <v>2</v>
      </c>
      <c r="L1137" t="s">
        <v>27</v>
      </c>
      <c r="M1137" t="s">
        <v>82</v>
      </c>
      <c r="N1137" s="4">
        <v>146.82</v>
      </c>
      <c r="O1137" s="19" t="str">
        <f t="shared" si="85"/>
        <v>Dec-2023</v>
      </c>
      <c r="P1137">
        <f t="shared" si="86"/>
        <v>2023</v>
      </c>
      <c r="Q1137" t="str">
        <f t="shared" si="87"/>
        <v>OK</v>
      </c>
      <c r="R1137">
        <v>1</v>
      </c>
      <c r="S1137">
        <f t="shared" si="88"/>
        <v>0</v>
      </c>
      <c r="T1137">
        <f t="shared" si="89"/>
        <v>0</v>
      </c>
    </row>
    <row r="1138" spans="1:20">
      <c r="A1138" t="s">
        <v>4073</v>
      </c>
      <c r="B1138" s="3">
        <v>45193</v>
      </c>
      <c r="C1138" t="s">
        <v>4074</v>
      </c>
      <c r="D1138" t="s">
        <v>38</v>
      </c>
      <c r="E1138">
        <v>3</v>
      </c>
      <c r="F1138" s="4">
        <v>668.33</v>
      </c>
      <c r="G1138" t="s">
        <v>2626</v>
      </c>
      <c r="H1138" t="s">
        <v>66</v>
      </c>
      <c r="I1138" t="s">
        <v>95</v>
      </c>
      <c r="J1138" t="s">
        <v>4075</v>
      </c>
      <c r="K1138">
        <v>4</v>
      </c>
      <c r="L1138" t="s">
        <v>87</v>
      </c>
      <c r="M1138" t="s">
        <v>51</v>
      </c>
      <c r="N1138" s="4">
        <v>2004.99</v>
      </c>
      <c r="O1138" s="19" t="str">
        <f t="shared" si="85"/>
        <v>Sep-2023</v>
      </c>
      <c r="P1138">
        <f t="shared" si="86"/>
        <v>2023</v>
      </c>
      <c r="Q1138" t="str">
        <f t="shared" si="87"/>
        <v>OK</v>
      </c>
      <c r="R1138">
        <v>1</v>
      </c>
      <c r="S1138">
        <f t="shared" si="88"/>
        <v>0</v>
      </c>
      <c r="T1138">
        <f t="shared" si="89"/>
        <v>0</v>
      </c>
    </row>
    <row r="1139" spans="1:20">
      <c r="A1139" t="s">
        <v>4076</v>
      </c>
      <c r="B1139" s="3">
        <v>45502</v>
      </c>
      <c r="C1139" t="s">
        <v>4077</v>
      </c>
      <c r="D1139" t="s">
        <v>54</v>
      </c>
      <c r="E1139">
        <v>4</v>
      </c>
      <c r="F1139" s="4">
        <v>410.21</v>
      </c>
      <c r="G1139" t="s">
        <v>4078</v>
      </c>
      <c r="H1139" t="s">
        <v>71</v>
      </c>
      <c r="I1139" t="s">
        <v>95</v>
      </c>
      <c r="J1139" t="s">
        <v>4079</v>
      </c>
      <c r="K1139">
        <v>5</v>
      </c>
      <c r="L1139" t="s">
        <v>87</v>
      </c>
      <c r="M1139" t="s">
        <v>28</v>
      </c>
      <c r="N1139" s="4">
        <v>1640.84</v>
      </c>
      <c r="O1139" s="19" t="str">
        <f t="shared" si="85"/>
        <v>Jul-2024</v>
      </c>
      <c r="P1139">
        <f t="shared" si="86"/>
        <v>2024</v>
      </c>
      <c r="Q1139" t="str">
        <f t="shared" si="87"/>
        <v>OK</v>
      </c>
      <c r="R1139">
        <v>1</v>
      </c>
      <c r="S1139">
        <f t="shared" si="88"/>
        <v>0</v>
      </c>
      <c r="T1139">
        <f t="shared" si="89"/>
        <v>0</v>
      </c>
    </row>
    <row r="1140" spans="1:20">
      <c r="A1140" t="s">
        <v>4080</v>
      </c>
      <c r="B1140" s="3">
        <v>45278</v>
      </c>
      <c r="C1140" t="s">
        <v>4081</v>
      </c>
      <c r="D1140" t="s">
        <v>79</v>
      </c>
      <c r="E1140">
        <v>4</v>
      </c>
      <c r="F1140" s="4">
        <v>294.41000000000003</v>
      </c>
      <c r="G1140" t="s">
        <v>2492</v>
      </c>
      <c r="H1140" t="s">
        <v>24</v>
      </c>
      <c r="I1140" t="s">
        <v>95</v>
      </c>
      <c r="J1140" t="s">
        <v>4082</v>
      </c>
      <c r="K1140">
        <v>4</v>
      </c>
      <c r="M1140" t="s">
        <v>28</v>
      </c>
      <c r="N1140" s="4">
        <v>1177.6400000000001</v>
      </c>
      <c r="O1140" s="19" t="str">
        <f t="shared" si="85"/>
        <v>Dec-2023</v>
      </c>
      <c r="P1140">
        <f t="shared" si="86"/>
        <v>2023</v>
      </c>
      <c r="Q1140" t="str">
        <f t="shared" si="87"/>
        <v>OK</v>
      </c>
      <c r="R1140">
        <v>1</v>
      </c>
      <c r="S1140">
        <f t="shared" si="88"/>
        <v>0</v>
      </c>
      <c r="T1140">
        <f t="shared" si="89"/>
        <v>0</v>
      </c>
    </row>
    <row r="1141" spans="1:20">
      <c r="A1141" t="s">
        <v>4083</v>
      </c>
      <c r="B1141" s="3">
        <v>45717</v>
      </c>
      <c r="C1141" t="s">
        <v>3795</v>
      </c>
      <c r="D1141" t="s">
        <v>47</v>
      </c>
      <c r="E1141">
        <v>3</v>
      </c>
      <c r="F1141" s="4">
        <v>501.82</v>
      </c>
      <c r="G1141" t="s">
        <v>159</v>
      </c>
      <c r="H1141" t="s">
        <v>66</v>
      </c>
      <c r="I1141" t="s">
        <v>41</v>
      </c>
      <c r="J1141" t="s">
        <v>4084</v>
      </c>
      <c r="K1141">
        <v>4</v>
      </c>
      <c r="L1141" t="s">
        <v>43</v>
      </c>
      <c r="M1141" t="s">
        <v>44</v>
      </c>
      <c r="N1141" s="4">
        <v>1505.46</v>
      </c>
      <c r="O1141" s="19" t="str">
        <f t="shared" si="85"/>
        <v>Mar-2025</v>
      </c>
      <c r="P1141">
        <f t="shared" si="86"/>
        <v>2025</v>
      </c>
      <c r="Q1141" t="str">
        <f t="shared" si="87"/>
        <v>OK</v>
      </c>
      <c r="R1141">
        <v>1</v>
      </c>
      <c r="S1141">
        <f t="shared" si="88"/>
        <v>1</v>
      </c>
      <c r="T1141">
        <f t="shared" si="89"/>
        <v>0</v>
      </c>
    </row>
    <row r="1142" spans="1:20">
      <c r="A1142" t="s">
        <v>4085</v>
      </c>
      <c r="B1142" s="3">
        <v>45467</v>
      </c>
      <c r="C1142" t="s">
        <v>4086</v>
      </c>
      <c r="D1142" t="s">
        <v>54</v>
      </c>
      <c r="E1142">
        <v>2</v>
      </c>
      <c r="F1142" s="4">
        <v>552.83000000000004</v>
      </c>
      <c r="G1142" t="s">
        <v>75</v>
      </c>
      <c r="H1142" t="s">
        <v>40</v>
      </c>
      <c r="I1142" t="s">
        <v>41</v>
      </c>
      <c r="J1142" t="s">
        <v>4087</v>
      </c>
      <c r="K1142">
        <v>3</v>
      </c>
      <c r="M1142" t="s">
        <v>35</v>
      </c>
      <c r="N1142" s="4">
        <v>1105.6600000000001</v>
      </c>
      <c r="O1142" s="19" t="str">
        <f t="shared" si="85"/>
        <v>Jun-2024</v>
      </c>
      <c r="P1142">
        <f t="shared" si="86"/>
        <v>2024</v>
      </c>
      <c r="Q1142" t="str">
        <f t="shared" si="87"/>
        <v>OK</v>
      </c>
      <c r="R1142">
        <v>1</v>
      </c>
      <c r="S1142">
        <f t="shared" si="88"/>
        <v>1</v>
      </c>
      <c r="T1142">
        <f t="shared" si="89"/>
        <v>0</v>
      </c>
    </row>
    <row r="1143" spans="1:20">
      <c r="A1143" t="s">
        <v>4088</v>
      </c>
      <c r="B1143" s="3">
        <v>45704</v>
      </c>
      <c r="C1143" t="s">
        <v>4089</v>
      </c>
      <c r="D1143" t="s">
        <v>47</v>
      </c>
      <c r="E1143">
        <v>3</v>
      </c>
      <c r="F1143" s="4">
        <v>498.66</v>
      </c>
      <c r="G1143" t="s">
        <v>115</v>
      </c>
      <c r="H1143" t="s">
        <v>71</v>
      </c>
      <c r="I1143" t="s">
        <v>41</v>
      </c>
      <c r="J1143" t="s">
        <v>4090</v>
      </c>
      <c r="K1143">
        <v>6</v>
      </c>
      <c r="M1143" t="s">
        <v>44</v>
      </c>
      <c r="N1143" s="4">
        <v>1495.98</v>
      </c>
      <c r="O1143" s="19" t="str">
        <f t="shared" si="85"/>
        <v>Feb-2025</v>
      </c>
      <c r="P1143">
        <f t="shared" si="86"/>
        <v>2025</v>
      </c>
      <c r="Q1143" t="str">
        <f t="shared" si="87"/>
        <v>OK</v>
      </c>
      <c r="R1143">
        <v>1</v>
      </c>
      <c r="S1143">
        <f t="shared" si="88"/>
        <v>1</v>
      </c>
      <c r="T1143">
        <f t="shared" si="89"/>
        <v>0</v>
      </c>
    </row>
    <row r="1144" spans="1:20">
      <c r="A1144" t="s">
        <v>4091</v>
      </c>
      <c r="B1144" s="3">
        <v>45527</v>
      </c>
      <c r="C1144" t="s">
        <v>4092</v>
      </c>
      <c r="D1144" t="s">
        <v>31</v>
      </c>
      <c r="E1144">
        <v>4</v>
      </c>
      <c r="F1144" s="4">
        <v>695.1</v>
      </c>
      <c r="G1144" t="s">
        <v>4093</v>
      </c>
      <c r="H1144" t="s">
        <v>24</v>
      </c>
      <c r="I1144" t="s">
        <v>49</v>
      </c>
      <c r="J1144" t="s">
        <v>4094</v>
      </c>
      <c r="K1144">
        <v>8</v>
      </c>
      <c r="M1144" t="s">
        <v>44</v>
      </c>
      <c r="N1144" s="4">
        <v>2780.4</v>
      </c>
      <c r="O1144" s="19" t="str">
        <f t="shared" si="85"/>
        <v>Aug-2024</v>
      </c>
      <c r="P1144">
        <f t="shared" si="86"/>
        <v>2024</v>
      </c>
      <c r="Q1144" t="str">
        <f t="shared" si="87"/>
        <v>OK</v>
      </c>
      <c r="R1144">
        <v>1</v>
      </c>
      <c r="S1144">
        <f t="shared" si="88"/>
        <v>0</v>
      </c>
      <c r="T1144">
        <f t="shared" si="89"/>
        <v>1</v>
      </c>
    </row>
    <row r="1145" spans="1:20">
      <c r="A1145" t="s">
        <v>4095</v>
      </c>
      <c r="B1145" s="3">
        <v>45019</v>
      </c>
      <c r="C1145" t="s">
        <v>4096</v>
      </c>
      <c r="D1145" t="s">
        <v>47</v>
      </c>
      <c r="E1145">
        <v>1</v>
      </c>
      <c r="F1145" s="4">
        <v>381.61</v>
      </c>
      <c r="G1145" t="s">
        <v>4097</v>
      </c>
      <c r="H1145" t="s">
        <v>24</v>
      </c>
      <c r="I1145" t="s">
        <v>95</v>
      </c>
      <c r="J1145" t="s">
        <v>4098</v>
      </c>
      <c r="K1145">
        <v>5</v>
      </c>
      <c r="M1145" t="s">
        <v>44</v>
      </c>
      <c r="N1145" s="4">
        <v>381.61</v>
      </c>
      <c r="O1145" s="19" t="str">
        <f t="shared" si="85"/>
        <v>Apr-2023</v>
      </c>
      <c r="P1145">
        <f t="shared" si="86"/>
        <v>2023</v>
      </c>
      <c r="Q1145" t="str">
        <f t="shared" si="87"/>
        <v>OK</v>
      </c>
      <c r="R1145">
        <v>1</v>
      </c>
      <c r="S1145">
        <f t="shared" si="88"/>
        <v>0</v>
      </c>
      <c r="T1145">
        <f t="shared" si="89"/>
        <v>0</v>
      </c>
    </row>
    <row r="1146" spans="1:20">
      <c r="A1146" t="s">
        <v>4099</v>
      </c>
      <c r="B1146" s="3">
        <v>44973</v>
      </c>
      <c r="C1146" t="s">
        <v>4100</v>
      </c>
      <c r="D1146" t="s">
        <v>79</v>
      </c>
      <c r="E1146">
        <v>5</v>
      </c>
      <c r="F1146" s="4">
        <v>507.94</v>
      </c>
      <c r="G1146" t="s">
        <v>4101</v>
      </c>
      <c r="H1146" t="s">
        <v>33</v>
      </c>
      <c r="I1146" t="s">
        <v>41</v>
      </c>
      <c r="J1146" t="s">
        <v>4102</v>
      </c>
      <c r="K1146">
        <v>9</v>
      </c>
      <c r="M1146" t="s">
        <v>51</v>
      </c>
      <c r="N1146" s="4">
        <v>2539.6999999999998</v>
      </c>
      <c r="O1146" s="19" t="str">
        <f t="shared" si="85"/>
        <v>Feb-2023</v>
      </c>
      <c r="P1146">
        <f t="shared" si="86"/>
        <v>2023</v>
      </c>
      <c r="Q1146" t="str">
        <f t="shared" si="87"/>
        <v>OK</v>
      </c>
      <c r="R1146">
        <v>1</v>
      </c>
      <c r="S1146">
        <f t="shared" si="88"/>
        <v>1</v>
      </c>
      <c r="T1146">
        <f t="shared" si="89"/>
        <v>0</v>
      </c>
    </row>
    <row r="1147" spans="1:20">
      <c r="A1147" t="s">
        <v>4103</v>
      </c>
      <c r="B1147" s="3">
        <v>45789</v>
      </c>
      <c r="C1147" t="s">
        <v>4104</v>
      </c>
      <c r="D1147" t="s">
        <v>79</v>
      </c>
      <c r="E1147">
        <v>3</v>
      </c>
      <c r="F1147" s="4">
        <v>571.53</v>
      </c>
      <c r="G1147" t="s">
        <v>1021</v>
      </c>
      <c r="H1147" t="s">
        <v>24</v>
      </c>
      <c r="I1147" t="s">
        <v>56</v>
      </c>
      <c r="J1147" t="s">
        <v>4105</v>
      </c>
      <c r="K1147">
        <v>6</v>
      </c>
      <c r="L1147" t="s">
        <v>43</v>
      </c>
      <c r="M1147" t="s">
        <v>51</v>
      </c>
      <c r="N1147" s="4">
        <v>1714.59</v>
      </c>
      <c r="O1147" s="19" t="str">
        <f t="shared" si="85"/>
        <v>May-2025</v>
      </c>
      <c r="P1147">
        <f t="shared" si="86"/>
        <v>2025</v>
      </c>
      <c r="Q1147" t="str">
        <f t="shared" si="87"/>
        <v>OK</v>
      </c>
      <c r="R1147">
        <v>1</v>
      </c>
      <c r="S1147">
        <f t="shared" si="88"/>
        <v>0</v>
      </c>
      <c r="T1147">
        <f t="shared" si="89"/>
        <v>0</v>
      </c>
    </row>
    <row r="1148" spans="1:20">
      <c r="A1148" t="s">
        <v>4106</v>
      </c>
      <c r="B1148" s="3">
        <v>45568</v>
      </c>
      <c r="C1148" t="s">
        <v>4107</v>
      </c>
      <c r="D1148" t="s">
        <v>22</v>
      </c>
      <c r="E1148">
        <v>5</v>
      </c>
      <c r="F1148" s="4">
        <v>421.44</v>
      </c>
      <c r="G1148" t="s">
        <v>1745</v>
      </c>
      <c r="H1148" t="s">
        <v>71</v>
      </c>
      <c r="I1148" t="s">
        <v>95</v>
      </c>
      <c r="J1148" t="s">
        <v>4108</v>
      </c>
      <c r="K1148">
        <v>5</v>
      </c>
      <c r="L1148" t="s">
        <v>27</v>
      </c>
      <c r="M1148" t="s">
        <v>28</v>
      </c>
      <c r="N1148" s="4">
        <v>2107.1999999999998</v>
      </c>
      <c r="O1148" s="19" t="str">
        <f t="shared" si="85"/>
        <v>Oct-2024</v>
      </c>
      <c r="P1148">
        <f t="shared" si="86"/>
        <v>2024</v>
      </c>
      <c r="Q1148" t="str">
        <f t="shared" si="87"/>
        <v>OK</v>
      </c>
      <c r="R1148">
        <v>1</v>
      </c>
      <c r="S1148">
        <f t="shared" si="88"/>
        <v>0</v>
      </c>
      <c r="T1148">
        <f t="shared" si="89"/>
        <v>0</v>
      </c>
    </row>
    <row r="1149" spans="1:20">
      <c r="A1149" t="s">
        <v>4109</v>
      </c>
      <c r="B1149" s="3">
        <v>45659</v>
      </c>
      <c r="C1149" t="s">
        <v>4110</v>
      </c>
      <c r="D1149" t="s">
        <v>47</v>
      </c>
      <c r="E1149">
        <v>2</v>
      </c>
      <c r="F1149" s="4">
        <v>588.29999999999995</v>
      </c>
      <c r="G1149" t="s">
        <v>4111</v>
      </c>
      <c r="H1149" t="s">
        <v>33</v>
      </c>
      <c r="I1149" t="s">
        <v>95</v>
      </c>
      <c r="J1149" t="s">
        <v>4112</v>
      </c>
      <c r="K1149">
        <v>2</v>
      </c>
      <c r="L1149" t="s">
        <v>43</v>
      </c>
      <c r="M1149" t="s">
        <v>44</v>
      </c>
      <c r="N1149" s="4">
        <v>1176.5999999999999</v>
      </c>
      <c r="O1149" s="19" t="str">
        <f t="shared" si="85"/>
        <v>Jan-2025</v>
      </c>
      <c r="P1149">
        <f t="shared" si="86"/>
        <v>2025</v>
      </c>
      <c r="Q1149" t="str">
        <f t="shared" si="87"/>
        <v>OK</v>
      </c>
      <c r="R1149">
        <v>1</v>
      </c>
      <c r="S1149">
        <f t="shared" si="88"/>
        <v>0</v>
      </c>
      <c r="T1149">
        <f t="shared" si="89"/>
        <v>0</v>
      </c>
    </row>
    <row r="1150" spans="1:20">
      <c r="A1150" t="s">
        <v>4113</v>
      </c>
      <c r="B1150" s="3">
        <v>45468</v>
      </c>
      <c r="C1150" t="s">
        <v>4114</v>
      </c>
      <c r="D1150" t="s">
        <v>31</v>
      </c>
      <c r="E1150">
        <v>1</v>
      </c>
      <c r="F1150" s="4">
        <v>355.15</v>
      </c>
      <c r="G1150" t="s">
        <v>4115</v>
      </c>
      <c r="H1150" t="s">
        <v>71</v>
      </c>
      <c r="I1150" t="s">
        <v>49</v>
      </c>
      <c r="J1150" t="s">
        <v>4116</v>
      </c>
      <c r="K1150">
        <v>2</v>
      </c>
      <c r="L1150" t="s">
        <v>27</v>
      </c>
      <c r="M1150" t="s">
        <v>44</v>
      </c>
      <c r="N1150" s="4">
        <v>355.15</v>
      </c>
      <c r="O1150" s="19" t="str">
        <f t="shared" si="85"/>
        <v>Jun-2024</v>
      </c>
      <c r="P1150">
        <f t="shared" si="86"/>
        <v>2024</v>
      </c>
      <c r="Q1150" t="str">
        <f t="shared" si="87"/>
        <v>OK</v>
      </c>
      <c r="R1150">
        <v>1</v>
      </c>
      <c r="S1150">
        <f t="shared" si="88"/>
        <v>0</v>
      </c>
      <c r="T1150">
        <f t="shared" si="89"/>
        <v>1</v>
      </c>
    </row>
    <row r="1151" spans="1:20">
      <c r="A1151" t="s">
        <v>4117</v>
      </c>
      <c r="B1151" s="3">
        <v>45498</v>
      </c>
      <c r="C1151" t="s">
        <v>4118</v>
      </c>
      <c r="D1151" t="s">
        <v>47</v>
      </c>
      <c r="E1151">
        <v>2</v>
      </c>
      <c r="F1151" s="4">
        <v>695.29</v>
      </c>
      <c r="G1151" t="s">
        <v>4119</v>
      </c>
      <c r="H1151" t="s">
        <v>40</v>
      </c>
      <c r="I1151" t="s">
        <v>95</v>
      </c>
      <c r="J1151" t="s">
        <v>4120</v>
      </c>
      <c r="K1151">
        <v>6</v>
      </c>
      <c r="L1151" t="s">
        <v>43</v>
      </c>
      <c r="M1151" t="s">
        <v>28</v>
      </c>
      <c r="N1151" s="4">
        <v>1390.58</v>
      </c>
      <c r="O1151" s="19" t="str">
        <f t="shared" si="85"/>
        <v>Jul-2024</v>
      </c>
      <c r="P1151">
        <f t="shared" si="86"/>
        <v>2024</v>
      </c>
      <c r="Q1151" t="str">
        <f t="shared" si="87"/>
        <v>OK</v>
      </c>
      <c r="R1151">
        <v>1</v>
      </c>
      <c r="S1151">
        <f t="shared" si="88"/>
        <v>0</v>
      </c>
      <c r="T1151">
        <f t="shared" si="89"/>
        <v>0</v>
      </c>
    </row>
    <row r="1152" spans="1:20">
      <c r="A1152" t="s">
        <v>4121</v>
      </c>
      <c r="B1152" s="3">
        <v>44977</v>
      </c>
      <c r="C1152" t="s">
        <v>4122</v>
      </c>
      <c r="D1152" t="s">
        <v>79</v>
      </c>
      <c r="E1152">
        <v>4</v>
      </c>
      <c r="F1152" s="4">
        <v>302.64999999999998</v>
      </c>
      <c r="G1152" t="s">
        <v>1095</v>
      </c>
      <c r="H1152" t="s">
        <v>40</v>
      </c>
      <c r="I1152" t="s">
        <v>41</v>
      </c>
      <c r="J1152" t="s">
        <v>4123</v>
      </c>
      <c r="K1152">
        <v>8</v>
      </c>
      <c r="L1152" t="s">
        <v>27</v>
      </c>
      <c r="M1152" t="s">
        <v>35</v>
      </c>
      <c r="N1152" s="4">
        <v>1210.5999999999999</v>
      </c>
      <c r="O1152" s="19" t="str">
        <f t="shared" si="85"/>
        <v>Feb-2023</v>
      </c>
      <c r="P1152">
        <f t="shared" si="86"/>
        <v>2023</v>
      </c>
      <c r="Q1152" t="str">
        <f t="shared" si="87"/>
        <v>OK</v>
      </c>
      <c r="R1152">
        <v>1</v>
      </c>
      <c r="S1152">
        <f t="shared" si="88"/>
        <v>1</v>
      </c>
      <c r="T1152">
        <f t="shared" si="89"/>
        <v>0</v>
      </c>
    </row>
    <row r="1153" spans="1:20">
      <c r="A1153" t="s">
        <v>4124</v>
      </c>
      <c r="B1153" s="3">
        <v>44955</v>
      </c>
      <c r="C1153" t="s">
        <v>4125</v>
      </c>
      <c r="D1153" t="s">
        <v>47</v>
      </c>
      <c r="E1153">
        <v>2</v>
      </c>
      <c r="F1153" s="4">
        <v>608.04</v>
      </c>
      <c r="G1153" t="s">
        <v>4126</v>
      </c>
      <c r="H1153" t="s">
        <v>71</v>
      </c>
      <c r="I1153" t="s">
        <v>41</v>
      </c>
      <c r="J1153" t="s">
        <v>4127</v>
      </c>
      <c r="K1153">
        <v>4</v>
      </c>
      <c r="M1153" t="s">
        <v>82</v>
      </c>
      <c r="N1153" s="4">
        <v>1216.08</v>
      </c>
      <c r="O1153" s="19" t="str">
        <f t="shared" si="85"/>
        <v>Jan-2023</v>
      </c>
      <c r="P1153">
        <f t="shared" si="86"/>
        <v>2023</v>
      </c>
      <c r="Q1153" t="str">
        <f t="shared" si="87"/>
        <v>OK</v>
      </c>
      <c r="R1153">
        <v>1</v>
      </c>
      <c r="S1153">
        <f t="shared" si="88"/>
        <v>1</v>
      </c>
      <c r="T1153">
        <f t="shared" si="89"/>
        <v>0</v>
      </c>
    </row>
    <row r="1154" spans="1:20">
      <c r="A1154" t="s">
        <v>4128</v>
      </c>
      <c r="B1154" s="3">
        <v>45239</v>
      </c>
      <c r="C1154" t="s">
        <v>4129</v>
      </c>
      <c r="D1154" t="s">
        <v>38</v>
      </c>
      <c r="E1154">
        <v>2</v>
      </c>
      <c r="F1154" s="4">
        <v>344.18</v>
      </c>
      <c r="G1154" t="s">
        <v>432</v>
      </c>
      <c r="H1154" t="s">
        <v>40</v>
      </c>
      <c r="I1154" t="s">
        <v>25</v>
      </c>
      <c r="J1154" t="s">
        <v>4130</v>
      </c>
      <c r="K1154">
        <v>7</v>
      </c>
      <c r="M1154" t="s">
        <v>35</v>
      </c>
      <c r="N1154" s="4">
        <v>688.36</v>
      </c>
      <c r="O1154" s="19" t="str">
        <f t="shared" ref="O1154:O1201" si="90">TEXT(B1154,"mmm-yyyy")</f>
        <v>Nov-2023</v>
      </c>
      <c r="P1154">
        <f t="shared" ref="P1154:P1201" si="91">YEAR(B1154)</f>
        <v>2023</v>
      </c>
      <c r="Q1154" t="str">
        <f t="shared" ref="Q1154:Q1201" si="92">IF(ABS(N1154-(E1154*F1154))&lt;0.01,"OK","CHECK")</f>
        <v>OK</v>
      </c>
      <c r="R1154">
        <v>1</v>
      </c>
      <c r="S1154">
        <f t="shared" ref="S1154:S1201" si="93">IF(I1154="Cancelled",1,0)</f>
        <v>0</v>
      </c>
      <c r="T1154">
        <f t="shared" ref="T1154:T1201" si="94">IF(I1154="Returned",1,0)</f>
        <v>0</v>
      </c>
    </row>
    <row r="1155" spans="1:20">
      <c r="A1155" t="s">
        <v>4131</v>
      </c>
      <c r="B1155" s="3">
        <v>45642</v>
      </c>
      <c r="C1155" t="s">
        <v>4132</v>
      </c>
      <c r="D1155" t="s">
        <v>22</v>
      </c>
      <c r="E1155">
        <v>4</v>
      </c>
      <c r="F1155" s="4">
        <v>696.71</v>
      </c>
      <c r="G1155" t="s">
        <v>4133</v>
      </c>
      <c r="H1155" t="s">
        <v>24</v>
      </c>
      <c r="I1155" t="s">
        <v>25</v>
      </c>
      <c r="J1155" t="s">
        <v>4134</v>
      </c>
      <c r="K1155">
        <v>4</v>
      </c>
      <c r="M1155" t="s">
        <v>28</v>
      </c>
      <c r="N1155" s="4">
        <v>2786.84</v>
      </c>
      <c r="O1155" s="19" t="str">
        <f t="shared" si="90"/>
        <v>Dec-2024</v>
      </c>
      <c r="P1155">
        <f t="shared" si="91"/>
        <v>2024</v>
      </c>
      <c r="Q1155" t="str">
        <f t="shared" si="92"/>
        <v>OK</v>
      </c>
      <c r="R1155">
        <v>1</v>
      </c>
      <c r="S1155">
        <f t="shared" si="93"/>
        <v>0</v>
      </c>
      <c r="T1155">
        <f t="shared" si="94"/>
        <v>0</v>
      </c>
    </row>
    <row r="1156" spans="1:20">
      <c r="A1156" t="s">
        <v>4135</v>
      </c>
      <c r="B1156" s="3">
        <v>45819</v>
      </c>
      <c r="C1156" t="s">
        <v>4136</v>
      </c>
      <c r="D1156" t="s">
        <v>22</v>
      </c>
      <c r="E1156">
        <v>3</v>
      </c>
      <c r="F1156" s="4">
        <v>198.63</v>
      </c>
      <c r="G1156" t="s">
        <v>508</v>
      </c>
      <c r="H1156" t="s">
        <v>71</v>
      </c>
      <c r="I1156" t="s">
        <v>95</v>
      </c>
      <c r="J1156" t="s">
        <v>4137</v>
      </c>
      <c r="K1156">
        <v>8</v>
      </c>
      <c r="L1156" t="s">
        <v>27</v>
      </c>
      <c r="M1156" t="s">
        <v>28</v>
      </c>
      <c r="N1156" s="4">
        <v>595.89</v>
      </c>
      <c r="O1156" s="19" t="str">
        <f t="shared" si="90"/>
        <v>Jun-2025</v>
      </c>
      <c r="P1156">
        <f t="shared" si="91"/>
        <v>2025</v>
      </c>
      <c r="Q1156" t="str">
        <f t="shared" si="92"/>
        <v>OK</v>
      </c>
      <c r="R1156">
        <v>1</v>
      </c>
      <c r="S1156">
        <f t="shared" si="93"/>
        <v>0</v>
      </c>
      <c r="T1156">
        <f t="shared" si="94"/>
        <v>0</v>
      </c>
    </row>
    <row r="1157" spans="1:20">
      <c r="A1157" t="s">
        <v>4138</v>
      </c>
      <c r="B1157" s="3">
        <v>45151</v>
      </c>
      <c r="C1157" t="s">
        <v>4139</v>
      </c>
      <c r="D1157" t="s">
        <v>54</v>
      </c>
      <c r="E1157">
        <v>4</v>
      </c>
      <c r="F1157" s="4">
        <v>534.57000000000005</v>
      </c>
      <c r="G1157" t="s">
        <v>687</v>
      </c>
      <c r="H1157" t="s">
        <v>40</v>
      </c>
      <c r="I1157" t="s">
        <v>56</v>
      </c>
      <c r="J1157" t="s">
        <v>4140</v>
      </c>
      <c r="K1157">
        <v>6</v>
      </c>
      <c r="L1157" t="s">
        <v>43</v>
      </c>
      <c r="M1157" t="s">
        <v>51</v>
      </c>
      <c r="N1157" s="4">
        <v>2138.2800000000002</v>
      </c>
      <c r="O1157" s="19" t="str">
        <f t="shared" si="90"/>
        <v>Aug-2023</v>
      </c>
      <c r="P1157">
        <f t="shared" si="91"/>
        <v>2023</v>
      </c>
      <c r="Q1157" t="str">
        <f t="shared" si="92"/>
        <v>OK</v>
      </c>
      <c r="R1157">
        <v>1</v>
      </c>
      <c r="S1157">
        <f t="shared" si="93"/>
        <v>0</v>
      </c>
      <c r="T1157">
        <f t="shared" si="94"/>
        <v>0</v>
      </c>
    </row>
    <row r="1158" spans="1:20">
      <c r="A1158" t="s">
        <v>4141</v>
      </c>
      <c r="B1158" s="3">
        <v>45126</v>
      </c>
      <c r="C1158" t="s">
        <v>4142</v>
      </c>
      <c r="D1158" t="s">
        <v>64</v>
      </c>
      <c r="E1158">
        <v>4</v>
      </c>
      <c r="F1158" s="4">
        <v>690.78</v>
      </c>
      <c r="G1158" t="s">
        <v>103</v>
      </c>
      <c r="H1158" t="s">
        <v>40</v>
      </c>
      <c r="I1158" t="s">
        <v>25</v>
      </c>
      <c r="J1158" t="s">
        <v>4143</v>
      </c>
      <c r="K1158">
        <v>9</v>
      </c>
      <c r="M1158" t="s">
        <v>35</v>
      </c>
      <c r="N1158" s="4">
        <v>2763.12</v>
      </c>
      <c r="O1158" s="19" t="str">
        <f t="shared" si="90"/>
        <v>Jul-2023</v>
      </c>
      <c r="P1158">
        <f t="shared" si="91"/>
        <v>2023</v>
      </c>
      <c r="Q1158" t="str">
        <f t="shared" si="92"/>
        <v>OK</v>
      </c>
      <c r="R1158">
        <v>1</v>
      </c>
      <c r="S1158">
        <f t="shared" si="93"/>
        <v>0</v>
      </c>
      <c r="T1158">
        <f t="shared" si="94"/>
        <v>0</v>
      </c>
    </row>
    <row r="1159" spans="1:20">
      <c r="A1159" t="s">
        <v>4144</v>
      </c>
      <c r="B1159" s="3">
        <v>45441</v>
      </c>
      <c r="C1159" t="s">
        <v>4145</v>
      </c>
      <c r="D1159" t="s">
        <v>22</v>
      </c>
      <c r="E1159">
        <v>3</v>
      </c>
      <c r="F1159" s="4">
        <v>301.55</v>
      </c>
      <c r="G1159" t="s">
        <v>920</v>
      </c>
      <c r="H1159" t="s">
        <v>24</v>
      </c>
      <c r="I1159" t="s">
        <v>56</v>
      </c>
      <c r="J1159" t="s">
        <v>4146</v>
      </c>
      <c r="K1159">
        <v>5</v>
      </c>
      <c r="L1159" t="s">
        <v>43</v>
      </c>
      <c r="M1159" t="s">
        <v>82</v>
      </c>
      <c r="N1159" s="4">
        <v>904.65000000000009</v>
      </c>
      <c r="O1159" s="19" t="str">
        <f t="shared" si="90"/>
        <v>May-2024</v>
      </c>
      <c r="P1159">
        <f t="shared" si="91"/>
        <v>2024</v>
      </c>
      <c r="Q1159" t="str">
        <f t="shared" si="92"/>
        <v>OK</v>
      </c>
      <c r="R1159">
        <v>1</v>
      </c>
      <c r="S1159">
        <f t="shared" si="93"/>
        <v>0</v>
      </c>
      <c r="T1159">
        <f t="shared" si="94"/>
        <v>0</v>
      </c>
    </row>
    <row r="1160" spans="1:20">
      <c r="A1160" t="s">
        <v>4147</v>
      </c>
      <c r="B1160" s="3">
        <v>45036</v>
      </c>
      <c r="C1160" t="s">
        <v>4148</v>
      </c>
      <c r="D1160" t="s">
        <v>22</v>
      </c>
      <c r="E1160">
        <v>4</v>
      </c>
      <c r="F1160" s="4">
        <v>27.42</v>
      </c>
      <c r="G1160" t="s">
        <v>1718</v>
      </c>
      <c r="H1160" t="s">
        <v>24</v>
      </c>
      <c r="I1160" t="s">
        <v>95</v>
      </c>
      <c r="J1160" t="s">
        <v>4149</v>
      </c>
      <c r="K1160">
        <v>4</v>
      </c>
      <c r="L1160" t="s">
        <v>27</v>
      </c>
      <c r="M1160" t="s">
        <v>35</v>
      </c>
      <c r="N1160" s="4">
        <v>109.68</v>
      </c>
      <c r="O1160" s="19" t="str">
        <f t="shared" si="90"/>
        <v>Apr-2023</v>
      </c>
      <c r="P1160">
        <f t="shared" si="91"/>
        <v>2023</v>
      </c>
      <c r="Q1160" t="str">
        <f t="shared" si="92"/>
        <v>OK</v>
      </c>
      <c r="R1160">
        <v>1</v>
      </c>
      <c r="S1160">
        <f t="shared" si="93"/>
        <v>0</v>
      </c>
      <c r="T1160">
        <f t="shared" si="94"/>
        <v>0</v>
      </c>
    </row>
    <row r="1161" spans="1:20">
      <c r="A1161" t="s">
        <v>4150</v>
      </c>
      <c r="B1161" s="3">
        <v>45345</v>
      </c>
      <c r="C1161" t="s">
        <v>4151</v>
      </c>
      <c r="D1161" t="s">
        <v>79</v>
      </c>
      <c r="E1161">
        <v>4</v>
      </c>
      <c r="F1161" s="4">
        <v>466.7</v>
      </c>
      <c r="G1161" t="s">
        <v>1768</v>
      </c>
      <c r="H1161" t="s">
        <v>24</v>
      </c>
      <c r="I1161" t="s">
        <v>49</v>
      </c>
      <c r="J1161" t="s">
        <v>4152</v>
      </c>
      <c r="K1161">
        <v>8</v>
      </c>
      <c r="M1161" t="s">
        <v>28</v>
      </c>
      <c r="N1161" s="4">
        <v>1866.8</v>
      </c>
      <c r="O1161" s="19" t="str">
        <f t="shared" si="90"/>
        <v>Feb-2024</v>
      </c>
      <c r="P1161">
        <f t="shared" si="91"/>
        <v>2024</v>
      </c>
      <c r="Q1161" t="str">
        <f t="shared" si="92"/>
        <v>OK</v>
      </c>
      <c r="R1161">
        <v>1</v>
      </c>
      <c r="S1161">
        <f t="shared" si="93"/>
        <v>0</v>
      </c>
      <c r="T1161">
        <f t="shared" si="94"/>
        <v>1</v>
      </c>
    </row>
    <row r="1162" spans="1:20">
      <c r="A1162" t="s">
        <v>4153</v>
      </c>
      <c r="B1162" s="3">
        <v>45539</v>
      </c>
      <c r="C1162" t="s">
        <v>4154</v>
      </c>
      <c r="D1162" t="s">
        <v>79</v>
      </c>
      <c r="E1162">
        <v>1</v>
      </c>
      <c r="F1162" s="4">
        <v>541.64</v>
      </c>
      <c r="G1162" t="s">
        <v>1833</v>
      </c>
      <c r="H1162" t="s">
        <v>24</v>
      </c>
      <c r="I1162" t="s">
        <v>25</v>
      </c>
      <c r="J1162" t="s">
        <v>4155</v>
      </c>
      <c r="K1162">
        <v>5</v>
      </c>
      <c r="L1162" t="s">
        <v>27</v>
      </c>
      <c r="M1162" t="s">
        <v>44</v>
      </c>
      <c r="N1162" s="4">
        <v>541.64</v>
      </c>
      <c r="O1162" s="19" t="str">
        <f t="shared" si="90"/>
        <v>Sep-2024</v>
      </c>
      <c r="P1162">
        <f t="shared" si="91"/>
        <v>2024</v>
      </c>
      <c r="Q1162" t="str">
        <f t="shared" si="92"/>
        <v>OK</v>
      </c>
      <c r="R1162">
        <v>1</v>
      </c>
      <c r="S1162">
        <f t="shared" si="93"/>
        <v>0</v>
      </c>
      <c r="T1162">
        <f t="shared" si="94"/>
        <v>0</v>
      </c>
    </row>
    <row r="1163" spans="1:20">
      <c r="A1163" t="s">
        <v>4156</v>
      </c>
      <c r="B1163" s="3">
        <v>45215</v>
      </c>
      <c r="C1163" t="s">
        <v>4157</v>
      </c>
      <c r="D1163" t="s">
        <v>31</v>
      </c>
      <c r="E1163">
        <v>1</v>
      </c>
      <c r="F1163" s="4">
        <v>11.39</v>
      </c>
      <c r="G1163" t="s">
        <v>1350</v>
      </c>
      <c r="H1163" t="s">
        <v>71</v>
      </c>
      <c r="I1163" t="s">
        <v>41</v>
      </c>
      <c r="J1163" t="s">
        <v>4158</v>
      </c>
      <c r="K1163">
        <v>6</v>
      </c>
      <c r="L1163" t="s">
        <v>87</v>
      </c>
      <c r="M1163" t="s">
        <v>44</v>
      </c>
      <c r="N1163" s="4">
        <v>11.39</v>
      </c>
      <c r="O1163" s="19" t="str">
        <f t="shared" si="90"/>
        <v>Oct-2023</v>
      </c>
      <c r="P1163">
        <f t="shared" si="91"/>
        <v>2023</v>
      </c>
      <c r="Q1163" t="str">
        <f t="shared" si="92"/>
        <v>OK</v>
      </c>
      <c r="R1163">
        <v>1</v>
      </c>
      <c r="S1163">
        <f t="shared" si="93"/>
        <v>1</v>
      </c>
      <c r="T1163">
        <f t="shared" si="94"/>
        <v>0</v>
      </c>
    </row>
    <row r="1164" spans="1:20">
      <c r="A1164" t="s">
        <v>4159</v>
      </c>
      <c r="B1164" s="3">
        <v>45727</v>
      </c>
      <c r="C1164" t="s">
        <v>4160</v>
      </c>
      <c r="D1164" t="s">
        <v>31</v>
      </c>
      <c r="E1164">
        <v>2</v>
      </c>
      <c r="F1164" s="4">
        <v>224.37</v>
      </c>
      <c r="G1164" t="s">
        <v>4161</v>
      </c>
      <c r="H1164" t="s">
        <v>24</v>
      </c>
      <c r="I1164" t="s">
        <v>56</v>
      </c>
      <c r="J1164" t="s">
        <v>4162</v>
      </c>
      <c r="K1164">
        <v>3</v>
      </c>
      <c r="L1164" t="s">
        <v>87</v>
      </c>
      <c r="M1164" t="s">
        <v>35</v>
      </c>
      <c r="N1164" s="4">
        <v>448.74</v>
      </c>
      <c r="O1164" s="19" t="str">
        <f t="shared" si="90"/>
        <v>Mar-2025</v>
      </c>
      <c r="P1164">
        <f t="shared" si="91"/>
        <v>2025</v>
      </c>
      <c r="Q1164" t="str">
        <f t="shared" si="92"/>
        <v>OK</v>
      </c>
      <c r="R1164">
        <v>1</v>
      </c>
      <c r="S1164">
        <f t="shared" si="93"/>
        <v>0</v>
      </c>
      <c r="T1164">
        <f t="shared" si="94"/>
        <v>0</v>
      </c>
    </row>
    <row r="1165" spans="1:20">
      <c r="A1165" t="s">
        <v>4163</v>
      </c>
      <c r="B1165" s="3">
        <v>45454</v>
      </c>
      <c r="C1165" t="s">
        <v>4164</v>
      </c>
      <c r="D1165" t="s">
        <v>64</v>
      </c>
      <c r="E1165">
        <v>3</v>
      </c>
      <c r="F1165" s="4">
        <v>306.29000000000002</v>
      </c>
      <c r="G1165" t="s">
        <v>4165</v>
      </c>
      <c r="H1165" t="s">
        <v>40</v>
      </c>
      <c r="I1165" t="s">
        <v>49</v>
      </c>
      <c r="J1165" t="s">
        <v>4166</v>
      </c>
      <c r="K1165">
        <v>7</v>
      </c>
      <c r="L1165" t="s">
        <v>87</v>
      </c>
      <c r="M1165" t="s">
        <v>28</v>
      </c>
      <c r="N1165" s="4">
        <v>918.87000000000012</v>
      </c>
      <c r="O1165" s="19" t="str">
        <f t="shared" si="90"/>
        <v>Jun-2024</v>
      </c>
      <c r="P1165">
        <f t="shared" si="91"/>
        <v>2024</v>
      </c>
      <c r="Q1165" t="str">
        <f t="shared" si="92"/>
        <v>OK</v>
      </c>
      <c r="R1165">
        <v>1</v>
      </c>
      <c r="S1165">
        <f t="shared" si="93"/>
        <v>0</v>
      </c>
      <c r="T1165">
        <f t="shared" si="94"/>
        <v>1</v>
      </c>
    </row>
    <row r="1166" spans="1:20">
      <c r="A1166" t="s">
        <v>4167</v>
      </c>
      <c r="B1166" s="3">
        <v>45299</v>
      </c>
      <c r="C1166" t="s">
        <v>4168</v>
      </c>
      <c r="D1166" t="s">
        <v>38</v>
      </c>
      <c r="E1166">
        <v>5</v>
      </c>
      <c r="F1166" s="4">
        <v>315.57</v>
      </c>
      <c r="G1166" t="s">
        <v>2203</v>
      </c>
      <c r="H1166" t="s">
        <v>24</v>
      </c>
      <c r="I1166" t="s">
        <v>56</v>
      </c>
      <c r="J1166" t="s">
        <v>4169</v>
      </c>
      <c r="K1166">
        <v>6</v>
      </c>
      <c r="L1166" t="s">
        <v>87</v>
      </c>
      <c r="M1166" t="s">
        <v>44</v>
      </c>
      <c r="N1166" s="4">
        <v>1577.85</v>
      </c>
      <c r="O1166" s="19" t="str">
        <f t="shared" si="90"/>
        <v>Jan-2024</v>
      </c>
      <c r="P1166">
        <f t="shared" si="91"/>
        <v>2024</v>
      </c>
      <c r="Q1166" t="str">
        <f t="shared" si="92"/>
        <v>OK</v>
      </c>
      <c r="R1166">
        <v>1</v>
      </c>
      <c r="S1166">
        <f t="shared" si="93"/>
        <v>0</v>
      </c>
      <c r="T1166">
        <f t="shared" si="94"/>
        <v>0</v>
      </c>
    </row>
    <row r="1167" spans="1:20">
      <c r="A1167" t="s">
        <v>4170</v>
      </c>
      <c r="B1167" s="3">
        <v>45121</v>
      </c>
      <c r="C1167" t="s">
        <v>4171</v>
      </c>
      <c r="D1167" t="s">
        <v>47</v>
      </c>
      <c r="E1167">
        <v>3</v>
      </c>
      <c r="F1167" s="4">
        <v>223.79</v>
      </c>
      <c r="G1167" t="s">
        <v>4172</v>
      </c>
      <c r="H1167" t="s">
        <v>24</v>
      </c>
      <c r="I1167" t="s">
        <v>95</v>
      </c>
      <c r="J1167" t="s">
        <v>4173</v>
      </c>
      <c r="K1167">
        <v>3</v>
      </c>
      <c r="M1167" t="s">
        <v>82</v>
      </c>
      <c r="N1167" s="4">
        <v>671.37</v>
      </c>
      <c r="O1167" s="19" t="str">
        <f t="shared" si="90"/>
        <v>Jul-2023</v>
      </c>
      <c r="P1167">
        <f t="shared" si="91"/>
        <v>2023</v>
      </c>
      <c r="Q1167" t="str">
        <f t="shared" si="92"/>
        <v>OK</v>
      </c>
      <c r="R1167">
        <v>1</v>
      </c>
      <c r="S1167">
        <f t="shared" si="93"/>
        <v>0</v>
      </c>
      <c r="T1167">
        <f t="shared" si="94"/>
        <v>0</v>
      </c>
    </row>
    <row r="1168" spans="1:20">
      <c r="A1168" t="s">
        <v>4174</v>
      </c>
      <c r="B1168" s="3">
        <v>45138</v>
      </c>
      <c r="C1168" t="s">
        <v>4175</v>
      </c>
      <c r="D1168" t="s">
        <v>47</v>
      </c>
      <c r="E1168">
        <v>3</v>
      </c>
      <c r="F1168" s="4">
        <v>324.47000000000003</v>
      </c>
      <c r="G1168" t="s">
        <v>369</v>
      </c>
      <c r="H1168" t="s">
        <v>71</v>
      </c>
      <c r="I1168" t="s">
        <v>56</v>
      </c>
      <c r="J1168" t="s">
        <v>4176</v>
      </c>
      <c r="K1168">
        <v>4</v>
      </c>
      <c r="L1168" t="s">
        <v>87</v>
      </c>
      <c r="M1168" t="s">
        <v>44</v>
      </c>
      <c r="N1168" s="4">
        <v>973.41000000000008</v>
      </c>
      <c r="O1168" s="19" t="str">
        <f t="shared" si="90"/>
        <v>Jul-2023</v>
      </c>
      <c r="P1168">
        <f t="shared" si="91"/>
        <v>2023</v>
      </c>
      <c r="Q1168" t="str">
        <f t="shared" si="92"/>
        <v>OK</v>
      </c>
      <c r="R1168">
        <v>1</v>
      </c>
      <c r="S1168">
        <f t="shared" si="93"/>
        <v>0</v>
      </c>
      <c r="T1168">
        <f t="shared" si="94"/>
        <v>0</v>
      </c>
    </row>
    <row r="1169" spans="1:20">
      <c r="A1169" t="s">
        <v>4177</v>
      </c>
      <c r="B1169" s="3">
        <v>45216</v>
      </c>
      <c r="C1169" t="s">
        <v>4178</v>
      </c>
      <c r="D1169" t="s">
        <v>54</v>
      </c>
      <c r="E1169">
        <v>2</v>
      </c>
      <c r="F1169" s="4">
        <v>92.87</v>
      </c>
      <c r="G1169" t="s">
        <v>1107</v>
      </c>
      <c r="H1169" t="s">
        <v>40</v>
      </c>
      <c r="I1169" t="s">
        <v>95</v>
      </c>
      <c r="J1169" t="s">
        <v>4179</v>
      </c>
      <c r="K1169">
        <v>5</v>
      </c>
      <c r="L1169" t="s">
        <v>43</v>
      </c>
      <c r="M1169" t="s">
        <v>51</v>
      </c>
      <c r="N1169" s="4">
        <v>185.74</v>
      </c>
      <c r="O1169" s="19" t="str">
        <f t="shared" si="90"/>
        <v>Oct-2023</v>
      </c>
      <c r="P1169">
        <f t="shared" si="91"/>
        <v>2023</v>
      </c>
      <c r="Q1169" t="str">
        <f t="shared" si="92"/>
        <v>OK</v>
      </c>
      <c r="R1169">
        <v>1</v>
      </c>
      <c r="S1169">
        <f t="shared" si="93"/>
        <v>0</v>
      </c>
      <c r="T1169">
        <f t="shared" si="94"/>
        <v>0</v>
      </c>
    </row>
    <row r="1170" spans="1:20">
      <c r="A1170" t="s">
        <v>4180</v>
      </c>
      <c r="B1170" s="3">
        <v>45024</v>
      </c>
      <c r="C1170" t="s">
        <v>4181</v>
      </c>
      <c r="D1170" t="s">
        <v>64</v>
      </c>
      <c r="E1170">
        <v>2</v>
      </c>
      <c r="F1170" s="4">
        <v>331.42</v>
      </c>
      <c r="G1170" t="s">
        <v>4182</v>
      </c>
      <c r="H1170" t="s">
        <v>40</v>
      </c>
      <c r="I1170" t="s">
        <v>56</v>
      </c>
      <c r="J1170" t="s">
        <v>4183</v>
      </c>
      <c r="K1170">
        <v>6</v>
      </c>
      <c r="L1170" t="s">
        <v>87</v>
      </c>
      <c r="M1170" t="s">
        <v>82</v>
      </c>
      <c r="N1170" s="4">
        <v>662.84</v>
      </c>
      <c r="O1170" s="19" t="str">
        <f t="shared" si="90"/>
        <v>Apr-2023</v>
      </c>
      <c r="P1170">
        <f t="shared" si="91"/>
        <v>2023</v>
      </c>
      <c r="Q1170" t="str">
        <f t="shared" si="92"/>
        <v>OK</v>
      </c>
      <c r="R1170">
        <v>1</v>
      </c>
      <c r="S1170">
        <f t="shared" si="93"/>
        <v>0</v>
      </c>
      <c r="T1170">
        <f t="shared" si="94"/>
        <v>0</v>
      </c>
    </row>
    <row r="1171" spans="1:20">
      <c r="A1171" t="s">
        <v>4184</v>
      </c>
      <c r="B1171" s="3">
        <v>45649</v>
      </c>
      <c r="C1171" t="s">
        <v>4185</v>
      </c>
      <c r="D1171" t="s">
        <v>47</v>
      </c>
      <c r="E1171">
        <v>1</v>
      </c>
      <c r="F1171" s="4">
        <v>525.42999999999995</v>
      </c>
      <c r="G1171" t="s">
        <v>4186</v>
      </c>
      <c r="H1171" t="s">
        <v>71</v>
      </c>
      <c r="I1171" t="s">
        <v>41</v>
      </c>
      <c r="J1171" t="s">
        <v>4187</v>
      </c>
      <c r="K1171">
        <v>2</v>
      </c>
      <c r="L1171" t="s">
        <v>27</v>
      </c>
      <c r="M1171" t="s">
        <v>28</v>
      </c>
      <c r="N1171" s="4">
        <v>525.42999999999995</v>
      </c>
      <c r="O1171" s="19" t="str">
        <f t="shared" si="90"/>
        <v>Dec-2024</v>
      </c>
      <c r="P1171">
        <f t="shared" si="91"/>
        <v>2024</v>
      </c>
      <c r="Q1171" t="str">
        <f t="shared" si="92"/>
        <v>OK</v>
      </c>
      <c r="R1171">
        <v>1</v>
      </c>
      <c r="S1171">
        <f t="shared" si="93"/>
        <v>1</v>
      </c>
      <c r="T1171">
        <f t="shared" si="94"/>
        <v>0</v>
      </c>
    </row>
    <row r="1172" spans="1:20">
      <c r="A1172" t="s">
        <v>4188</v>
      </c>
      <c r="B1172" s="3">
        <v>45141</v>
      </c>
      <c r="C1172" t="s">
        <v>4189</v>
      </c>
      <c r="D1172" t="s">
        <v>54</v>
      </c>
      <c r="E1172">
        <v>2</v>
      </c>
      <c r="F1172" s="4">
        <v>697.19</v>
      </c>
      <c r="G1172" t="s">
        <v>931</v>
      </c>
      <c r="H1172" t="s">
        <v>71</v>
      </c>
      <c r="I1172" t="s">
        <v>49</v>
      </c>
      <c r="J1172" t="s">
        <v>4190</v>
      </c>
      <c r="K1172">
        <v>7</v>
      </c>
      <c r="L1172" t="s">
        <v>43</v>
      </c>
      <c r="M1172" t="s">
        <v>44</v>
      </c>
      <c r="N1172" s="4">
        <v>1394.38</v>
      </c>
      <c r="O1172" s="19" t="str">
        <f t="shared" si="90"/>
        <v>Aug-2023</v>
      </c>
      <c r="P1172">
        <f t="shared" si="91"/>
        <v>2023</v>
      </c>
      <c r="Q1172" t="str">
        <f t="shared" si="92"/>
        <v>OK</v>
      </c>
      <c r="R1172">
        <v>1</v>
      </c>
      <c r="S1172">
        <f t="shared" si="93"/>
        <v>0</v>
      </c>
      <c r="T1172">
        <f t="shared" si="94"/>
        <v>1</v>
      </c>
    </row>
    <row r="1173" spans="1:20">
      <c r="A1173" t="s">
        <v>4191</v>
      </c>
      <c r="B1173" s="3">
        <v>45166</v>
      </c>
      <c r="C1173" t="s">
        <v>4192</v>
      </c>
      <c r="D1173" t="s">
        <v>31</v>
      </c>
      <c r="E1173">
        <v>4</v>
      </c>
      <c r="F1173" s="4">
        <v>518.4</v>
      </c>
      <c r="G1173" t="s">
        <v>4193</v>
      </c>
      <c r="H1173" t="s">
        <v>40</v>
      </c>
      <c r="I1173" t="s">
        <v>56</v>
      </c>
      <c r="J1173" t="s">
        <v>4194</v>
      </c>
      <c r="K1173">
        <v>7</v>
      </c>
      <c r="L1173" t="s">
        <v>27</v>
      </c>
      <c r="M1173" t="s">
        <v>51</v>
      </c>
      <c r="N1173" s="4">
        <v>2073.6</v>
      </c>
      <c r="O1173" s="19" t="str">
        <f t="shared" si="90"/>
        <v>Aug-2023</v>
      </c>
      <c r="P1173">
        <f t="shared" si="91"/>
        <v>2023</v>
      </c>
      <c r="Q1173" t="str">
        <f t="shared" si="92"/>
        <v>OK</v>
      </c>
      <c r="R1173">
        <v>1</v>
      </c>
      <c r="S1173">
        <f t="shared" si="93"/>
        <v>0</v>
      </c>
      <c r="T1173">
        <f t="shared" si="94"/>
        <v>0</v>
      </c>
    </row>
    <row r="1174" spans="1:20">
      <c r="A1174" t="s">
        <v>4195</v>
      </c>
      <c r="B1174" s="3">
        <v>45692</v>
      </c>
      <c r="C1174" t="s">
        <v>4196</v>
      </c>
      <c r="D1174" t="s">
        <v>79</v>
      </c>
      <c r="E1174">
        <v>3</v>
      </c>
      <c r="F1174" s="4">
        <v>131.96</v>
      </c>
      <c r="G1174" t="s">
        <v>1936</v>
      </c>
      <c r="H1174" t="s">
        <v>40</v>
      </c>
      <c r="I1174" t="s">
        <v>95</v>
      </c>
      <c r="J1174" t="s">
        <v>4197</v>
      </c>
      <c r="K1174">
        <v>8</v>
      </c>
      <c r="M1174" t="s">
        <v>28</v>
      </c>
      <c r="N1174" s="4">
        <v>395.88</v>
      </c>
      <c r="O1174" s="19" t="str">
        <f t="shared" si="90"/>
        <v>Feb-2025</v>
      </c>
      <c r="P1174">
        <f t="shared" si="91"/>
        <v>2025</v>
      </c>
      <c r="Q1174" t="str">
        <f t="shared" si="92"/>
        <v>OK</v>
      </c>
      <c r="R1174">
        <v>1</v>
      </c>
      <c r="S1174">
        <f t="shared" si="93"/>
        <v>0</v>
      </c>
      <c r="T1174">
        <f t="shared" si="94"/>
        <v>0</v>
      </c>
    </row>
    <row r="1175" spans="1:20">
      <c r="A1175" t="s">
        <v>4198</v>
      </c>
      <c r="B1175" s="3">
        <v>45569</v>
      </c>
      <c r="C1175" t="s">
        <v>4199</v>
      </c>
      <c r="D1175" t="s">
        <v>22</v>
      </c>
      <c r="E1175">
        <v>1</v>
      </c>
      <c r="F1175" s="4">
        <v>208.36</v>
      </c>
      <c r="G1175" t="s">
        <v>2682</v>
      </c>
      <c r="H1175" t="s">
        <v>33</v>
      </c>
      <c r="I1175" t="s">
        <v>25</v>
      </c>
      <c r="J1175" t="s">
        <v>4200</v>
      </c>
      <c r="K1175">
        <v>4</v>
      </c>
      <c r="L1175" t="s">
        <v>43</v>
      </c>
      <c r="M1175" t="s">
        <v>44</v>
      </c>
      <c r="N1175" s="4">
        <v>208.36</v>
      </c>
      <c r="O1175" s="19" t="str">
        <f t="shared" si="90"/>
        <v>Oct-2024</v>
      </c>
      <c r="P1175">
        <f t="shared" si="91"/>
        <v>2024</v>
      </c>
      <c r="Q1175" t="str">
        <f t="shared" si="92"/>
        <v>OK</v>
      </c>
      <c r="R1175">
        <v>1</v>
      </c>
      <c r="S1175">
        <f t="shared" si="93"/>
        <v>0</v>
      </c>
      <c r="T1175">
        <f t="shared" si="94"/>
        <v>0</v>
      </c>
    </row>
    <row r="1176" spans="1:20">
      <c r="A1176" t="s">
        <v>4201</v>
      </c>
      <c r="B1176" s="3">
        <v>45257</v>
      </c>
      <c r="C1176" t="s">
        <v>4202</v>
      </c>
      <c r="D1176" t="s">
        <v>54</v>
      </c>
      <c r="E1176">
        <v>3</v>
      </c>
      <c r="F1176" s="4">
        <v>222.34</v>
      </c>
      <c r="G1176" t="s">
        <v>4203</v>
      </c>
      <c r="H1176" t="s">
        <v>40</v>
      </c>
      <c r="I1176" t="s">
        <v>49</v>
      </c>
      <c r="J1176" t="s">
        <v>4204</v>
      </c>
      <c r="K1176">
        <v>5</v>
      </c>
      <c r="L1176" t="s">
        <v>87</v>
      </c>
      <c r="M1176" t="s">
        <v>44</v>
      </c>
      <c r="N1176" s="4">
        <v>667.02</v>
      </c>
      <c r="O1176" s="19" t="str">
        <f t="shared" si="90"/>
        <v>Nov-2023</v>
      </c>
      <c r="P1176">
        <f t="shared" si="91"/>
        <v>2023</v>
      </c>
      <c r="Q1176" t="str">
        <f t="shared" si="92"/>
        <v>OK</v>
      </c>
      <c r="R1176">
        <v>1</v>
      </c>
      <c r="S1176">
        <f t="shared" si="93"/>
        <v>0</v>
      </c>
      <c r="T1176">
        <f t="shared" si="94"/>
        <v>1</v>
      </c>
    </row>
    <row r="1177" spans="1:20">
      <c r="A1177" t="s">
        <v>4205</v>
      </c>
      <c r="B1177" s="3">
        <v>45545</v>
      </c>
      <c r="C1177" t="s">
        <v>4206</v>
      </c>
      <c r="D1177" t="s">
        <v>54</v>
      </c>
      <c r="E1177">
        <v>3</v>
      </c>
      <c r="F1177" s="4">
        <v>91.74</v>
      </c>
      <c r="G1177" t="s">
        <v>1212</v>
      </c>
      <c r="H1177" t="s">
        <v>24</v>
      </c>
      <c r="I1177" t="s">
        <v>49</v>
      </c>
      <c r="J1177" t="s">
        <v>4207</v>
      </c>
      <c r="K1177">
        <v>8</v>
      </c>
      <c r="L1177" t="s">
        <v>43</v>
      </c>
      <c r="M1177" t="s">
        <v>35</v>
      </c>
      <c r="N1177" s="4">
        <v>275.22000000000003</v>
      </c>
      <c r="O1177" s="19" t="str">
        <f t="shared" si="90"/>
        <v>Sep-2024</v>
      </c>
      <c r="P1177">
        <f t="shared" si="91"/>
        <v>2024</v>
      </c>
      <c r="Q1177" t="str">
        <f t="shared" si="92"/>
        <v>OK</v>
      </c>
      <c r="R1177">
        <v>1</v>
      </c>
      <c r="S1177">
        <f t="shared" si="93"/>
        <v>0</v>
      </c>
      <c r="T1177">
        <f t="shared" si="94"/>
        <v>1</v>
      </c>
    </row>
    <row r="1178" spans="1:20">
      <c r="A1178" t="s">
        <v>4208</v>
      </c>
      <c r="B1178" s="3">
        <v>45151</v>
      </c>
      <c r="C1178" t="s">
        <v>4209</v>
      </c>
      <c r="D1178" t="s">
        <v>38</v>
      </c>
      <c r="E1178">
        <v>2</v>
      </c>
      <c r="F1178" s="4">
        <v>213.83</v>
      </c>
      <c r="G1178" t="s">
        <v>4210</v>
      </c>
      <c r="H1178" t="s">
        <v>24</v>
      </c>
      <c r="I1178" t="s">
        <v>41</v>
      </c>
      <c r="J1178" t="s">
        <v>4211</v>
      </c>
      <c r="K1178">
        <v>2</v>
      </c>
      <c r="L1178" t="s">
        <v>87</v>
      </c>
      <c r="M1178" t="s">
        <v>44</v>
      </c>
      <c r="N1178" s="4">
        <v>427.66</v>
      </c>
      <c r="O1178" s="19" t="str">
        <f t="shared" si="90"/>
        <v>Aug-2023</v>
      </c>
      <c r="P1178">
        <f t="shared" si="91"/>
        <v>2023</v>
      </c>
      <c r="Q1178" t="str">
        <f t="shared" si="92"/>
        <v>OK</v>
      </c>
      <c r="R1178">
        <v>1</v>
      </c>
      <c r="S1178">
        <f t="shared" si="93"/>
        <v>1</v>
      </c>
      <c r="T1178">
        <f t="shared" si="94"/>
        <v>0</v>
      </c>
    </row>
    <row r="1179" spans="1:20">
      <c r="A1179" t="s">
        <v>4212</v>
      </c>
      <c r="B1179" s="3">
        <v>45043</v>
      </c>
      <c r="C1179" t="s">
        <v>4213</v>
      </c>
      <c r="D1179" t="s">
        <v>54</v>
      </c>
      <c r="E1179">
        <v>1</v>
      </c>
      <c r="F1179" s="4">
        <v>127.55</v>
      </c>
      <c r="G1179" t="s">
        <v>1676</v>
      </c>
      <c r="H1179" t="s">
        <v>71</v>
      </c>
      <c r="I1179" t="s">
        <v>25</v>
      </c>
      <c r="J1179" t="s">
        <v>4214</v>
      </c>
      <c r="K1179">
        <v>3</v>
      </c>
      <c r="L1179" t="s">
        <v>27</v>
      </c>
      <c r="M1179" t="s">
        <v>35</v>
      </c>
      <c r="N1179" s="4">
        <v>127.55</v>
      </c>
      <c r="O1179" s="19" t="str">
        <f t="shared" si="90"/>
        <v>Apr-2023</v>
      </c>
      <c r="P1179">
        <f t="shared" si="91"/>
        <v>2023</v>
      </c>
      <c r="Q1179" t="str">
        <f t="shared" si="92"/>
        <v>OK</v>
      </c>
      <c r="R1179">
        <v>1</v>
      </c>
      <c r="S1179">
        <f t="shared" si="93"/>
        <v>0</v>
      </c>
      <c r="T1179">
        <f t="shared" si="94"/>
        <v>0</v>
      </c>
    </row>
    <row r="1180" spans="1:20">
      <c r="A1180" t="s">
        <v>4215</v>
      </c>
      <c r="B1180" s="3">
        <v>45543</v>
      </c>
      <c r="C1180" t="s">
        <v>4216</v>
      </c>
      <c r="D1180" t="s">
        <v>22</v>
      </c>
      <c r="E1180">
        <v>1</v>
      </c>
      <c r="F1180" s="4">
        <v>70.239999999999995</v>
      </c>
      <c r="G1180" t="s">
        <v>970</v>
      </c>
      <c r="H1180" t="s">
        <v>40</v>
      </c>
      <c r="I1180" t="s">
        <v>41</v>
      </c>
      <c r="J1180" t="s">
        <v>4217</v>
      </c>
      <c r="K1180">
        <v>4</v>
      </c>
      <c r="L1180" t="s">
        <v>43</v>
      </c>
      <c r="M1180" t="s">
        <v>82</v>
      </c>
      <c r="N1180" s="4">
        <v>70.239999999999995</v>
      </c>
      <c r="O1180" s="19" t="str">
        <f t="shared" si="90"/>
        <v>Sep-2024</v>
      </c>
      <c r="P1180">
        <f t="shared" si="91"/>
        <v>2024</v>
      </c>
      <c r="Q1180" t="str">
        <f t="shared" si="92"/>
        <v>OK</v>
      </c>
      <c r="R1180">
        <v>1</v>
      </c>
      <c r="S1180">
        <f t="shared" si="93"/>
        <v>1</v>
      </c>
      <c r="T1180">
        <f t="shared" si="94"/>
        <v>0</v>
      </c>
    </row>
    <row r="1181" spans="1:20">
      <c r="A1181" t="s">
        <v>4218</v>
      </c>
      <c r="B1181" s="3">
        <v>44934</v>
      </c>
      <c r="C1181" t="s">
        <v>4219</v>
      </c>
      <c r="D1181" t="s">
        <v>64</v>
      </c>
      <c r="E1181">
        <v>5</v>
      </c>
      <c r="F1181" s="4">
        <v>518.54999999999995</v>
      </c>
      <c r="G1181" t="s">
        <v>1414</v>
      </c>
      <c r="H1181" t="s">
        <v>40</v>
      </c>
      <c r="I1181" t="s">
        <v>41</v>
      </c>
      <c r="J1181" t="s">
        <v>4220</v>
      </c>
      <c r="K1181">
        <v>6</v>
      </c>
      <c r="L1181" t="s">
        <v>87</v>
      </c>
      <c r="M1181" t="s">
        <v>28</v>
      </c>
      <c r="N1181" s="4">
        <v>2592.75</v>
      </c>
      <c r="O1181" s="19" t="str">
        <f t="shared" si="90"/>
        <v>Jan-2023</v>
      </c>
      <c r="P1181">
        <f t="shared" si="91"/>
        <v>2023</v>
      </c>
      <c r="Q1181" t="str">
        <f t="shared" si="92"/>
        <v>OK</v>
      </c>
      <c r="R1181">
        <v>1</v>
      </c>
      <c r="S1181">
        <f t="shared" si="93"/>
        <v>1</v>
      </c>
      <c r="T1181">
        <f t="shared" si="94"/>
        <v>0</v>
      </c>
    </row>
    <row r="1182" spans="1:20">
      <c r="A1182" t="s">
        <v>4221</v>
      </c>
      <c r="B1182" s="3">
        <v>45230</v>
      </c>
      <c r="C1182" t="s">
        <v>4222</v>
      </c>
      <c r="D1182" t="s">
        <v>47</v>
      </c>
      <c r="E1182">
        <v>4</v>
      </c>
      <c r="F1182" s="4">
        <v>298.36</v>
      </c>
      <c r="G1182" t="s">
        <v>2035</v>
      </c>
      <c r="H1182" t="s">
        <v>24</v>
      </c>
      <c r="I1182" t="s">
        <v>95</v>
      </c>
      <c r="J1182" t="s">
        <v>4223</v>
      </c>
      <c r="K1182">
        <v>8</v>
      </c>
      <c r="L1182" t="s">
        <v>43</v>
      </c>
      <c r="M1182" t="s">
        <v>82</v>
      </c>
      <c r="N1182" s="4">
        <v>1193.44</v>
      </c>
      <c r="O1182" s="19" t="str">
        <f t="shared" si="90"/>
        <v>Oct-2023</v>
      </c>
      <c r="P1182">
        <f t="shared" si="91"/>
        <v>2023</v>
      </c>
      <c r="Q1182" t="str">
        <f t="shared" si="92"/>
        <v>OK</v>
      </c>
      <c r="R1182">
        <v>1</v>
      </c>
      <c r="S1182">
        <f t="shared" si="93"/>
        <v>0</v>
      </c>
      <c r="T1182">
        <f t="shared" si="94"/>
        <v>0</v>
      </c>
    </row>
    <row r="1183" spans="1:20">
      <c r="A1183" t="s">
        <v>4224</v>
      </c>
      <c r="B1183" s="3">
        <v>45134</v>
      </c>
      <c r="C1183" t="s">
        <v>4225</v>
      </c>
      <c r="D1183" t="s">
        <v>79</v>
      </c>
      <c r="E1183">
        <v>3</v>
      </c>
      <c r="F1183" s="4">
        <v>158.74</v>
      </c>
      <c r="G1183" t="s">
        <v>1354</v>
      </c>
      <c r="H1183" t="s">
        <v>33</v>
      </c>
      <c r="I1183" t="s">
        <v>95</v>
      </c>
      <c r="J1183" t="s">
        <v>4226</v>
      </c>
      <c r="K1183">
        <v>7</v>
      </c>
      <c r="L1183" t="s">
        <v>43</v>
      </c>
      <c r="M1183" t="s">
        <v>28</v>
      </c>
      <c r="N1183" s="4">
        <v>476.22</v>
      </c>
      <c r="O1183" s="19" t="str">
        <f t="shared" si="90"/>
        <v>Jul-2023</v>
      </c>
      <c r="P1183">
        <f t="shared" si="91"/>
        <v>2023</v>
      </c>
      <c r="Q1183" t="str">
        <f t="shared" si="92"/>
        <v>OK</v>
      </c>
      <c r="R1183">
        <v>1</v>
      </c>
      <c r="S1183">
        <f t="shared" si="93"/>
        <v>0</v>
      </c>
      <c r="T1183">
        <f t="shared" si="94"/>
        <v>0</v>
      </c>
    </row>
    <row r="1184" spans="1:20">
      <c r="A1184" t="s">
        <v>4227</v>
      </c>
      <c r="B1184" s="3">
        <v>45822</v>
      </c>
      <c r="C1184" t="s">
        <v>4228</v>
      </c>
      <c r="D1184" t="s">
        <v>47</v>
      </c>
      <c r="E1184">
        <v>2</v>
      </c>
      <c r="F1184" s="4">
        <v>420.29</v>
      </c>
      <c r="G1184" t="s">
        <v>2263</v>
      </c>
      <c r="H1184" t="s">
        <v>66</v>
      </c>
      <c r="I1184" t="s">
        <v>49</v>
      </c>
      <c r="J1184" t="s">
        <v>4229</v>
      </c>
      <c r="K1184">
        <v>3</v>
      </c>
      <c r="L1184" t="s">
        <v>27</v>
      </c>
      <c r="M1184" t="s">
        <v>82</v>
      </c>
      <c r="N1184" s="4">
        <v>840.58</v>
      </c>
      <c r="O1184" s="19" t="str">
        <f t="shared" si="90"/>
        <v>Jun-2025</v>
      </c>
      <c r="P1184">
        <f t="shared" si="91"/>
        <v>2025</v>
      </c>
      <c r="Q1184" t="str">
        <f t="shared" si="92"/>
        <v>OK</v>
      </c>
      <c r="R1184">
        <v>1</v>
      </c>
      <c r="S1184">
        <f t="shared" si="93"/>
        <v>0</v>
      </c>
      <c r="T1184">
        <f t="shared" si="94"/>
        <v>1</v>
      </c>
    </row>
    <row r="1185" spans="1:20">
      <c r="A1185" t="s">
        <v>4230</v>
      </c>
      <c r="B1185" s="3">
        <v>45021</v>
      </c>
      <c r="C1185" t="s">
        <v>4231</v>
      </c>
      <c r="D1185" t="s">
        <v>79</v>
      </c>
      <c r="E1185">
        <v>1</v>
      </c>
      <c r="F1185" s="4">
        <v>281.52</v>
      </c>
      <c r="G1185" t="s">
        <v>1053</v>
      </c>
      <c r="H1185" t="s">
        <v>66</v>
      </c>
      <c r="I1185" t="s">
        <v>25</v>
      </c>
      <c r="J1185" t="s">
        <v>4232</v>
      </c>
      <c r="K1185">
        <v>6</v>
      </c>
      <c r="L1185" t="s">
        <v>87</v>
      </c>
      <c r="M1185" t="s">
        <v>35</v>
      </c>
      <c r="N1185" s="4">
        <v>281.52</v>
      </c>
      <c r="O1185" s="19" t="str">
        <f t="shared" si="90"/>
        <v>Apr-2023</v>
      </c>
      <c r="P1185">
        <f t="shared" si="91"/>
        <v>2023</v>
      </c>
      <c r="Q1185" t="str">
        <f t="shared" si="92"/>
        <v>OK</v>
      </c>
      <c r="R1185">
        <v>1</v>
      </c>
      <c r="S1185">
        <f t="shared" si="93"/>
        <v>0</v>
      </c>
      <c r="T1185">
        <f t="shared" si="94"/>
        <v>0</v>
      </c>
    </row>
    <row r="1186" spans="1:20">
      <c r="A1186" t="s">
        <v>4233</v>
      </c>
      <c r="B1186" s="3">
        <v>45196</v>
      </c>
      <c r="C1186" t="s">
        <v>4234</v>
      </c>
      <c r="D1186" t="s">
        <v>64</v>
      </c>
      <c r="E1186">
        <v>1</v>
      </c>
      <c r="F1186" s="4">
        <v>204.08</v>
      </c>
      <c r="G1186" t="s">
        <v>3013</v>
      </c>
      <c r="H1186" t="s">
        <v>66</v>
      </c>
      <c r="I1186" t="s">
        <v>49</v>
      </c>
      <c r="J1186" t="s">
        <v>4235</v>
      </c>
      <c r="K1186">
        <v>4</v>
      </c>
      <c r="M1186" t="s">
        <v>82</v>
      </c>
      <c r="N1186" s="4">
        <v>204.08</v>
      </c>
      <c r="O1186" s="19" t="str">
        <f t="shared" si="90"/>
        <v>Sep-2023</v>
      </c>
      <c r="P1186">
        <f t="shared" si="91"/>
        <v>2023</v>
      </c>
      <c r="Q1186" t="str">
        <f t="shared" si="92"/>
        <v>OK</v>
      </c>
      <c r="R1186">
        <v>1</v>
      </c>
      <c r="S1186">
        <f t="shared" si="93"/>
        <v>0</v>
      </c>
      <c r="T1186">
        <f t="shared" si="94"/>
        <v>1</v>
      </c>
    </row>
    <row r="1187" spans="1:20">
      <c r="A1187" t="s">
        <v>4236</v>
      </c>
      <c r="B1187" s="3">
        <v>45481</v>
      </c>
      <c r="C1187" t="s">
        <v>4237</v>
      </c>
      <c r="D1187" t="s">
        <v>47</v>
      </c>
      <c r="E1187">
        <v>1</v>
      </c>
      <c r="F1187" s="4">
        <v>343.31</v>
      </c>
      <c r="G1187" t="s">
        <v>4238</v>
      </c>
      <c r="H1187" t="s">
        <v>66</v>
      </c>
      <c r="I1187" t="s">
        <v>49</v>
      </c>
      <c r="J1187" t="s">
        <v>4239</v>
      </c>
      <c r="K1187">
        <v>6</v>
      </c>
      <c r="L1187" t="s">
        <v>27</v>
      </c>
      <c r="M1187" t="s">
        <v>82</v>
      </c>
      <c r="N1187" s="4">
        <v>343.31</v>
      </c>
      <c r="O1187" s="19" t="str">
        <f t="shared" si="90"/>
        <v>Jul-2024</v>
      </c>
      <c r="P1187">
        <f t="shared" si="91"/>
        <v>2024</v>
      </c>
      <c r="Q1187" t="str">
        <f t="shared" si="92"/>
        <v>OK</v>
      </c>
      <c r="R1187">
        <v>1</v>
      </c>
      <c r="S1187">
        <f t="shared" si="93"/>
        <v>0</v>
      </c>
      <c r="T1187">
        <f t="shared" si="94"/>
        <v>1</v>
      </c>
    </row>
    <row r="1188" spans="1:20">
      <c r="A1188" t="s">
        <v>4240</v>
      </c>
      <c r="B1188" s="3">
        <v>45248</v>
      </c>
      <c r="C1188" t="s">
        <v>4241</v>
      </c>
      <c r="D1188" t="s">
        <v>22</v>
      </c>
      <c r="E1188">
        <v>1</v>
      </c>
      <c r="F1188" s="4">
        <v>163.32</v>
      </c>
      <c r="G1188" t="s">
        <v>4242</v>
      </c>
      <c r="H1188" t="s">
        <v>71</v>
      </c>
      <c r="I1188" t="s">
        <v>25</v>
      </c>
      <c r="J1188" t="s">
        <v>4243</v>
      </c>
      <c r="K1188">
        <v>6</v>
      </c>
      <c r="L1188" t="s">
        <v>87</v>
      </c>
      <c r="M1188" t="s">
        <v>51</v>
      </c>
      <c r="N1188" s="4">
        <v>163.32</v>
      </c>
      <c r="O1188" s="19" t="str">
        <f t="shared" si="90"/>
        <v>Nov-2023</v>
      </c>
      <c r="P1188">
        <f t="shared" si="91"/>
        <v>2023</v>
      </c>
      <c r="Q1188" t="str">
        <f t="shared" si="92"/>
        <v>OK</v>
      </c>
      <c r="R1188">
        <v>1</v>
      </c>
      <c r="S1188">
        <f t="shared" si="93"/>
        <v>0</v>
      </c>
      <c r="T1188">
        <f t="shared" si="94"/>
        <v>0</v>
      </c>
    </row>
    <row r="1189" spans="1:20">
      <c r="A1189" t="s">
        <v>4244</v>
      </c>
      <c r="B1189" s="3">
        <v>45364</v>
      </c>
      <c r="C1189" t="s">
        <v>4245</v>
      </c>
      <c r="D1189" t="s">
        <v>79</v>
      </c>
      <c r="E1189">
        <v>2</v>
      </c>
      <c r="F1189" s="4">
        <v>184.6</v>
      </c>
      <c r="G1189" t="s">
        <v>958</v>
      </c>
      <c r="H1189" t="s">
        <v>66</v>
      </c>
      <c r="I1189" t="s">
        <v>56</v>
      </c>
      <c r="J1189" t="s">
        <v>4246</v>
      </c>
      <c r="K1189">
        <v>7</v>
      </c>
      <c r="L1189" t="s">
        <v>87</v>
      </c>
      <c r="M1189" t="s">
        <v>44</v>
      </c>
      <c r="N1189" s="4">
        <v>369.2</v>
      </c>
      <c r="O1189" s="19" t="str">
        <f t="shared" si="90"/>
        <v>Mar-2024</v>
      </c>
      <c r="P1189">
        <f t="shared" si="91"/>
        <v>2024</v>
      </c>
      <c r="Q1189" t="str">
        <f t="shared" si="92"/>
        <v>OK</v>
      </c>
      <c r="R1189">
        <v>1</v>
      </c>
      <c r="S1189">
        <f t="shared" si="93"/>
        <v>0</v>
      </c>
      <c r="T1189">
        <f t="shared" si="94"/>
        <v>0</v>
      </c>
    </row>
    <row r="1190" spans="1:20">
      <c r="A1190" t="s">
        <v>4247</v>
      </c>
      <c r="B1190" s="3">
        <v>45206</v>
      </c>
      <c r="C1190" t="s">
        <v>4248</v>
      </c>
      <c r="D1190" t="s">
        <v>54</v>
      </c>
      <c r="E1190">
        <v>2</v>
      </c>
      <c r="F1190" s="4">
        <v>371.29</v>
      </c>
      <c r="G1190" t="s">
        <v>4249</v>
      </c>
      <c r="H1190" t="s">
        <v>66</v>
      </c>
      <c r="I1190" t="s">
        <v>25</v>
      </c>
      <c r="J1190" t="s">
        <v>4250</v>
      </c>
      <c r="K1190">
        <v>5</v>
      </c>
      <c r="L1190" t="s">
        <v>87</v>
      </c>
      <c r="M1190" t="s">
        <v>51</v>
      </c>
      <c r="N1190" s="4">
        <v>742.58</v>
      </c>
      <c r="O1190" s="19" t="str">
        <f t="shared" si="90"/>
        <v>Oct-2023</v>
      </c>
      <c r="P1190">
        <f t="shared" si="91"/>
        <v>2023</v>
      </c>
      <c r="Q1190" t="str">
        <f t="shared" si="92"/>
        <v>OK</v>
      </c>
      <c r="R1190">
        <v>1</v>
      </c>
      <c r="S1190">
        <f t="shared" si="93"/>
        <v>0</v>
      </c>
      <c r="T1190">
        <f t="shared" si="94"/>
        <v>0</v>
      </c>
    </row>
    <row r="1191" spans="1:20">
      <c r="A1191" t="s">
        <v>4251</v>
      </c>
      <c r="B1191" s="3">
        <v>45521</v>
      </c>
      <c r="C1191" t="s">
        <v>4252</v>
      </c>
      <c r="D1191" t="s">
        <v>38</v>
      </c>
      <c r="E1191">
        <v>5</v>
      </c>
      <c r="F1191" s="4">
        <v>389.22</v>
      </c>
      <c r="G1191" t="s">
        <v>4253</v>
      </c>
      <c r="H1191" t="s">
        <v>71</v>
      </c>
      <c r="I1191" t="s">
        <v>41</v>
      </c>
      <c r="J1191" t="s">
        <v>4254</v>
      </c>
      <c r="K1191">
        <v>7</v>
      </c>
      <c r="M1191" t="s">
        <v>35</v>
      </c>
      <c r="N1191" s="4">
        <v>1946.1</v>
      </c>
      <c r="O1191" s="19" t="str">
        <f t="shared" si="90"/>
        <v>Aug-2024</v>
      </c>
      <c r="P1191">
        <f t="shared" si="91"/>
        <v>2024</v>
      </c>
      <c r="Q1191" t="str">
        <f t="shared" si="92"/>
        <v>OK</v>
      </c>
      <c r="R1191">
        <v>1</v>
      </c>
      <c r="S1191">
        <f t="shared" si="93"/>
        <v>1</v>
      </c>
      <c r="T1191">
        <f t="shared" si="94"/>
        <v>0</v>
      </c>
    </row>
    <row r="1192" spans="1:20">
      <c r="A1192" t="s">
        <v>4255</v>
      </c>
      <c r="B1192" s="3">
        <v>45816</v>
      </c>
      <c r="C1192" t="s">
        <v>4256</v>
      </c>
      <c r="D1192" t="s">
        <v>79</v>
      </c>
      <c r="E1192">
        <v>3</v>
      </c>
      <c r="F1192" s="4">
        <v>616.39</v>
      </c>
      <c r="G1192" t="s">
        <v>4257</v>
      </c>
      <c r="H1192" t="s">
        <v>40</v>
      </c>
      <c r="I1192" t="s">
        <v>25</v>
      </c>
      <c r="J1192" t="s">
        <v>4258</v>
      </c>
      <c r="K1192">
        <v>6</v>
      </c>
      <c r="L1192" t="s">
        <v>43</v>
      </c>
      <c r="M1192" t="s">
        <v>28</v>
      </c>
      <c r="N1192" s="4">
        <v>1849.17</v>
      </c>
      <c r="O1192" s="19" t="str">
        <f t="shared" si="90"/>
        <v>Jun-2025</v>
      </c>
      <c r="P1192">
        <f t="shared" si="91"/>
        <v>2025</v>
      </c>
      <c r="Q1192" t="str">
        <f t="shared" si="92"/>
        <v>OK</v>
      </c>
      <c r="R1192">
        <v>1</v>
      </c>
      <c r="S1192">
        <f t="shared" si="93"/>
        <v>0</v>
      </c>
      <c r="T1192">
        <f t="shared" si="94"/>
        <v>0</v>
      </c>
    </row>
    <row r="1193" spans="1:20">
      <c r="A1193" t="s">
        <v>4259</v>
      </c>
      <c r="B1193" s="3">
        <v>45698</v>
      </c>
      <c r="C1193" t="s">
        <v>4260</v>
      </c>
      <c r="D1193" t="s">
        <v>79</v>
      </c>
      <c r="E1193">
        <v>4</v>
      </c>
      <c r="F1193" s="4">
        <v>376.43</v>
      </c>
      <c r="G1193" t="s">
        <v>2304</v>
      </c>
      <c r="H1193" t="s">
        <v>66</v>
      </c>
      <c r="I1193" t="s">
        <v>95</v>
      </c>
      <c r="J1193" t="s">
        <v>4261</v>
      </c>
      <c r="K1193">
        <v>5</v>
      </c>
      <c r="L1193" t="s">
        <v>87</v>
      </c>
      <c r="M1193" t="s">
        <v>28</v>
      </c>
      <c r="N1193" s="4">
        <v>1505.72</v>
      </c>
      <c r="O1193" s="19" t="str">
        <f t="shared" si="90"/>
        <v>Feb-2025</v>
      </c>
      <c r="P1193">
        <f t="shared" si="91"/>
        <v>2025</v>
      </c>
      <c r="Q1193" t="str">
        <f t="shared" si="92"/>
        <v>OK</v>
      </c>
      <c r="R1193">
        <v>1</v>
      </c>
      <c r="S1193">
        <f t="shared" si="93"/>
        <v>0</v>
      </c>
      <c r="T1193">
        <f t="shared" si="94"/>
        <v>0</v>
      </c>
    </row>
    <row r="1194" spans="1:20">
      <c r="A1194" t="s">
        <v>4262</v>
      </c>
      <c r="B1194" s="3">
        <v>45350</v>
      </c>
      <c r="C1194" t="s">
        <v>4263</v>
      </c>
      <c r="D1194" t="s">
        <v>47</v>
      </c>
      <c r="E1194">
        <v>3</v>
      </c>
      <c r="F1194" s="4">
        <v>432.85</v>
      </c>
      <c r="G1194" t="s">
        <v>851</v>
      </c>
      <c r="H1194" t="s">
        <v>33</v>
      </c>
      <c r="I1194" t="s">
        <v>95</v>
      </c>
      <c r="J1194" t="s">
        <v>4264</v>
      </c>
      <c r="K1194">
        <v>4</v>
      </c>
      <c r="M1194" t="s">
        <v>28</v>
      </c>
      <c r="N1194" s="4">
        <v>1298.55</v>
      </c>
      <c r="O1194" s="19" t="str">
        <f t="shared" si="90"/>
        <v>Feb-2024</v>
      </c>
      <c r="P1194">
        <f t="shared" si="91"/>
        <v>2024</v>
      </c>
      <c r="Q1194" t="str">
        <f t="shared" si="92"/>
        <v>OK</v>
      </c>
      <c r="R1194">
        <v>1</v>
      </c>
      <c r="S1194">
        <f t="shared" si="93"/>
        <v>0</v>
      </c>
      <c r="T1194">
        <f t="shared" si="94"/>
        <v>0</v>
      </c>
    </row>
    <row r="1195" spans="1:20">
      <c r="A1195" t="s">
        <v>4265</v>
      </c>
      <c r="B1195" s="3">
        <v>45824</v>
      </c>
      <c r="C1195" t="s">
        <v>4266</v>
      </c>
      <c r="D1195" t="s">
        <v>38</v>
      </c>
      <c r="E1195">
        <v>1</v>
      </c>
      <c r="F1195" s="4">
        <v>687.89</v>
      </c>
      <c r="G1195" t="s">
        <v>349</v>
      </c>
      <c r="H1195" t="s">
        <v>71</v>
      </c>
      <c r="I1195" t="s">
        <v>49</v>
      </c>
      <c r="J1195" t="s">
        <v>4267</v>
      </c>
      <c r="K1195">
        <v>1</v>
      </c>
      <c r="L1195" t="s">
        <v>43</v>
      </c>
      <c r="M1195" t="s">
        <v>44</v>
      </c>
      <c r="N1195" s="4">
        <v>687.89</v>
      </c>
      <c r="O1195" s="19" t="str">
        <f t="shared" si="90"/>
        <v>Jun-2025</v>
      </c>
      <c r="P1195">
        <f t="shared" si="91"/>
        <v>2025</v>
      </c>
      <c r="Q1195" t="str">
        <f t="shared" si="92"/>
        <v>OK</v>
      </c>
      <c r="R1195">
        <v>1</v>
      </c>
      <c r="S1195">
        <f t="shared" si="93"/>
        <v>0</v>
      </c>
      <c r="T1195">
        <f t="shared" si="94"/>
        <v>1</v>
      </c>
    </row>
    <row r="1196" spans="1:20">
      <c r="A1196" t="s">
        <v>4268</v>
      </c>
      <c r="B1196" s="3">
        <v>45249</v>
      </c>
      <c r="C1196" t="s">
        <v>4269</v>
      </c>
      <c r="D1196" t="s">
        <v>54</v>
      </c>
      <c r="E1196">
        <v>3</v>
      </c>
      <c r="F1196" s="4">
        <v>189.44</v>
      </c>
      <c r="G1196" t="s">
        <v>789</v>
      </c>
      <c r="H1196" t="s">
        <v>71</v>
      </c>
      <c r="I1196" t="s">
        <v>95</v>
      </c>
      <c r="J1196" t="s">
        <v>4270</v>
      </c>
      <c r="K1196">
        <v>4</v>
      </c>
      <c r="L1196" t="s">
        <v>43</v>
      </c>
      <c r="M1196" t="s">
        <v>44</v>
      </c>
      <c r="N1196" s="4">
        <v>568.31999999999994</v>
      </c>
      <c r="O1196" s="19" t="str">
        <f t="shared" si="90"/>
        <v>Nov-2023</v>
      </c>
      <c r="P1196">
        <f t="shared" si="91"/>
        <v>2023</v>
      </c>
      <c r="Q1196" t="str">
        <f t="shared" si="92"/>
        <v>OK</v>
      </c>
      <c r="R1196">
        <v>1</v>
      </c>
      <c r="S1196">
        <f t="shared" si="93"/>
        <v>0</v>
      </c>
      <c r="T1196">
        <f t="shared" si="94"/>
        <v>0</v>
      </c>
    </row>
    <row r="1197" spans="1:20">
      <c r="A1197" t="s">
        <v>4271</v>
      </c>
      <c r="B1197" s="3">
        <v>45463</v>
      </c>
      <c r="C1197" t="s">
        <v>4272</v>
      </c>
      <c r="D1197" t="s">
        <v>79</v>
      </c>
      <c r="E1197">
        <v>1</v>
      </c>
      <c r="F1197" s="4">
        <v>107.04</v>
      </c>
      <c r="G1197" t="s">
        <v>4273</v>
      </c>
      <c r="H1197" t="s">
        <v>40</v>
      </c>
      <c r="I1197" t="s">
        <v>41</v>
      </c>
      <c r="J1197" t="s">
        <v>4274</v>
      </c>
      <c r="K1197">
        <v>6</v>
      </c>
      <c r="L1197" t="s">
        <v>43</v>
      </c>
      <c r="M1197" t="s">
        <v>82</v>
      </c>
      <c r="N1197" s="4">
        <v>107.04</v>
      </c>
      <c r="O1197" s="19" t="str">
        <f t="shared" si="90"/>
        <v>Jun-2024</v>
      </c>
      <c r="P1197">
        <f t="shared" si="91"/>
        <v>2024</v>
      </c>
      <c r="Q1197" t="str">
        <f t="shared" si="92"/>
        <v>OK</v>
      </c>
      <c r="R1197">
        <v>1</v>
      </c>
      <c r="S1197">
        <f t="shared" si="93"/>
        <v>1</v>
      </c>
      <c r="T1197">
        <f t="shared" si="94"/>
        <v>0</v>
      </c>
    </row>
    <row r="1198" spans="1:20">
      <c r="A1198" t="s">
        <v>4275</v>
      </c>
      <c r="B1198" s="3">
        <v>45355</v>
      </c>
      <c r="C1198" t="s">
        <v>4276</v>
      </c>
      <c r="D1198" t="s">
        <v>22</v>
      </c>
      <c r="E1198">
        <v>2</v>
      </c>
      <c r="F1198" s="4">
        <v>662.53</v>
      </c>
      <c r="G1198" t="s">
        <v>1555</v>
      </c>
      <c r="H1198" t="s">
        <v>33</v>
      </c>
      <c r="I1198" t="s">
        <v>41</v>
      </c>
      <c r="J1198" t="s">
        <v>4277</v>
      </c>
      <c r="K1198">
        <v>5</v>
      </c>
      <c r="M1198" t="s">
        <v>51</v>
      </c>
      <c r="N1198" s="4">
        <v>1325.06</v>
      </c>
      <c r="O1198" s="19" t="str">
        <f t="shared" si="90"/>
        <v>Mar-2024</v>
      </c>
      <c r="P1198">
        <f t="shared" si="91"/>
        <v>2024</v>
      </c>
      <c r="Q1198" t="str">
        <f t="shared" si="92"/>
        <v>OK</v>
      </c>
      <c r="R1198">
        <v>1</v>
      </c>
      <c r="S1198">
        <f t="shared" si="93"/>
        <v>1</v>
      </c>
      <c r="T1198">
        <f t="shared" si="94"/>
        <v>0</v>
      </c>
    </row>
    <row r="1199" spans="1:20">
      <c r="A1199" t="s">
        <v>4278</v>
      </c>
      <c r="B1199" s="3">
        <v>45120</v>
      </c>
      <c r="C1199" t="s">
        <v>4279</v>
      </c>
      <c r="D1199" t="s">
        <v>38</v>
      </c>
      <c r="E1199">
        <v>2</v>
      </c>
      <c r="F1199" s="4">
        <v>436.84</v>
      </c>
      <c r="G1199" t="s">
        <v>48</v>
      </c>
      <c r="H1199" t="s">
        <v>33</v>
      </c>
      <c r="I1199" t="s">
        <v>56</v>
      </c>
      <c r="J1199" t="s">
        <v>4280</v>
      </c>
      <c r="K1199">
        <v>2</v>
      </c>
      <c r="L1199" t="s">
        <v>43</v>
      </c>
      <c r="M1199" t="s">
        <v>28</v>
      </c>
      <c r="N1199" s="4">
        <v>873.68</v>
      </c>
      <c r="O1199" s="19" t="str">
        <f t="shared" si="90"/>
        <v>Jul-2023</v>
      </c>
      <c r="P1199">
        <f t="shared" si="91"/>
        <v>2023</v>
      </c>
      <c r="Q1199" t="str">
        <f t="shared" si="92"/>
        <v>OK</v>
      </c>
      <c r="R1199">
        <v>1</v>
      </c>
      <c r="S1199">
        <f t="shared" si="93"/>
        <v>0</v>
      </c>
      <c r="T1199">
        <f t="shared" si="94"/>
        <v>0</v>
      </c>
    </row>
    <row r="1200" spans="1:20">
      <c r="A1200" t="s">
        <v>4281</v>
      </c>
      <c r="B1200" s="3">
        <v>45526</v>
      </c>
      <c r="C1200" t="s">
        <v>4282</v>
      </c>
      <c r="D1200" t="s">
        <v>47</v>
      </c>
      <c r="E1200">
        <v>4</v>
      </c>
      <c r="F1200" s="4">
        <v>262.52</v>
      </c>
      <c r="G1200" t="s">
        <v>4283</v>
      </c>
      <c r="H1200" t="s">
        <v>24</v>
      </c>
      <c r="I1200" t="s">
        <v>41</v>
      </c>
      <c r="J1200" t="s">
        <v>4284</v>
      </c>
      <c r="K1200">
        <v>4</v>
      </c>
      <c r="L1200" t="s">
        <v>87</v>
      </c>
      <c r="M1200" t="s">
        <v>28</v>
      </c>
      <c r="N1200" s="4">
        <v>1050.08</v>
      </c>
      <c r="O1200" s="19" t="str">
        <f t="shared" si="90"/>
        <v>Aug-2024</v>
      </c>
      <c r="P1200">
        <f t="shared" si="91"/>
        <v>2024</v>
      </c>
      <c r="Q1200" t="str">
        <f t="shared" si="92"/>
        <v>OK</v>
      </c>
      <c r="R1200">
        <v>1</v>
      </c>
      <c r="S1200">
        <f t="shared" si="93"/>
        <v>1</v>
      </c>
      <c r="T1200">
        <f t="shared" si="94"/>
        <v>0</v>
      </c>
    </row>
    <row r="1201" spans="1:20">
      <c r="A1201" t="s">
        <v>4285</v>
      </c>
      <c r="B1201" s="3">
        <v>45088</v>
      </c>
      <c r="C1201" t="s">
        <v>4286</v>
      </c>
      <c r="D1201" t="s">
        <v>38</v>
      </c>
      <c r="E1201">
        <v>4</v>
      </c>
      <c r="F1201" s="4">
        <v>560.58000000000004</v>
      </c>
      <c r="G1201" t="s">
        <v>4287</v>
      </c>
      <c r="H1201" t="s">
        <v>66</v>
      </c>
      <c r="I1201" t="s">
        <v>49</v>
      </c>
      <c r="J1201" t="s">
        <v>4288</v>
      </c>
      <c r="K1201">
        <v>6</v>
      </c>
      <c r="L1201" t="s">
        <v>27</v>
      </c>
      <c r="M1201" t="s">
        <v>35</v>
      </c>
      <c r="N1201" s="4">
        <v>2242.3200000000002</v>
      </c>
      <c r="O1201" s="19" t="str">
        <f t="shared" si="90"/>
        <v>Jun-2023</v>
      </c>
      <c r="P1201">
        <f t="shared" si="91"/>
        <v>2023</v>
      </c>
      <c r="Q1201" t="str">
        <f t="shared" si="92"/>
        <v>OK</v>
      </c>
      <c r="R1201">
        <v>1</v>
      </c>
      <c r="S1201">
        <f t="shared" si="93"/>
        <v>0</v>
      </c>
      <c r="T1201">
        <f t="shared" si="94"/>
        <v>1</v>
      </c>
    </row>
  </sheetData>
  <autoFilter ref="A1:T1201" xr:uid="{00000000-0009-0000-0000-000000000000}"/>
  <conditionalFormatting sqref="Q2:Q1201">
    <cfRule type="cellIs" dxfId="0" priority="1" operator="equal">
      <formula>"CHECK"</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66406-E271-49C6-B17F-1D02C52C967C}">
  <sheetPr codeName="Sheet2"/>
  <dimension ref="A1:D8"/>
  <sheetViews>
    <sheetView workbookViewId="0">
      <selection activeCell="D6" sqref="D6"/>
    </sheetView>
  </sheetViews>
  <sheetFormatPr defaultRowHeight="14.4"/>
  <cols>
    <col min="1" max="1" width="9.5546875" customWidth="1"/>
    <col min="2" max="2" width="13.33203125" customWidth="1"/>
    <col min="3" max="3" width="12" customWidth="1"/>
    <col min="4" max="4" width="14.33203125" customWidth="1"/>
  </cols>
  <sheetData>
    <row r="1" spans="1:4">
      <c r="A1" s="6" t="s">
        <v>3</v>
      </c>
      <c r="B1" s="6" t="s">
        <v>4301</v>
      </c>
      <c r="C1" s="6" t="s">
        <v>4302</v>
      </c>
      <c r="D1" s="8" t="s">
        <v>4303</v>
      </c>
    </row>
    <row r="2" spans="1:4">
      <c r="A2" s="9" t="s">
        <v>47</v>
      </c>
      <c r="B2" s="9" t="s">
        <v>4307</v>
      </c>
      <c r="C2" s="9" t="s">
        <v>4306</v>
      </c>
      <c r="D2" s="7">
        <v>70000</v>
      </c>
    </row>
    <row r="3" spans="1:4">
      <c r="A3" s="9" t="s">
        <v>79</v>
      </c>
      <c r="B3" s="9" t="s">
        <v>4307</v>
      </c>
      <c r="C3" s="9" t="s">
        <v>4305</v>
      </c>
      <c r="D3" s="7">
        <v>75000</v>
      </c>
    </row>
    <row r="4" spans="1:4">
      <c r="A4" s="9" t="s">
        <v>64</v>
      </c>
      <c r="B4" s="9" t="s">
        <v>4304</v>
      </c>
      <c r="C4" s="9" t="s">
        <v>4305</v>
      </c>
      <c r="D4" s="7">
        <v>150000</v>
      </c>
    </row>
    <row r="5" spans="1:4">
      <c r="A5" s="9" t="s">
        <v>22</v>
      </c>
      <c r="B5" s="9" t="s">
        <v>4304</v>
      </c>
      <c r="C5" s="9" t="s">
        <v>4306</v>
      </c>
      <c r="D5" s="7">
        <v>90000</v>
      </c>
    </row>
    <row r="6" spans="1:4">
      <c r="A6" s="9" t="s">
        <v>31</v>
      </c>
      <c r="B6" s="9" t="s">
        <v>4304</v>
      </c>
      <c r="C6" s="9" t="s">
        <v>4305</v>
      </c>
      <c r="D6" s="7">
        <v>120000</v>
      </c>
    </row>
    <row r="7" spans="1:4">
      <c r="A7" s="9" t="s">
        <v>54</v>
      </c>
      <c r="B7" s="9" t="s">
        <v>4304</v>
      </c>
      <c r="C7" s="9" t="s">
        <v>4306</v>
      </c>
      <c r="D7" s="7">
        <v>80000</v>
      </c>
    </row>
    <row r="8" spans="1:4">
      <c r="A8" s="9" t="s">
        <v>38</v>
      </c>
      <c r="B8" s="9" t="s">
        <v>4304</v>
      </c>
      <c r="C8" s="9" t="s">
        <v>4306</v>
      </c>
      <c r="D8" s="7">
        <v>100000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A8943-CEAE-45D9-832B-7315CDA85265}">
  <sheetPr codeName="Sheet3"/>
  <dimension ref="A1:R1201"/>
  <sheetViews>
    <sheetView topLeftCell="J1" workbookViewId="0">
      <selection activeCell="K4" sqref="K4"/>
    </sheetView>
  </sheetViews>
  <sheetFormatPr defaultRowHeight="14.4"/>
  <cols>
    <col min="1" max="1" width="9.44140625" customWidth="1"/>
    <col min="2" max="2" width="10.33203125" style="10" bestFit="1" customWidth="1"/>
    <col min="3" max="3" width="12.77734375" customWidth="1"/>
    <col min="4" max="4" width="9.5546875" customWidth="1"/>
    <col min="5" max="5" width="10.21875" customWidth="1"/>
    <col min="6" max="6" width="10.5546875" customWidth="1"/>
    <col min="7" max="7" width="17.21875" customWidth="1"/>
    <col min="8" max="8" width="13.88671875" customWidth="1"/>
    <col min="9" max="9" width="12.6640625" customWidth="1"/>
    <col min="10" max="10" width="13.88671875" customWidth="1"/>
    <col min="11" max="11" width="15.21875" customWidth="1"/>
    <col min="12" max="12" width="12.88671875" customWidth="1"/>
    <col min="13" max="13" width="10.44140625" customWidth="1"/>
    <col min="14" max="15" width="12.88671875" customWidth="1"/>
    <col min="17" max="17" width="17.21875" style="19" customWidth="1"/>
    <col min="18" max="18" width="12.44140625" style="26" customWidth="1"/>
  </cols>
  <sheetData>
    <row r="1" spans="1:18">
      <c r="A1" s="11" t="s">
        <v>0</v>
      </c>
      <c r="B1" s="12" t="s">
        <v>1</v>
      </c>
      <c r="C1" s="11" t="s">
        <v>2</v>
      </c>
      <c r="D1" s="11" t="s">
        <v>3</v>
      </c>
      <c r="E1" s="11" t="s">
        <v>4</v>
      </c>
      <c r="F1" s="11" t="s">
        <v>5</v>
      </c>
      <c r="G1" s="11" t="s">
        <v>7</v>
      </c>
      <c r="H1" s="11" t="s">
        <v>8</v>
      </c>
      <c r="I1" s="11" t="s">
        <v>10</v>
      </c>
      <c r="J1" s="11" t="s">
        <v>11</v>
      </c>
      <c r="K1" s="11" t="s">
        <v>12</v>
      </c>
      <c r="L1" s="11" t="s">
        <v>13</v>
      </c>
      <c r="M1" s="11" t="s">
        <v>4301</v>
      </c>
      <c r="N1" s="11" t="s">
        <v>4308</v>
      </c>
      <c r="O1" s="11" t="s">
        <v>4303</v>
      </c>
      <c r="P1" s="11" t="s">
        <v>4323</v>
      </c>
      <c r="Q1" s="18" t="s">
        <v>14</v>
      </c>
      <c r="R1" s="25" t="s">
        <v>4361</v>
      </c>
    </row>
    <row r="2" spans="1:18">
      <c r="A2" t="s">
        <v>20</v>
      </c>
      <c r="B2" s="10">
        <v>44930</v>
      </c>
      <c r="C2" t="s">
        <v>21</v>
      </c>
      <c r="D2" t="s">
        <v>22</v>
      </c>
      <c r="E2">
        <v>5</v>
      </c>
      <c r="F2" s="4">
        <v>570.62</v>
      </c>
      <c r="G2" t="s">
        <v>24</v>
      </c>
      <c r="H2" t="s">
        <v>25</v>
      </c>
      <c r="I2">
        <v>7</v>
      </c>
      <c r="J2" t="s">
        <v>27</v>
      </c>
      <c r="K2" t="s">
        <v>28</v>
      </c>
      <c r="L2" s="4">
        <v>2853.1</v>
      </c>
      <c r="M2" t="str">
        <f>VLOOKUP(D2,tblProduct[],2,FALSE)</f>
        <v>Electronics</v>
      </c>
      <c r="N2" t="str">
        <f>VLOOKUP(D2,tblProduct[],3,FALSE)</f>
        <v>Medium</v>
      </c>
      <c r="O2">
        <f>VLOOKUP(D2,tblProduct[],4,FALSE)</f>
        <v>90000</v>
      </c>
      <c r="P2">
        <v>2853.1</v>
      </c>
      <c r="Q2" s="19" t="str">
        <f t="shared" ref="Q2:Q65" si="0">TEXT(B2,"mmm-yyyy")</f>
        <v>Jan-2023</v>
      </c>
      <c r="R2" s="26">
        <f>DATE(YEAR(tblEnriched[[#This Row],[Date]]),MONTH(tblEnriched[[#This Row],[Date]]),1)</f>
        <v>44927</v>
      </c>
    </row>
    <row r="3" spans="1:18">
      <c r="A3" t="s">
        <v>29</v>
      </c>
      <c r="B3" s="10">
        <v>45527</v>
      </c>
      <c r="C3" t="s">
        <v>30</v>
      </c>
      <c r="D3" t="s">
        <v>31</v>
      </c>
      <c r="E3">
        <v>2</v>
      </c>
      <c r="F3" s="4">
        <v>151.35</v>
      </c>
      <c r="G3" t="s">
        <v>33</v>
      </c>
      <c r="H3" t="s">
        <v>25</v>
      </c>
      <c r="I3">
        <v>3</v>
      </c>
      <c r="J3" t="s">
        <v>27</v>
      </c>
      <c r="K3" t="s">
        <v>35</v>
      </c>
      <c r="L3" s="4">
        <v>302.7</v>
      </c>
      <c r="M3" t="str">
        <f>VLOOKUP(D3,tblProduct[],2,FALSE)</f>
        <v>Electronics</v>
      </c>
      <c r="N3" t="str">
        <f>VLOOKUP(D3,tblProduct[],3,FALSE)</f>
        <v>High</v>
      </c>
      <c r="O3">
        <f>VLOOKUP(D3,tblProduct[],4,FALSE)</f>
        <v>120000</v>
      </c>
      <c r="P3">
        <v>302.7</v>
      </c>
      <c r="Q3" s="19" t="str">
        <f t="shared" si="0"/>
        <v>Aug-2024</v>
      </c>
      <c r="R3" s="26">
        <f>DATE(YEAR(tblEnriched[[#This Row],[Date]]),MONTH(tblEnriched[[#This Row],[Date]]),1)</f>
        <v>45505</v>
      </c>
    </row>
    <row r="4" spans="1:18">
      <c r="A4" t="s">
        <v>36</v>
      </c>
      <c r="B4" s="10">
        <v>45349</v>
      </c>
      <c r="C4" t="s">
        <v>37</v>
      </c>
      <c r="D4" t="s">
        <v>38</v>
      </c>
      <c r="E4">
        <v>5</v>
      </c>
      <c r="F4" s="4">
        <v>550.67999999999995</v>
      </c>
      <c r="G4" t="s">
        <v>40</v>
      </c>
      <c r="H4" t="s">
        <v>41</v>
      </c>
      <c r="I4">
        <v>8</v>
      </c>
      <c r="J4" t="s">
        <v>43</v>
      </c>
      <c r="K4" t="s">
        <v>44</v>
      </c>
      <c r="L4" s="4">
        <v>2753.4</v>
      </c>
      <c r="M4" t="str">
        <f>VLOOKUP(D4,tblProduct[],2,FALSE)</f>
        <v>Electronics</v>
      </c>
      <c r="N4" t="str">
        <f>VLOOKUP(D4,tblProduct[],3,FALSE)</f>
        <v>Medium</v>
      </c>
      <c r="O4">
        <f>VLOOKUP(D4,tblProduct[],4,FALSE)</f>
        <v>100000</v>
      </c>
      <c r="P4">
        <v>2753.4</v>
      </c>
      <c r="Q4" s="19" t="str">
        <f t="shared" si="0"/>
        <v>Feb-2024</v>
      </c>
      <c r="R4" s="26">
        <f>DATE(YEAR(tblEnriched[[#This Row],[Date]]),MONTH(tblEnriched[[#This Row],[Date]]),1)</f>
        <v>45323</v>
      </c>
    </row>
    <row r="5" spans="1:18">
      <c r="A5" t="s">
        <v>45</v>
      </c>
      <c r="B5" s="10">
        <v>45214</v>
      </c>
      <c r="C5" t="s">
        <v>46</v>
      </c>
      <c r="D5" t="s">
        <v>47</v>
      </c>
      <c r="E5">
        <v>1</v>
      </c>
      <c r="F5" s="4">
        <v>273.19</v>
      </c>
      <c r="G5" t="s">
        <v>24</v>
      </c>
      <c r="H5" t="s">
        <v>49</v>
      </c>
      <c r="I5">
        <v>5</v>
      </c>
      <c r="J5" t="s">
        <v>27</v>
      </c>
      <c r="K5" t="s">
        <v>51</v>
      </c>
      <c r="L5" s="4">
        <v>273.19</v>
      </c>
      <c r="M5" t="str">
        <f>VLOOKUP(D5,tblProduct[],2,FALSE)</f>
        <v>Furniture</v>
      </c>
      <c r="N5" t="str">
        <f>VLOOKUP(D5,tblProduct[],3,FALSE)</f>
        <v>Medium</v>
      </c>
      <c r="O5">
        <f>VLOOKUP(D5,tblProduct[],4,FALSE)</f>
        <v>70000</v>
      </c>
      <c r="P5">
        <v>273.19</v>
      </c>
      <c r="Q5" s="19" t="str">
        <f t="shared" si="0"/>
        <v>Oct-2023</v>
      </c>
      <c r="R5" s="26">
        <f>DATE(YEAR(tblEnriched[[#This Row],[Date]]),MONTH(tblEnriched[[#This Row],[Date]]),1)</f>
        <v>45200</v>
      </c>
    </row>
    <row r="6" spans="1:18">
      <c r="A6" t="s">
        <v>52</v>
      </c>
      <c r="B6" s="10">
        <v>45785</v>
      </c>
      <c r="C6" t="s">
        <v>53</v>
      </c>
      <c r="D6" t="s">
        <v>54</v>
      </c>
      <c r="E6">
        <v>4</v>
      </c>
      <c r="F6" s="4">
        <v>626.01</v>
      </c>
      <c r="G6" t="s">
        <v>33</v>
      </c>
      <c r="H6" t="s">
        <v>56</v>
      </c>
      <c r="I6">
        <v>8</v>
      </c>
      <c r="J6" t="s">
        <v>27</v>
      </c>
      <c r="K6" t="s">
        <v>44</v>
      </c>
      <c r="L6" s="4">
        <v>2504.04</v>
      </c>
      <c r="M6" t="str">
        <f>VLOOKUP(D6,tblProduct[],2,FALSE)</f>
        <v>Electronics</v>
      </c>
      <c r="N6" t="str">
        <f>VLOOKUP(D6,tblProduct[],3,FALSE)</f>
        <v>Medium</v>
      </c>
      <c r="O6">
        <f>VLOOKUP(D6,tblProduct[],4,FALSE)</f>
        <v>80000</v>
      </c>
      <c r="P6">
        <v>2504.04</v>
      </c>
      <c r="Q6" s="19" t="str">
        <f t="shared" si="0"/>
        <v>May-2025</v>
      </c>
      <c r="R6" s="26">
        <f>DATE(YEAR(tblEnriched[[#This Row],[Date]]),MONTH(tblEnriched[[#This Row],[Date]]),1)</f>
        <v>45778</v>
      </c>
    </row>
    <row r="7" spans="1:18">
      <c r="A7" t="s">
        <v>58</v>
      </c>
      <c r="B7" s="10">
        <v>45222</v>
      </c>
      <c r="C7" t="s">
        <v>59</v>
      </c>
      <c r="D7" t="s">
        <v>31</v>
      </c>
      <c r="E7">
        <v>2</v>
      </c>
      <c r="F7" s="4">
        <v>245.86</v>
      </c>
      <c r="G7" t="s">
        <v>40</v>
      </c>
      <c r="H7" t="s">
        <v>25</v>
      </c>
      <c r="I7">
        <v>4</v>
      </c>
      <c r="J7" t="s">
        <v>27</v>
      </c>
      <c r="K7" t="s">
        <v>28</v>
      </c>
      <c r="L7" s="4">
        <v>491.72</v>
      </c>
      <c r="M7" t="str">
        <f>VLOOKUP(D7,tblProduct[],2,FALSE)</f>
        <v>Electronics</v>
      </c>
      <c r="N7" t="str">
        <f>VLOOKUP(D7,tblProduct[],3,FALSE)</f>
        <v>High</v>
      </c>
      <c r="O7">
        <f>VLOOKUP(D7,tblProduct[],4,FALSE)</f>
        <v>120000</v>
      </c>
      <c r="P7">
        <v>491.72</v>
      </c>
      <c r="Q7" s="19" t="str">
        <f t="shared" si="0"/>
        <v>Oct-2023</v>
      </c>
      <c r="R7" s="26">
        <f>DATE(YEAR(tblEnriched[[#This Row],[Date]]),MONTH(tblEnriched[[#This Row],[Date]]),1)</f>
        <v>45200</v>
      </c>
    </row>
    <row r="8" spans="1:18">
      <c r="A8" t="s">
        <v>62</v>
      </c>
      <c r="B8" s="10">
        <v>45825</v>
      </c>
      <c r="C8" t="s">
        <v>63</v>
      </c>
      <c r="D8" t="s">
        <v>64</v>
      </c>
      <c r="E8">
        <v>1</v>
      </c>
      <c r="F8" s="4">
        <v>664.42</v>
      </c>
      <c r="G8" t="s">
        <v>66</v>
      </c>
      <c r="H8" t="s">
        <v>49</v>
      </c>
      <c r="I8">
        <v>6</v>
      </c>
      <c r="J8" t="s">
        <v>27</v>
      </c>
      <c r="K8" t="s">
        <v>51</v>
      </c>
      <c r="L8" s="4">
        <v>664.42</v>
      </c>
      <c r="M8" t="str">
        <f>VLOOKUP(D8,tblProduct[],2,FALSE)</f>
        <v>Electronics</v>
      </c>
      <c r="N8" t="str">
        <f>VLOOKUP(D8,tblProduct[],3,FALSE)</f>
        <v>High</v>
      </c>
      <c r="O8">
        <f>VLOOKUP(D8,tblProduct[],4,FALSE)</f>
        <v>150000</v>
      </c>
      <c r="P8">
        <v>664.42</v>
      </c>
      <c r="Q8" s="19" t="str">
        <f t="shared" si="0"/>
        <v>Jun-2025</v>
      </c>
      <c r="R8" s="26">
        <f>DATE(YEAR(tblEnriched[[#This Row],[Date]]),MONTH(tblEnriched[[#This Row],[Date]]),1)</f>
        <v>45809</v>
      </c>
    </row>
    <row r="9" spans="1:18">
      <c r="A9" t="s">
        <v>68</v>
      </c>
      <c r="B9" s="10">
        <v>45058</v>
      </c>
      <c r="C9" t="s">
        <v>69</v>
      </c>
      <c r="D9" t="s">
        <v>22</v>
      </c>
      <c r="E9">
        <v>5</v>
      </c>
      <c r="F9" s="4">
        <v>149.55000000000001</v>
      </c>
      <c r="G9" t="s">
        <v>71</v>
      </c>
      <c r="H9" t="s">
        <v>25</v>
      </c>
      <c r="I9">
        <v>9</v>
      </c>
      <c r="J9" t="s">
        <v>43</v>
      </c>
      <c r="K9" t="s">
        <v>51</v>
      </c>
      <c r="L9" s="4">
        <v>747.75</v>
      </c>
      <c r="M9" t="str">
        <f>VLOOKUP(D9,tblProduct[],2,FALSE)</f>
        <v>Electronics</v>
      </c>
      <c r="N9" t="str">
        <f>VLOOKUP(D9,tblProduct[],3,FALSE)</f>
        <v>Medium</v>
      </c>
      <c r="O9">
        <f>VLOOKUP(D9,tblProduct[],4,FALSE)</f>
        <v>90000</v>
      </c>
      <c r="P9">
        <v>747.75</v>
      </c>
      <c r="Q9" s="19" t="str">
        <f t="shared" si="0"/>
        <v>May-2023</v>
      </c>
      <c r="R9" s="26">
        <f>DATE(YEAR(tblEnriched[[#This Row],[Date]]),MONTH(tblEnriched[[#This Row],[Date]]),1)</f>
        <v>45047</v>
      </c>
    </row>
    <row r="10" spans="1:18">
      <c r="A10" t="s">
        <v>73</v>
      </c>
      <c r="B10" s="10">
        <v>45749</v>
      </c>
      <c r="C10" t="s">
        <v>74</v>
      </c>
      <c r="D10" t="s">
        <v>31</v>
      </c>
      <c r="E10">
        <v>2</v>
      </c>
      <c r="F10" s="4">
        <v>134.28</v>
      </c>
      <c r="G10" t="s">
        <v>66</v>
      </c>
      <c r="H10" t="s">
        <v>41</v>
      </c>
      <c r="I10">
        <v>2</v>
      </c>
      <c r="K10" t="s">
        <v>44</v>
      </c>
      <c r="L10" s="4">
        <v>268.56</v>
      </c>
      <c r="M10" t="str">
        <f>VLOOKUP(D10,tblProduct[],2,FALSE)</f>
        <v>Electronics</v>
      </c>
      <c r="N10" t="str">
        <f>VLOOKUP(D10,tblProduct[],3,FALSE)</f>
        <v>High</v>
      </c>
      <c r="O10">
        <f>VLOOKUP(D10,tblProduct[],4,FALSE)</f>
        <v>120000</v>
      </c>
      <c r="P10">
        <v>268.56</v>
      </c>
      <c r="Q10" s="19" t="str">
        <f t="shared" si="0"/>
        <v>Apr-2025</v>
      </c>
      <c r="R10" s="26">
        <f>DATE(YEAR(tblEnriched[[#This Row],[Date]]),MONTH(tblEnriched[[#This Row],[Date]]),1)</f>
        <v>45748</v>
      </c>
    </row>
    <row r="11" spans="1:18">
      <c r="A11" t="s">
        <v>77</v>
      </c>
      <c r="B11" s="10">
        <v>45251</v>
      </c>
      <c r="C11" t="s">
        <v>78</v>
      </c>
      <c r="D11" t="s">
        <v>79</v>
      </c>
      <c r="E11">
        <v>4</v>
      </c>
      <c r="F11" s="4">
        <v>509.38</v>
      </c>
      <c r="G11" t="s">
        <v>40</v>
      </c>
      <c r="H11" t="s">
        <v>25</v>
      </c>
      <c r="I11">
        <v>6</v>
      </c>
      <c r="J11" t="s">
        <v>27</v>
      </c>
      <c r="K11" t="s">
        <v>82</v>
      </c>
      <c r="L11" s="4">
        <v>2037.52</v>
      </c>
      <c r="M11" t="str">
        <f>VLOOKUP(D11,tblProduct[],2,FALSE)</f>
        <v>Furniture</v>
      </c>
      <c r="N11" t="str">
        <f>VLOOKUP(D11,tblProduct[],3,FALSE)</f>
        <v>High</v>
      </c>
      <c r="O11">
        <f>VLOOKUP(D11,tblProduct[],4,FALSE)</f>
        <v>75000</v>
      </c>
      <c r="P11">
        <v>2037.52</v>
      </c>
      <c r="Q11" s="19" t="str">
        <f t="shared" si="0"/>
        <v>Nov-2023</v>
      </c>
      <c r="R11" s="26">
        <f>DATE(YEAR(tblEnriched[[#This Row],[Date]]),MONTH(tblEnriched[[#This Row],[Date]]),1)</f>
        <v>45231</v>
      </c>
    </row>
    <row r="12" spans="1:18">
      <c r="A12" t="s">
        <v>83</v>
      </c>
      <c r="B12" s="10">
        <v>45289</v>
      </c>
      <c r="C12" t="s">
        <v>84</v>
      </c>
      <c r="D12" t="s">
        <v>38</v>
      </c>
      <c r="E12">
        <v>5</v>
      </c>
      <c r="F12" s="4">
        <v>625.97</v>
      </c>
      <c r="G12" t="s">
        <v>40</v>
      </c>
      <c r="H12" t="s">
        <v>49</v>
      </c>
      <c r="I12">
        <v>9</v>
      </c>
      <c r="J12" t="s">
        <v>87</v>
      </c>
      <c r="K12" t="s">
        <v>28</v>
      </c>
      <c r="L12" s="4">
        <v>3129.85</v>
      </c>
      <c r="M12" t="str">
        <f>VLOOKUP(D12,tblProduct[],2,FALSE)</f>
        <v>Electronics</v>
      </c>
      <c r="N12" t="str">
        <f>VLOOKUP(D12,tblProduct[],3,FALSE)</f>
        <v>Medium</v>
      </c>
      <c r="O12">
        <f>VLOOKUP(D12,tblProduct[],4,FALSE)</f>
        <v>100000</v>
      </c>
      <c r="P12">
        <v>3129.85</v>
      </c>
      <c r="Q12" s="19" t="str">
        <f t="shared" si="0"/>
        <v>Dec-2023</v>
      </c>
      <c r="R12" s="26">
        <f>DATE(YEAR(tblEnriched[[#This Row],[Date]]),MONTH(tblEnriched[[#This Row],[Date]]),1)</f>
        <v>45261</v>
      </c>
    </row>
    <row r="13" spans="1:18">
      <c r="A13" t="s">
        <v>88</v>
      </c>
      <c r="B13" s="10">
        <v>45339</v>
      </c>
      <c r="C13" t="s">
        <v>89</v>
      </c>
      <c r="D13" t="s">
        <v>22</v>
      </c>
      <c r="E13">
        <v>3</v>
      </c>
      <c r="F13" s="4">
        <v>49.14</v>
      </c>
      <c r="G13" t="s">
        <v>33</v>
      </c>
      <c r="H13" t="s">
        <v>49</v>
      </c>
      <c r="I13">
        <v>7</v>
      </c>
      <c r="J13" t="s">
        <v>27</v>
      </c>
      <c r="K13" t="s">
        <v>44</v>
      </c>
      <c r="L13" s="4">
        <v>147.41999999999999</v>
      </c>
      <c r="M13" t="str">
        <f>VLOOKUP(D13,tblProduct[],2,FALSE)</f>
        <v>Electronics</v>
      </c>
      <c r="N13" t="str">
        <f>VLOOKUP(D13,tblProduct[],3,FALSE)</f>
        <v>Medium</v>
      </c>
      <c r="O13">
        <f>VLOOKUP(D13,tblProduct[],4,FALSE)</f>
        <v>90000</v>
      </c>
      <c r="P13">
        <v>147.41999999999999</v>
      </c>
      <c r="Q13" s="19" t="str">
        <f t="shared" si="0"/>
        <v>Feb-2024</v>
      </c>
      <c r="R13" s="26">
        <f>DATE(YEAR(tblEnriched[[#This Row],[Date]]),MONTH(tblEnriched[[#This Row],[Date]]),1)</f>
        <v>45323</v>
      </c>
    </row>
    <row r="14" spans="1:18">
      <c r="A14" t="s">
        <v>92</v>
      </c>
      <c r="B14" s="10">
        <v>45580</v>
      </c>
      <c r="C14" t="s">
        <v>93</v>
      </c>
      <c r="D14" t="s">
        <v>22</v>
      </c>
      <c r="E14">
        <v>2</v>
      </c>
      <c r="F14" s="4">
        <v>180.5</v>
      </c>
      <c r="G14" t="s">
        <v>24</v>
      </c>
      <c r="H14" t="s">
        <v>95</v>
      </c>
      <c r="I14">
        <v>6</v>
      </c>
      <c r="J14" t="s">
        <v>43</v>
      </c>
      <c r="K14" t="s">
        <v>35</v>
      </c>
      <c r="L14" s="4">
        <v>361</v>
      </c>
      <c r="M14" t="str">
        <f>VLOOKUP(D14,tblProduct[],2,FALSE)</f>
        <v>Electronics</v>
      </c>
      <c r="N14" t="str">
        <f>VLOOKUP(D14,tblProduct[],3,FALSE)</f>
        <v>Medium</v>
      </c>
      <c r="O14">
        <f>VLOOKUP(D14,tblProduct[],4,FALSE)</f>
        <v>90000</v>
      </c>
      <c r="P14">
        <v>361</v>
      </c>
      <c r="Q14" s="19" t="str">
        <f t="shared" si="0"/>
        <v>Oct-2024</v>
      </c>
      <c r="R14" s="26">
        <f>DATE(YEAR(tblEnriched[[#This Row],[Date]]),MONTH(tblEnriched[[#This Row],[Date]]),1)</f>
        <v>45566</v>
      </c>
    </row>
    <row r="15" spans="1:18">
      <c r="A15" t="s">
        <v>97</v>
      </c>
      <c r="B15" s="10">
        <v>45168</v>
      </c>
      <c r="C15" t="s">
        <v>98</v>
      </c>
      <c r="D15" t="s">
        <v>64</v>
      </c>
      <c r="E15">
        <v>3</v>
      </c>
      <c r="F15" s="4">
        <v>201.49</v>
      </c>
      <c r="G15" t="s">
        <v>40</v>
      </c>
      <c r="H15" t="s">
        <v>49</v>
      </c>
      <c r="I15">
        <v>4</v>
      </c>
      <c r="J15" t="s">
        <v>43</v>
      </c>
      <c r="K15" t="s">
        <v>51</v>
      </c>
      <c r="L15" s="4">
        <v>604.47</v>
      </c>
      <c r="M15" t="str">
        <f>VLOOKUP(D15,tblProduct[],2,FALSE)</f>
        <v>Electronics</v>
      </c>
      <c r="N15" t="str">
        <f>VLOOKUP(D15,tblProduct[],3,FALSE)</f>
        <v>High</v>
      </c>
      <c r="O15">
        <f>VLOOKUP(D15,tblProduct[],4,FALSE)</f>
        <v>150000</v>
      </c>
      <c r="P15">
        <v>604.47</v>
      </c>
      <c r="Q15" s="19" t="str">
        <f t="shared" si="0"/>
        <v>Aug-2023</v>
      </c>
      <c r="R15" s="26">
        <f>DATE(YEAR(tblEnriched[[#This Row],[Date]]),MONTH(tblEnriched[[#This Row],[Date]]),1)</f>
        <v>45139</v>
      </c>
    </row>
    <row r="16" spans="1:18">
      <c r="A16" t="s">
        <v>101</v>
      </c>
      <c r="B16" s="10">
        <v>45012</v>
      </c>
      <c r="C16" t="s">
        <v>102</v>
      </c>
      <c r="D16" t="s">
        <v>38</v>
      </c>
      <c r="E16">
        <v>2</v>
      </c>
      <c r="F16" s="4">
        <v>393.33</v>
      </c>
      <c r="G16" t="s">
        <v>24</v>
      </c>
      <c r="H16" t="s">
        <v>95</v>
      </c>
      <c r="I16">
        <v>3</v>
      </c>
      <c r="J16" t="s">
        <v>27</v>
      </c>
      <c r="K16" t="s">
        <v>28</v>
      </c>
      <c r="L16" s="4">
        <v>786.66</v>
      </c>
      <c r="M16" t="str">
        <f>VLOOKUP(D16,tblProduct[],2,FALSE)</f>
        <v>Electronics</v>
      </c>
      <c r="N16" t="str">
        <f>VLOOKUP(D16,tblProduct[],3,FALSE)</f>
        <v>Medium</v>
      </c>
      <c r="O16">
        <f>VLOOKUP(D16,tblProduct[],4,FALSE)</f>
        <v>100000</v>
      </c>
      <c r="P16">
        <v>786.66</v>
      </c>
      <c r="Q16" s="19" t="str">
        <f t="shared" si="0"/>
        <v>Mar-2023</v>
      </c>
      <c r="R16" s="26">
        <f>DATE(YEAR(tblEnriched[[#This Row],[Date]]),MONTH(tblEnriched[[#This Row],[Date]]),1)</f>
        <v>44986</v>
      </c>
    </row>
    <row r="17" spans="1:18">
      <c r="A17" t="s">
        <v>105</v>
      </c>
      <c r="B17" s="10">
        <v>45124</v>
      </c>
      <c r="C17" t="s">
        <v>106</v>
      </c>
      <c r="D17" t="s">
        <v>54</v>
      </c>
      <c r="E17">
        <v>1</v>
      </c>
      <c r="F17" s="4">
        <v>473.96</v>
      </c>
      <c r="G17" t="s">
        <v>71</v>
      </c>
      <c r="H17" t="s">
        <v>56</v>
      </c>
      <c r="I17">
        <v>3</v>
      </c>
      <c r="K17" t="s">
        <v>82</v>
      </c>
      <c r="L17" s="4">
        <v>473.96</v>
      </c>
      <c r="M17" t="str">
        <f>VLOOKUP(D17,tblProduct[],2,FALSE)</f>
        <v>Electronics</v>
      </c>
      <c r="N17" t="str">
        <f>VLOOKUP(D17,tblProduct[],3,FALSE)</f>
        <v>Medium</v>
      </c>
      <c r="O17">
        <f>VLOOKUP(D17,tblProduct[],4,FALSE)</f>
        <v>80000</v>
      </c>
      <c r="P17">
        <v>473.96</v>
      </c>
      <c r="Q17" s="19" t="str">
        <f t="shared" si="0"/>
        <v>Jul-2023</v>
      </c>
      <c r="R17" s="26">
        <f>DATE(YEAR(tblEnriched[[#This Row],[Date]]),MONTH(tblEnriched[[#This Row],[Date]]),1)</f>
        <v>45108</v>
      </c>
    </row>
    <row r="18" spans="1:18">
      <c r="A18" t="s">
        <v>109</v>
      </c>
      <c r="B18" s="10">
        <v>44950</v>
      </c>
      <c r="C18" t="s">
        <v>110</v>
      </c>
      <c r="D18" t="s">
        <v>54</v>
      </c>
      <c r="E18">
        <v>2</v>
      </c>
      <c r="F18" s="4">
        <v>533.80999999999995</v>
      </c>
      <c r="G18" t="s">
        <v>40</v>
      </c>
      <c r="H18" t="s">
        <v>95</v>
      </c>
      <c r="I18">
        <v>3</v>
      </c>
      <c r="J18" t="s">
        <v>43</v>
      </c>
      <c r="K18" t="s">
        <v>44</v>
      </c>
      <c r="L18" s="4">
        <v>1067.6199999999999</v>
      </c>
      <c r="M18" t="str">
        <f>VLOOKUP(D18,tblProduct[],2,FALSE)</f>
        <v>Electronics</v>
      </c>
      <c r="N18" t="str">
        <f>VLOOKUP(D18,tblProduct[],3,FALSE)</f>
        <v>Medium</v>
      </c>
      <c r="O18">
        <f>VLOOKUP(D18,tblProduct[],4,FALSE)</f>
        <v>80000</v>
      </c>
      <c r="P18">
        <v>1067.6199999999999</v>
      </c>
      <c r="Q18" s="19" t="str">
        <f t="shared" si="0"/>
        <v>Jan-2023</v>
      </c>
      <c r="R18" s="26">
        <f>DATE(YEAR(tblEnriched[[#This Row],[Date]]),MONTH(tblEnriched[[#This Row],[Date]]),1)</f>
        <v>44927</v>
      </c>
    </row>
    <row r="19" spans="1:18">
      <c r="A19" t="s">
        <v>113</v>
      </c>
      <c r="B19" s="10">
        <v>45353</v>
      </c>
      <c r="C19" t="s">
        <v>114</v>
      </c>
      <c r="D19" t="s">
        <v>38</v>
      </c>
      <c r="E19">
        <v>1</v>
      </c>
      <c r="F19" s="4">
        <v>423.4</v>
      </c>
      <c r="G19" t="s">
        <v>24</v>
      </c>
      <c r="H19" t="s">
        <v>25</v>
      </c>
      <c r="I19">
        <v>3</v>
      </c>
      <c r="K19" t="s">
        <v>35</v>
      </c>
      <c r="L19" s="4">
        <v>423.4</v>
      </c>
      <c r="M19" t="str">
        <f>VLOOKUP(D19,tblProduct[],2,FALSE)</f>
        <v>Electronics</v>
      </c>
      <c r="N19" t="str">
        <f>VLOOKUP(D19,tblProduct[],3,FALSE)</f>
        <v>Medium</v>
      </c>
      <c r="O19">
        <f>VLOOKUP(D19,tblProduct[],4,FALSE)</f>
        <v>100000</v>
      </c>
      <c r="P19">
        <v>423.4</v>
      </c>
      <c r="Q19" s="19" t="str">
        <f t="shared" si="0"/>
        <v>Mar-2024</v>
      </c>
      <c r="R19" s="26">
        <f>DATE(YEAR(tblEnriched[[#This Row],[Date]]),MONTH(tblEnriched[[#This Row],[Date]]),1)</f>
        <v>45352</v>
      </c>
    </row>
    <row r="20" spans="1:18">
      <c r="A20" t="s">
        <v>117</v>
      </c>
      <c r="B20" s="10">
        <v>45742</v>
      </c>
      <c r="C20" t="s">
        <v>118</v>
      </c>
      <c r="D20" t="s">
        <v>79</v>
      </c>
      <c r="E20">
        <v>1</v>
      </c>
      <c r="F20" s="4">
        <v>431.44</v>
      </c>
      <c r="G20" t="s">
        <v>66</v>
      </c>
      <c r="H20" t="s">
        <v>95</v>
      </c>
      <c r="I20">
        <v>3</v>
      </c>
      <c r="J20" t="s">
        <v>27</v>
      </c>
      <c r="K20" t="s">
        <v>51</v>
      </c>
      <c r="L20" s="4">
        <v>431.44</v>
      </c>
      <c r="M20" t="str">
        <f>VLOOKUP(D20,tblProduct[],2,FALSE)</f>
        <v>Furniture</v>
      </c>
      <c r="N20" t="str">
        <f>VLOOKUP(D20,tblProduct[],3,FALSE)</f>
        <v>High</v>
      </c>
      <c r="O20">
        <f>VLOOKUP(D20,tblProduct[],4,FALSE)</f>
        <v>75000</v>
      </c>
      <c r="P20">
        <v>431.44</v>
      </c>
      <c r="Q20" s="19" t="str">
        <f t="shared" si="0"/>
        <v>Mar-2025</v>
      </c>
      <c r="R20" s="26">
        <f>DATE(YEAR(tblEnriched[[#This Row],[Date]]),MONTH(tblEnriched[[#This Row],[Date]]),1)</f>
        <v>45717</v>
      </c>
    </row>
    <row r="21" spans="1:18">
      <c r="A21" t="s">
        <v>121</v>
      </c>
      <c r="B21" s="10">
        <v>44949</v>
      </c>
      <c r="C21" t="s">
        <v>122</v>
      </c>
      <c r="D21" t="s">
        <v>22</v>
      </c>
      <c r="E21">
        <v>5</v>
      </c>
      <c r="F21" s="4">
        <v>224</v>
      </c>
      <c r="G21" t="s">
        <v>71</v>
      </c>
      <c r="H21" t="s">
        <v>49</v>
      </c>
      <c r="I21">
        <v>9</v>
      </c>
      <c r="J21" t="s">
        <v>27</v>
      </c>
      <c r="K21" t="s">
        <v>82</v>
      </c>
      <c r="L21" s="4">
        <v>1120</v>
      </c>
      <c r="M21" t="str">
        <f>VLOOKUP(D21,tblProduct[],2,FALSE)</f>
        <v>Electronics</v>
      </c>
      <c r="N21" t="str">
        <f>VLOOKUP(D21,tblProduct[],3,FALSE)</f>
        <v>Medium</v>
      </c>
      <c r="O21">
        <f>VLOOKUP(D21,tblProduct[],4,FALSE)</f>
        <v>90000</v>
      </c>
      <c r="P21">
        <v>1120</v>
      </c>
      <c r="Q21" s="19" t="str">
        <f t="shared" si="0"/>
        <v>Jan-2023</v>
      </c>
      <c r="R21" s="26">
        <f>DATE(YEAR(tblEnriched[[#This Row],[Date]]),MONTH(tblEnriched[[#This Row],[Date]]),1)</f>
        <v>44927</v>
      </c>
    </row>
    <row r="22" spans="1:18">
      <c r="A22" t="s">
        <v>125</v>
      </c>
      <c r="B22" s="10">
        <v>45054</v>
      </c>
      <c r="C22" t="s">
        <v>126</v>
      </c>
      <c r="D22" t="s">
        <v>47</v>
      </c>
      <c r="E22">
        <v>5</v>
      </c>
      <c r="F22" s="4">
        <v>62.51</v>
      </c>
      <c r="G22" t="s">
        <v>71</v>
      </c>
      <c r="H22" t="s">
        <v>95</v>
      </c>
      <c r="I22">
        <v>9</v>
      </c>
      <c r="J22" t="s">
        <v>87</v>
      </c>
      <c r="K22" t="s">
        <v>28</v>
      </c>
      <c r="L22" s="4">
        <v>312.55</v>
      </c>
      <c r="M22" t="str">
        <f>VLOOKUP(D22,tblProduct[],2,FALSE)</f>
        <v>Furniture</v>
      </c>
      <c r="N22" t="str">
        <f>VLOOKUP(D22,tblProduct[],3,FALSE)</f>
        <v>Medium</v>
      </c>
      <c r="O22">
        <f>VLOOKUP(D22,tblProduct[],4,FALSE)</f>
        <v>70000</v>
      </c>
      <c r="P22">
        <v>312.55</v>
      </c>
      <c r="Q22" s="19" t="str">
        <f t="shared" si="0"/>
        <v>May-2023</v>
      </c>
      <c r="R22" s="26">
        <f>DATE(YEAR(tblEnriched[[#This Row],[Date]]),MONTH(tblEnriched[[#This Row],[Date]]),1)</f>
        <v>45047</v>
      </c>
    </row>
    <row r="23" spans="1:18">
      <c r="A23" t="s">
        <v>129</v>
      </c>
      <c r="B23" s="10">
        <v>45613</v>
      </c>
      <c r="C23" t="s">
        <v>130</v>
      </c>
      <c r="D23" t="s">
        <v>22</v>
      </c>
      <c r="E23">
        <v>4</v>
      </c>
      <c r="F23" s="4">
        <v>342.95</v>
      </c>
      <c r="G23" t="s">
        <v>71</v>
      </c>
      <c r="H23" t="s">
        <v>56</v>
      </c>
      <c r="I23">
        <v>6</v>
      </c>
      <c r="K23" t="s">
        <v>82</v>
      </c>
      <c r="L23" s="4">
        <v>1371.8</v>
      </c>
      <c r="M23" t="str">
        <f>VLOOKUP(D23,tblProduct[],2,FALSE)</f>
        <v>Electronics</v>
      </c>
      <c r="N23" t="str">
        <f>VLOOKUP(D23,tblProduct[],3,FALSE)</f>
        <v>Medium</v>
      </c>
      <c r="O23">
        <f>VLOOKUP(D23,tblProduct[],4,FALSE)</f>
        <v>90000</v>
      </c>
      <c r="P23">
        <v>1371.8</v>
      </c>
      <c r="Q23" s="19" t="str">
        <f t="shared" si="0"/>
        <v>Nov-2024</v>
      </c>
      <c r="R23" s="26">
        <f>DATE(YEAR(tblEnriched[[#This Row],[Date]]),MONTH(tblEnriched[[#This Row],[Date]]),1)</f>
        <v>45597</v>
      </c>
    </row>
    <row r="24" spans="1:18">
      <c r="A24" t="s">
        <v>133</v>
      </c>
      <c r="B24" s="10">
        <v>44955</v>
      </c>
      <c r="C24" t="s">
        <v>134</v>
      </c>
      <c r="D24" t="s">
        <v>22</v>
      </c>
      <c r="E24">
        <v>2</v>
      </c>
      <c r="F24" s="4">
        <v>49.62</v>
      </c>
      <c r="G24" t="s">
        <v>33</v>
      </c>
      <c r="H24" t="s">
        <v>95</v>
      </c>
      <c r="I24">
        <v>2</v>
      </c>
      <c r="J24" t="s">
        <v>27</v>
      </c>
      <c r="K24" t="s">
        <v>82</v>
      </c>
      <c r="L24" s="4">
        <v>99.24</v>
      </c>
      <c r="M24" t="str">
        <f>VLOOKUP(D24,tblProduct[],2,FALSE)</f>
        <v>Electronics</v>
      </c>
      <c r="N24" t="str">
        <f>VLOOKUP(D24,tblProduct[],3,FALSE)</f>
        <v>Medium</v>
      </c>
      <c r="O24">
        <f>VLOOKUP(D24,tblProduct[],4,FALSE)</f>
        <v>90000</v>
      </c>
      <c r="P24">
        <v>99.24</v>
      </c>
      <c r="Q24" s="19" t="str">
        <f t="shared" si="0"/>
        <v>Jan-2023</v>
      </c>
      <c r="R24" s="26">
        <f>DATE(YEAR(tblEnriched[[#This Row],[Date]]),MONTH(tblEnriched[[#This Row],[Date]]),1)</f>
        <v>44927</v>
      </c>
    </row>
    <row r="25" spans="1:18">
      <c r="A25" t="s">
        <v>137</v>
      </c>
      <c r="B25" s="10">
        <v>45756</v>
      </c>
      <c r="C25" t="s">
        <v>138</v>
      </c>
      <c r="D25" t="s">
        <v>31</v>
      </c>
      <c r="E25">
        <v>4</v>
      </c>
      <c r="F25" s="4">
        <v>273.25</v>
      </c>
      <c r="G25" t="s">
        <v>24</v>
      </c>
      <c r="H25" t="s">
        <v>41</v>
      </c>
      <c r="I25">
        <v>5</v>
      </c>
      <c r="J25" t="s">
        <v>43</v>
      </c>
      <c r="K25" t="s">
        <v>35</v>
      </c>
      <c r="L25" s="4">
        <v>1093</v>
      </c>
      <c r="M25" t="str">
        <f>VLOOKUP(D25,tblProduct[],2,FALSE)</f>
        <v>Electronics</v>
      </c>
      <c r="N25" t="str">
        <f>VLOOKUP(D25,tblProduct[],3,FALSE)</f>
        <v>High</v>
      </c>
      <c r="O25">
        <f>VLOOKUP(D25,tblProduct[],4,FALSE)</f>
        <v>120000</v>
      </c>
      <c r="P25">
        <v>1093</v>
      </c>
      <c r="Q25" s="19" t="str">
        <f t="shared" si="0"/>
        <v>Apr-2025</v>
      </c>
      <c r="R25" s="26">
        <f>DATE(YEAR(tblEnriched[[#This Row],[Date]]),MONTH(tblEnriched[[#This Row],[Date]]),1)</f>
        <v>45748</v>
      </c>
    </row>
    <row r="26" spans="1:18">
      <c r="A26" t="s">
        <v>141</v>
      </c>
      <c r="B26" s="10">
        <v>45595</v>
      </c>
      <c r="C26" t="s">
        <v>142</v>
      </c>
      <c r="D26" t="s">
        <v>64</v>
      </c>
      <c r="E26">
        <v>2</v>
      </c>
      <c r="F26" s="4">
        <v>230.95</v>
      </c>
      <c r="G26" t="s">
        <v>33</v>
      </c>
      <c r="H26" t="s">
        <v>56</v>
      </c>
      <c r="I26">
        <v>3</v>
      </c>
      <c r="J26" t="s">
        <v>87</v>
      </c>
      <c r="K26" t="s">
        <v>35</v>
      </c>
      <c r="L26" s="4">
        <v>461.9</v>
      </c>
      <c r="M26" t="str">
        <f>VLOOKUP(D26,tblProduct[],2,FALSE)</f>
        <v>Electronics</v>
      </c>
      <c r="N26" t="str">
        <f>VLOOKUP(D26,tblProduct[],3,FALSE)</f>
        <v>High</v>
      </c>
      <c r="O26">
        <f>VLOOKUP(D26,tblProduct[],4,FALSE)</f>
        <v>150000</v>
      </c>
      <c r="P26">
        <v>461.9</v>
      </c>
      <c r="Q26" s="19" t="str">
        <f t="shared" si="0"/>
        <v>Oct-2024</v>
      </c>
      <c r="R26" s="26">
        <f>DATE(YEAR(tblEnriched[[#This Row],[Date]]),MONTH(tblEnriched[[#This Row],[Date]]),1)</f>
        <v>45566</v>
      </c>
    </row>
    <row r="27" spans="1:18">
      <c r="A27" t="s">
        <v>145</v>
      </c>
      <c r="B27" s="10">
        <v>45497</v>
      </c>
      <c r="C27" t="s">
        <v>146</v>
      </c>
      <c r="D27" t="s">
        <v>22</v>
      </c>
      <c r="E27">
        <v>1</v>
      </c>
      <c r="F27" s="4">
        <v>399.98</v>
      </c>
      <c r="G27" t="s">
        <v>24</v>
      </c>
      <c r="H27" t="s">
        <v>56</v>
      </c>
      <c r="I27">
        <v>3</v>
      </c>
      <c r="J27" t="s">
        <v>87</v>
      </c>
      <c r="K27" t="s">
        <v>44</v>
      </c>
      <c r="L27" s="4">
        <v>399.98</v>
      </c>
      <c r="M27" t="str">
        <f>VLOOKUP(D27,tblProduct[],2,FALSE)</f>
        <v>Electronics</v>
      </c>
      <c r="N27" t="str">
        <f>VLOOKUP(D27,tblProduct[],3,FALSE)</f>
        <v>Medium</v>
      </c>
      <c r="O27">
        <f>VLOOKUP(D27,tblProduct[],4,FALSE)</f>
        <v>90000</v>
      </c>
      <c r="P27">
        <v>399.98</v>
      </c>
      <c r="Q27" s="19" t="str">
        <f t="shared" si="0"/>
        <v>Jul-2024</v>
      </c>
      <c r="R27" s="26">
        <f>DATE(YEAR(tblEnriched[[#This Row],[Date]]),MONTH(tblEnriched[[#This Row],[Date]]),1)</f>
        <v>45474</v>
      </c>
    </row>
    <row r="28" spans="1:18">
      <c r="A28" t="s">
        <v>149</v>
      </c>
      <c r="B28" s="10">
        <v>45357</v>
      </c>
      <c r="C28" t="s">
        <v>150</v>
      </c>
      <c r="D28" t="s">
        <v>64</v>
      </c>
      <c r="E28">
        <v>5</v>
      </c>
      <c r="F28" s="4">
        <v>59.55</v>
      </c>
      <c r="G28" t="s">
        <v>33</v>
      </c>
      <c r="H28" t="s">
        <v>56</v>
      </c>
      <c r="I28">
        <v>6</v>
      </c>
      <c r="K28" t="s">
        <v>35</v>
      </c>
      <c r="L28" s="4">
        <v>297.75</v>
      </c>
      <c r="M28" t="str">
        <f>VLOOKUP(D28,tblProduct[],2,FALSE)</f>
        <v>Electronics</v>
      </c>
      <c r="N28" t="str">
        <f>VLOOKUP(D28,tblProduct[],3,FALSE)</f>
        <v>High</v>
      </c>
      <c r="O28">
        <f>VLOOKUP(D28,tblProduct[],4,FALSE)</f>
        <v>150000</v>
      </c>
      <c r="P28">
        <v>297.75</v>
      </c>
      <c r="Q28" s="19" t="str">
        <f t="shared" si="0"/>
        <v>Mar-2024</v>
      </c>
      <c r="R28" s="26">
        <f>DATE(YEAR(tblEnriched[[#This Row],[Date]]),MONTH(tblEnriched[[#This Row],[Date]]),1)</f>
        <v>45352</v>
      </c>
    </row>
    <row r="29" spans="1:18">
      <c r="A29" t="s">
        <v>153</v>
      </c>
      <c r="B29" s="10">
        <v>45344</v>
      </c>
      <c r="C29" t="s">
        <v>154</v>
      </c>
      <c r="D29" t="s">
        <v>54</v>
      </c>
      <c r="E29">
        <v>1</v>
      </c>
      <c r="F29" s="4">
        <v>472.74</v>
      </c>
      <c r="G29" t="s">
        <v>33</v>
      </c>
      <c r="H29" t="s">
        <v>25</v>
      </c>
      <c r="I29">
        <v>6</v>
      </c>
      <c r="J29" t="s">
        <v>87</v>
      </c>
      <c r="K29" t="s">
        <v>82</v>
      </c>
      <c r="L29" s="4">
        <v>472.74</v>
      </c>
      <c r="M29" t="str">
        <f>VLOOKUP(D29,tblProduct[],2,FALSE)</f>
        <v>Electronics</v>
      </c>
      <c r="N29" t="str">
        <f>VLOOKUP(D29,tblProduct[],3,FALSE)</f>
        <v>Medium</v>
      </c>
      <c r="O29">
        <f>VLOOKUP(D29,tblProduct[],4,FALSE)</f>
        <v>80000</v>
      </c>
      <c r="P29">
        <v>472.74</v>
      </c>
      <c r="Q29" s="19" t="str">
        <f t="shared" si="0"/>
        <v>Feb-2024</v>
      </c>
      <c r="R29" s="26">
        <f>DATE(YEAR(tblEnriched[[#This Row],[Date]]),MONTH(tblEnriched[[#This Row],[Date]]),1)</f>
        <v>45323</v>
      </c>
    </row>
    <row r="30" spans="1:18">
      <c r="A30" t="s">
        <v>157</v>
      </c>
      <c r="B30" s="10">
        <v>45251</v>
      </c>
      <c r="C30" t="s">
        <v>158</v>
      </c>
      <c r="D30" t="s">
        <v>31</v>
      </c>
      <c r="E30">
        <v>4</v>
      </c>
      <c r="F30" s="4">
        <v>160.07</v>
      </c>
      <c r="G30" t="s">
        <v>33</v>
      </c>
      <c r="H30" t="s">
        <v>95</v>
      </c>
      <c r="I30">
        <v>5</v>
      </c>
      <c r="K30" t="s">
        <v>44</v>
      </c>
      <c r="L30" s="4">
        <v>640.28</v>
      </c>
      <c r="M30" t="str">
        <f>VLOOKUP(D30,tblProduct[],2,FALSE)</f>
        <v>Electronics</v>
      </c>
      <c r="N30" t="str">
        <f>VLOOKUP(D30,tblProduct[],3,FALSE)</f>
        <v>High</v>
      </c>
      <c r="O30">
        <f>VLOOKUP(D30,tblProduct[],4,FALSE)</f>
        <v>120000</v>
      </c>
      <c r="P30">
        <v>640.28</v>
      </c>
      <c r="Q30" s="19" t="str">
        <f t="shared" si="0"/>
        <v>Nov-2023</v>
      </c>
      <c r="R30" s="26">
        <f>DATE(YEAR(tblEnriched[[#This Row],[Date]]),MONTH(tblEnriched[[#This Row],[Date]]),1)</f>
        <v>45231</v>
      </c>
    </row>
    <row r="31" spans="1:18">
      <c r="A31" t="s">
        <v>161</v>
      </c>
      <c r="B31" s="10">
        <v>45555</v>
      </c>
      <c r="C31" t="s">
        <v>162</v>
      </c>
      <c r="D31" t="s">
        <v>79</v>
      </c>
      <c r="E31">
        <v>3</v>
      </c>
      <c r="F31" s="4">
        <v>423.53</v>
      </c>
      <c r="G31" t="s">
        <v>40</v>
      </c>
      <c r="H31" t="s">
        <v>56</v>
      </c>
      <c r="I31">
        <v>6</v>
      </c>
      <c r="J31" t="s">
        <v>27</v>
      </c>
      <c r="K31" t="s">
        <v>35</v>
      </c>
      <c r="L31" s="4">
        <v>1270.5899999999999</v>
      </c>
      <c r="M31" t="str">
        <f>VLOOKUP(D31,tblProduct[],2,FALSE)</f>
        <v>Furniture</v>
      </c>
      <c r="N31" t="str">
        <f>VLOOKUP(D31,tblProduct[],3,FALSE)</f>
        <v>High</v>
      </c>
      <c r="O31">
        <f>VLOOKUP(D31,tblProduct[],4,FALSE)</f>
        <v>75000</v>
      </c>
      <c r="P31">
        <v>1270.5899999999999</v>
      </c>
      <c r="Q31" s="19" t="str">
        <f t="shared" si="0"/>
        <v>Sep-2024</v>
      </c>
      <c r="R31" s="26">
        <f>DATE(YEAR(tblEnriched[[#This Row],[Date]]),MONTH(tblEnriched[[#This Row],[Date]]),1)</f>
        <v>45536</v>
      </c>
    </row>
    <row r="32" spans="1:18">
      <c r="A32" t="s">
        <v>165</v>
      </c>
      <c r="B32" s="10">
        <v>45738</v>
      </c>
      <c r="C32" t="s">
        <v>166</v>
      </c>
      <c r="D32" t="s">
        <v>22</v>
      </c>
      <c r="E32">
        <v>2</v>
      </c>
      <c r="F32" s="4">
        <v>426.7</v>
      </c>
      <c r="G32" t="s">
        <v>33</v>
      </c>
      <c r="H32" t="s">
        <v>95</v>
      </c>
      <c r="I32">
        <v>5</v>
      </c>
      <c r="J32" t="s">
        <v>27</v>
      </c>
      <c r="K32" t="s">
        <v>35</v>
      </c>
      <c r="L32" s="4">
        <v>853.4</v>
      </c>
      <c r="M32" t="str">
        <f>VLOOKUP(D32,tblProduct[],2,FALSE)</f>
        <v>Electronics</v>
      </c>
      <c r="N32" t="str">
        <f>VLOOKUP(D32,tblProduct[],3,FALSE)</f>
        <v>Medium</v>
      </c>
      <c r="O32">
        <f>VLOOKUP(D32,tblProduct[],4,FALSE)</f>
        <v>90000</v>
      </c>
      <c r="P32">
        <v>853.4</v>
      </c>
      <c r="Q32" s="19" t="str">
        <f t="shared" si="0"/>
        <v>Mar-2025</v>
      </c>
      <c r="R32" s="26">
        <f>DATE(YEAR(tblEnriched[[#This Row],[Date]]),MONTH(tblEnriched[[#This Row],[Date]]),1)</f>
        <v>45717</v>
      </c>
    </row>
    <row r="33" spans="1:18">
      <c r="A33" t="s">
        <v>169</v>
      </c>
      <c r="B33" s="10">
        <v>45107</v>
      </c>
      <c r="C33" t="s">
        <v>170</v>
      </c>
      <c r="D33" t="s">
        <v>47</v>
      </c>
      <c r="E33">
        <v>3</v>
      </c>
      <c r="F33" s="4">
        <v>500.08</v>
      </c>
      <c r="G33" t="s">
        <v>24</v>
      </c>
      <c r="H33" t="s">
        <v>49</v>
      </c>
      <c r="I33">
        <v>6</v>
      </c>
      <c r="K33" t="s">
        <v>51</v>
      </c>
      <c r="L33" s="4">
        <v>1500.24</v>
      </c>
      <c r="M33" t="str">
        <f>VLOOKUP(D33,tblProduct[],2,FALSE)</f>
        <v>Furniture</v>
      </c>
      <c r="N33" t="str">
        <f>VLOOKUP(D33,tblProduct[],3,FALSE)</f>
        <v>Medium</v>
      </c>
      <c r="O33">
        <f>VLOOKUP(D33,tblProduct[],4,FALSE)</f>
        <v>70000</v>
      </c>
      <c r="P33">
        <v>1500.24</v>
      </c>
      <c r="Q33" s="19" t="str">
        <f t="shared" si="0"/>
        <v>Jun-2023</v>
      </c>
      <c r="R33" s="26">
        <f>DATE(YEAR(tblEnriched[[#This Row],[Date]]),MONTH(tblEnriched[[#This Row],[Date]]),1)</f>
        <v>45078</v>
      </c>
    </row>
    <row r="34" spans="1:18">
      <c r="A34" t="s">
        <v>173</v>
      </c>
      <c r="B34" s="10">
        <v>45047</v>
      </c>
      <c r="C34" t="s">
        <v>174</v>
      </c>
      <c r="D34" t="s">
        <v>38</v>
      </c>
      <c r="E34">
        <v>5</v>
      </c>
      <c r="F34" s="4">
        <v>536.72</v>
      </c>
      <c r="G34" t="s">
        <v>71</v>
      </c>
      <c r="H34" t="s">
        <v>56</v>
      </c>
      <c r="I34">
        <v>10</v>
      </c>
      <c r="K34" t="s">
        <v>44</v>
      </c>
      <c r="L34" s="4">
        <v>2683.6</v>
      </c>
      <c r="M34" t="str">
        <f>VLOOKUP(D34,tblProduct[],2,FALSE)</f>
        <v>Electronics</v>
      </c>
      <c r="N34" t="str">
        <f>VLOOKUP(D34,tblProduct[],3,FALSE)</f>
        <v>Medium</v>
      </c>
      <c r="O34">
        <f>VLOOKUP(D34,tblProduct[],4,FALSE)</f>
        <v>100000</v>
      </c>
      <c r="P34">
        <v>2683.6</v>
      </c>
      <c r="Q34" s="19" t="str">
        <f t="shared" si="0"/>
        <v>May-2023</v>
      </c>
      <c r="R34" s="26">
        <f>DATE(YEAR(tblEnriched[[#This Row],[Date]]),MONTH(tblEnriched[[#This Row],[Date]]),1)</f>
        <v>45047</v>
      </c>
    </row>
    <row r="35" spans="1:18">
      <c r="A35" t="s">
        <v>177</v>
      </c>
      <c r="B35" s="10">
        <v>45082</v>
      </c>
      <c r="C35" t="s">
        <v>178</v>
      </c>
      <c r="D35" t="s">
        <v>47</v>
      </c>
      <c r="E35">
        <v>1</v>
      </c>
      <c r="F35" s="4">
        <v>162.77000000000001</v>
      </c>
      <c r="G35" t="s">
        <v>33</v>
      </c>
      <c r="H35" t="s">
        <v>41</v>
      </c>
      <c r="I35">
        <v>4</v>
      </c>
      <c r="J35" t="s">
        <v>87</v>
      </c>
      <c r="K35" t="s">
        <v>51</v>
      </c>
      <c r="L35" s="4">
        <v>162.77000000000001</v>
      </c>
      <c r="M35" t="str">
        <f>VLOOKUP(D35,tblProduct[],2,FALSE)</f>
        <v>Furniture</v>
      </c>
      <c r="N35" t="str">
        <f>VLOOKUP(D35,tblProduct[],3,FALSE)</f>
        <v>Medium</v>
      </c>
      <c r="O35">
        <f>VLOOKUP(D35,tblProduct[],4,FALSE)</f>
        <v>70000</v>
      </c>
      <c r="P35">
        <v>162.77000000000001</v>
      </c>
      <c r="Q35" s="19" t="str">
        <f t="shared" si="0"/>
        <v>Jun-2023</v>
      </c>
      <c r="R35" s="26">
        <f>DATE(YEAR(tblEnriched[[#This Row],[Date]]),MONTH(tblEnriched[[#This Row],[Date]]),1)</f>
        <v>45078</v>
      </c>
    </row>
    <row r="36" spans="1:18">
      <c r="A36" t="s">
        <v>181</v>
      </c>
      <c r="B36" s="10">
        <v>44933</v>
      </c>
      <c r="C36" t="s">
        <v>182</v>
      </c>
      <c r="D36" t="s">
        <v>47</v>
      </c>
      <c r="E36">
        <v>4</v>
      </c>
      <c r="F36" s="4">
        <v>576.52</v>
      </c>
      <c r="G36" t="s">
        <v>40</v>
      </c>
      <c r="H36" t="s">
        <v>95</v>
      </c>
      <c r="I36">
        <v>5</v>
      </c>
      <c r="J36" t="s">
        <v>87</v>
      </c>
      <c r="K36" t="s">
        <v>51</v>
      </c>
      <c r="L36" s="4">
        <v>2306.08</v>
      </c>
      <c r="M36" t="str">
        <f>VLOOKUP(D36,tblProduct[],2,FALSE)</f>
        <v>Furniture</v>
      </c>
      <c r="N36" t="str">
        <f>VLOOKUP(D36,tblProduct[],3,FALSE)</f>
        <v>Medium</v>
      </c>
      <c r="O36">
        <f>VLOOKUP(D36,tblProduct[],4,FALSE)</f>
        <v>70000</v>
      </c>
      <c r="P36">
        <v>2306.08</v>
      </c>
      <c r="Q36" s="19" t="str">
        <f t="shared" si="0"/>
        <v>Jan-2023</v>
      </c>
      <c r="R36" s="26">
        <f>DATE(YEAR(tblEnriched[[#This Row],[Date]]),MONTH(tblEnriched[[#This Row],[Date]]),1)</f>
        <v>44927</v>
      </c>
    </row>
    <row r="37" spans="1:18">
      <c r="A37" t="s">
        <v>185</v>
      </c>
      <c r="B37" s="10">
        <v>45633</v>
      </c>
      <c r="C37" t="s">
        <v>186</v>
      </c>
      <c r="D37" t="s">
        <v>22</v>
      </c>
      <c r="E37">
        <v>2</v>
      </c>
      <c r="F37" s="4">
        <v>465.15</v>
      </c>
      <c r="G37" t="s">
        <v>33</v>
      </c>
      <c r="H37" t="s">
        <v>25</v>
      </c>
      <c r="I37">
        <v>2</v>
      </c>
      <c r="J37" t="s">
        <v>27</v>
      </c>
      <c r="K37" t="s">
        <v>51</v>
      </c>
      <c r="L37" s="4">
        <v>930.3</v>
      </c>
      <c r="M37" t="str">
        <f>VLOOKUP(D37,tblProduct[],2,FALSE)</f>
        <v>Electronics</v>
      </c>
      <c r="N37" t="str">
        <f>VLOOKUP(D37,tblProduct[],3,FALSE)</f>
        <v>Medium</v>
      </c>
      <c r="O37">
        <f>VLOOKUP(D37,tblProduct[],4,FALSE)</f>
        <v>90000</v>
      </c>
      <c r="P37">
        <v>930.3</v>
      </c>
      <c r="Q37" s="19" t="str">
        <f t="shared" si="0"/>
        <v>Dec-2024</v>
      </c>
      <c r="R37" s="26">
        <f>DATE(YEAR(tblEnriched[[#This Row],[Date]]),MONTH(tblEnriched[[#This Row],[Date]]),1)</f>
        <v>45627</v>
      </c>
    </row>
    <row r="38" spans="1:18">
      <c r="A38" t="s">
        <v>189</v>
      </c>
      <c r="B38" s="10">
        <v>45785</v>
      </c>
      <c r="C38" t="s">
        <v>190</v>
      </c>
      <c r="D38" t="s">
        <v>64</v>
      </c>
      <c r="E38">
        <v>2</v>
      </c>
      <c r="F38" s="4">
        <v>534.42999999999995</v>
      </c>
      <c r="G38" t="s">
        <v>24</v>
      </c>
      <c r="H38" t="s">
        <v>95</v>
      </c>
      <c r="I38">
        <v>5</v>
      </c>
      <c r="K38" t="s">
        <v>51</v>
      </c>
      <c r="L38" s="4">
        <v>1068.8599999999999</v>
      </c>
      <c r="M38" t="str">
        <f>VLOOKUP(D38,tblProduct[],2,FALSE)</f>
        <v>Electronics</v>
      </c>
      <c r="N38" t="str">
        <f>VLOOKUP(D38,tblProduct[],3,FALSE)</f>
        <v>High</v>
      </c>
      <c r="O38">
        <f>VLOOKUP(D38,tblProduct[],4,FALSE)</f>
        <v>150000</v>
      </c>
      <c r="P38">
        <v>1068.8599999999999</v>
      </c>
      <c r="Q38" s="19" t="str">
        <f t="shared" si="0"/>
        <v>May-2025</v>
      </c>
      <c r="R38" s="26">
        <f>DATE(YEAR(tblEnriched[[#This Row],[Date]]),MONTH(tblEnriched[[#This Row],[Date]]),1)</f>
        <v>45778</v>
      </c>
    </row>
    <row r="39" spans="1:18">
      <c r="A39" t="s">
        <v>193</v>
      </c>
      <c r="B39" s="10">
        <v>45579</v>
      </c>
      <c r="C39" t="s">
        <v>194</v>
      </c>
      <c r="D39" t="s">
        <v>64</v>
      </c>
      <c r="E39">
        <v>2</v>
      </c>
      <c r="F39" s="4">
        <v>76.739999999999995</v>
      </c>
      <c r="G39" t="s">
        <v>71</v>
      </c>
      <c r="H39" t="s">
        <v>49</v>
      </c>
      <c r="I39">
        <v>7</v>
      </c>
      <c r="J39" t="s">
        <v>27</v>
      </c>
      <c r="K39" t="s">
        <v>28</v>
      </c>
      <c r="L39" s="4">
        <v>153.47999999999999</v>
      </c>
      <c r="M39" t="str">
        <f>VLOOKUP(D39,tblProduct[],2,FALSE)</f>
        <v>Electronics</v>
      </c>
      <c r="N39" t="str">
        <f>VLOOKUP(D39,tblProduct[],3,FALSE)</f>
        <v>High</v>
      </c>
      <c r="O39">
        <f>VLOOKUP(D39,tblProduct[],4,FALSE)</f>
        <v>150000</v>
      </c>
      <c r="P39">
        <v>153.47999999999999</v>
      </c>
      <c r="Q39" s="19" t="str">
        <f t="shared" si="0"/>
        <v>Oct-2024</v>
      </c>
      <c r="R39" s="26">
        <f>DATE(YEAR(tblEnriched[[#This Row],[Date]]),MONTH(tblEnriched[[#This Row],[Date]]),1)</f>
        <v>45566</v>
      </c>
    </row>
    <row r="40" spans="1:18">
      <c r="A40" t="s">
        <v>197</v>
      </c>
      <c r="B40" s="10">
        <v>45645</v>
      </c>
      <c r="C40" t="s">
        <v>198</v>
      </c>
      <c r="D40" t="s">
        <v>64</v>
      </c>
      <c r="E40">
        <v>1</v>
      </c>
      <c r="F40" s="4">
        <v>245.89</v>
      </c>
      <c r="G40" t="s">
        <v>24</v>
      </c>
      <c r="H40" t="s">
        <v>56</v>
      </c>
      <c r="I40">
        <v>3</v>
      </c>
      <c r="J40" t="s">
        <v>27</v>
      </c>
      <c r="K40" t="s">
        <v>82</v>
      </c>
      <c r="L40" s="4">
        <v>245.89</v>
      </c>
      <c r="M40" t="str">
        <f>VLOOKUP(D40,tblProduct[],2,FALSE)</f>
        <v>Electronics</v>
      </c>
      <c r="N40" t="str">
        <f>VLOOKUP(D40,tblProduct[],3,FALSE)</f>
        <v>High</v>
      </c>
      <c r="O40">
        <f>VLOOKUP(D40,tblProduct[],4,FALSE)</f>
        <v>150000</v>
      </c>
      <c r="P40">
        <v>245.89</v>
      </c>
      <c r="Q40" s="19" t="str">
        <f t="shared" si="0"/>
        <v>Dec-2024</v>
      </c>
      <c r="R40" s="26">
        <f>DATE(YEAR(tblEnriched[[#This Row],[Date]]),MONTH(tblEnriched[[#This Row],[Date]]),1)</f>
        <v>45627</v>
      </c>
    </row>
    <row r="41" spans="1:18">
      <c r="A41" t="s">
        <v>201</v>
      </c>
      <c r="B41" s="10">
        <v>45715</v>
      </c>
      <c r="C41" t="s">
        <v>202</v>
      </c>
      <c r="D41" t="s">
        <v>54</v>
      </c>
      <c r="E41">
        <v>3</v>
      </c>
      <c r="F41" s="4">
        <v>256.45999999999998</v>
      </c>
      <c r="G41" t="s">
        <v>40</v>
      </c>
      <c r="H41" t="s">
        <v>56</v>
      </c>
      <c r="I41">
        <v>4</v>
      </c>
      <c r="J41" t="s">
        <v>27</v>
      </c>
      <c r="K41" t="s">
        <v>35</v>
      </c>
      <c r="L41" s="4">
        <v>769.37999999999988</v>
      </c>
      <c r="M41" t="str">
        <f>VLOOKUP(D41,tblProduct[],2,FALSE)</f>
        <v>Electronics</v>
      </c>
      <c r="N41" t="str">
        <f>VLOOKUP(D41,tblProduct[],3,FALSE)</f>
        <v>Medium</v>
      </c>
      <c r="O41">
        <f>VLOOKUP(D41,tblProduct[],4,FALSE)</f>
        <v>80000</v>
      </c>
      <c r="P41">
        <v>769.37999999999988</v>
      </c>
      <c r="Q41" s="19" t="str">
        <f t="shared" si="0"/>
        <v>Feb-2025</v>
      </c>
      <c r="R41" s="26">
        <f>DATE(YEAR(tblEnriched[[#This Row],[Date]]),MONTH(tblEnriched[[#This Row],[Date]]),1)</f>
        <v>45689</v>
      </c>
    </row>
    <row r="42" spans="1:18">
      <c r="A42" t="s">
        <v>205</v>
      </c>
      <c r="B42" s="10">
        <v>45158</v>
      </c>
      <c r="C42" t="s">
        <v>206</v>
      </c>
      <c r="D42" t="s">
        <v>79</v>
      </c>
      <c r="E42">
        <v>2</v>
      </c>
      <c r="F42" s="4">
        <v>344.02</v>
      </c>
      <c r="G42" t="s">
        <v>33</v>
      </c>
      <c r="H42" t="s">
        <v>56</v>
      </c>
      <c r="I42">
        <v>4</v>
      </c>
      <c r="J42" t="s">
        <v>43</v>
      </c>
      <c r="K42" t="s">
        <v>28</v>
      </c>
      <c r="L42" s="4">
        <v>688.04</v>
      </c>
      <c r="M42" t="str">
        <f>VLOOKUP(D42,tblProduct[],2,FALSE)</f>
        <v>Furniture</v>
      </c>
      <c r="N42" t="str">
        <f>VLOOKUP(D42,tblProduct[],3,FALSE)</f>
        <v>High</v>
      </c>
      <c r="O42">
        <f>VLOOKUP(D42,tblProduct[],4,FALSE)</f>
        <v>75000</v>
      </c>
      <c r="P42">
        <v>688.04</v>
      </c>
      <c r="Q42" s="19" t="str">
        <f t="shared" si="0"/>
        <v>Aug-2023</v>
      </c>
      <c r="R42" s="26">
        <f>DATE(YEAR(tblEnriched[[#This Row],[Date]]),MONTH(tblEnriched[[#This Row],[Date]]),1)</f>
        <v>45139</v>
      </c>
    </row>
    <row r="43" spans="1:18">
      <c r="A43" t="s">
        <v>209</v>
      </c>
      <c r="B43" s="10">
        <v>45265</v>
      </c>
      <c r="C43" t="s">
        <v>210</v>
      </c>
      <c r="D43" t="s">
        <v>22</v>
      </c>
      <c r="E43">
        <v>3</v>
      </c>
      <c r="F43" s="4">
        <v>611.45000000000005</v>
      </c>
      <c r="G43" t="s">
        <v>66</v>
      </c>
      <c r="H43" t="s">
        <v>95</v>
      </c>
      <c r="I43">
        <v>4</v>
      </c>
      <c r="J43" t="s">
        <v>43</v>
      </c>
      <c r="K43" t="s">
        <v>28</v>
      </c>
      <c r="L43" s="4">
        <v>1834.35</v>
      </c>
      <c r="M43" t="str">
        <f>VLOOKUP(D43,tblProduct[],2,FALSE)</f>
        <v>Electronics</v>
      </c>
      <c r="N43" t="str">
        <f>VLOOKUP(D43,tblProduct[],3,FALSE)</f>
        <v>Medium</v>
      </c>
      <c r="O43">
        <f>VLOOKUP(D43,tblProduct[],4,FALSE)</f>
        <v>90000</v>
      </c>
      <c r="P43">
        <v>1834.35</v>
      </c>
      <c r="Q43" s="19" t="str">
        <f t="shared" si="0"/>
        <v>Dec-2023</v>
      </c>
      <c r="R43" s="26">
        <f>DATE(YEAR(tblEnriched[[#This Row],[Date]]),MONTH(tblEnriched[[#This Row],[Date]]),1)</f>
        <v>45261</v>
      </c>
    </row>
    <row r="44" spans="1:18">
      <c r="A44" t="s">
        <v>213</v>
      </c>
      <c r="B44" s="10">
        <v>45418</v>
      </c>
      <c r="C44" t="s">
        <v>214</v>
      </c>
      <c r="D44" t="s">
        <v>54</v>
      </c>
      <c r="E44">
        <v>2</v>
      </c>
      <c r="F44" s="4">
        <v>151.66</v>
      </c>
      <c r="G44" t="s">
        <v>71</v>
      </c>
      <c r="H44" t="s">
        <v>41</v>
      </c>
      <c r="I44">
        <v>6</v>
      </c>
      <c r="K44" t="s">
        <v>28</v>
      </c>
      <c r="L44" s="4">
        <v>303.32</v>
      </c>
      <c r="M44" t="str">
        <f>VLOOKUP(D44,tblProduct[],2,FALSE)</f>
        <v>Electronics</v>
      </c>
      <c r="N44" t="str">
        <f>VLOOKUP(D44,tblProduct[],3,FALSE)</f>
        <v>Medium</v>
      </c>
      <c r="O44">
        <f>VLOOKUP(D44,tblProduct[],4,FALSE)</f>
        <v>80000</v>
      </c>
      <c r="P44">
        <v>303.32</v>
      </c>
      <c r="Q44" s="19" t="str">
        <f t="shared" si="0"/>
        <v>May-2024</v>
      </c>
      <c r="R44" s="26">
        <f>DATE(YEAR(tblEnriched[[#This Row],[Date]]),MONTH(tblEnriched[[#This Row],[Date]]),1)</f>
        <v>45413</v>
      </c>
    </row>
    <row r="45" spans="1:18">
      <c r="A45" t="s">
        <v>216</v>
      </c>
      <c r="B45" s="10">
        <v>45274</v>
      </c>
      <c r="C45" t="s">
        <v>217</v>
      </c>
      <c r="D45" t="s">
        <v>47</v>
      </c>
      <c r="E45">
        <v>3</v>
      </c>
      <c r="F45" s="4">
        <v>499.21</v>
      </c>
      <c r="G45" t="s">
        <v>33</v>
      </c>
      <c r="H45" t="s">
        <v>41</v>
      </c>
      <c r="I45">
        <v>8</v>
      </c>
      <c r="K45" t="s">
        <v>28</v>
      </c>
      <c r="L45" s="4">
        <v>1497.63</v>
      </c>
      <c r="M45" t="str">
        <f>VLOOKUP(D45,tblProduct[],2,FALSE)</f>
        <v>Furniture</v>
      </c>
      <c r="N45" t="str">
        <f>VLOOKUP(D45,tblProduct[],3,FALSE)</f>
        <v>Medium</v>
      </c>
      <c r="O45">
        <f>VLOOKUP(D45,tblProduct[],4,FALSE)</f>
        <v>70000</v>
      </c>
      <c r="P45">
        <v>1497.63</v>
      </c>
      <c r="Q45" s="19" t="str">
        <f t="shared" si="0"/>
        <v>Dec-2023</v>
      </c>
      <c r="R45" s="26">
        <f>DATE(YEAR(tblEnriched[[#This Row],[Date]]),MONTH(tblEnriched[[#This Row],[Date]]),1)</f>
        <v>45261</v>
      </c>
    </row>
    <row r="46" spans="1:18">
      <c r="A46" t="s">
        <v>220</v>
      </c>
      <c r="B46" s="10">
        <v>45768</v>
      </c>
      <c r="C46" t="s">
        <v>221</v>
      </c>
      <c r="D46" t="s">
        <v>31</v>
      </c>
      <c r="E46">
        <v>2</v>
      </c>
      <c r="F46" s="4">
        <v>550.17999999999995</v>
      </c>
      <c r="G46" t="s">
        <v>66</v>
      </c>
      <c r="H46" t="s">
        <v>49</v>
      </c>
      <c r="I46">
        <v>3</v>
      </c>
      <c r="J46" t="s">
        <v>43</v>
      </c>
      <c r="K46" t="s">
        <v>35</v>
      </c>
      <c r="L46" s="4">
        <v>1100.3599999999999</v>
      </c>
      <c r="M46" t="str">
        <f>VLOOKUP(D46,tblProduct[],2,FALSE)</f>
        <v>Electronics</v>
      </c>
      <c r="N46" t="str">
        <f>VLOOKUP(D46,tblProduct[],3,FALSE)</f>
        <v>High</v>
      </c>
      <c r="O46">
        <f>VLOOKUP(D46,tblProduct[],4,FALSE)</f>
        <v>120000</v>
      </c>
      <c r="P46">
        <v>1100.3599999999999</v>
      </c>
      <c r="Q46" s="19" t="str">
        <f t="shared" si="0"/>
        <v>Apr-2025</v>
      </c>
      <c r="R46" s="26">
        <f>DATE(YEAR(tblEnriched[[#This Row],[Date]]),MONTH(tblEnriched[[#This Row],[Date]]),1)</f>
        <v>45748</v>
      </c>
    </row>
    <row r="47" spans="1:18">
      <c r="A47" t="s">
        <v>223</v>
      </c>
      <c r="B47" s="10">
        <v>45332</v>
      </c>
      <c r="C47" t="s">
        <v>224</v>
      </c>
      <c r="D47" t="s">
        <v>47</v>
      </c>
      <c r="E47">
        <v>1</v>
      </c>
      <c r="F47" s="4">
        <v>317.25</v>
      </c>
      <c r="G47" t="s">
        <v>24</v>
      </c>
      <c r="H47" t="s">
        <v>49</v>
      </c>
      <c r="I47">
        <v>1</v>
      </c>
      <c r="J47" t="s">
        <v>27</v>
      </c>
      <c r="K47" t="s">
        <v>51</v>
      </c>
      <c r="L47" s="4">
        <v>317.25</v>
      </c>
      <c r="M47" t="str">
        <f>VLOOKUP(D47,tblProduct[],2,FALSE)</f>
        <v>Furniture</v>
      </c>
      <c r="N47" t="str">
        <f>VLOOKUP(D47,tblProduct[],3,FALSE)</f>
        <v>Medium</v>
      </c>
      <c r="O47">
        <f>VLOOKUP(D47,tblProduct[],4,FALSE)</f>
        <v>70000</v>
      </c>
      <c r="P47">
        <v>317.25</v>
      </c>
      <c r="Q47" s="19" t="str">
        <f t="shared" si="0"/>
        <v>Feb-2024</v>
      </c>
      <c r="R47" s="26">
        <f>DATE(YEAR(tblEnriched[[#This Row],[Date]]),MONTH(tblEnriched[[#This Row],[Date]]),1)</f>
        <v>45323</v>
      </c>
    </row>
    <row r="48" spans="1:18">
      <c r="A48" t="s">
        <v>227</v>
      </c>
      <c r="B48" s="10">
        <v>45469</v>
      </c>
      <c r="C48" t="s">
        <v>228</v>
      </c>
      <c r="D48" t="s">
        <v>22</v>
      </c>
      <c r="E48">
        <v>4</v>
      </c>
      <c r="F48" s="4">
        <v>550.14</v>
      </c>
      <c r="G48" t="s">
        <v>24</v>
      </c>
      <c r="H48" t="s">
        <v>95</v>
      </c>
      <c r="I48">
        <v>4</v>
      </c>
      <c r="J48" t="s">
        <v>43</v>
      </c>
      <c r="K48" t="s">
        <v>28</v>
      </c>
      <c r="L48" s="4">
        <v>2200.56</v>
      </c>
      <c r="M48" t="str">
        <f>VLOOKUP(D48,tblProduct[],2,FALSE)</f>
        <v>Electronics</v>
      </c>
      <c r="N48" t="str">
        <f>VLOOKUP(D48,tblProduct[],3,FALSE)</f>
        <v>Medium</v>
      </c>
      <c r="O48">
        <f>VLOOKUP(D48,tblProduct[],4,FALSE)</f>
        <v>90000</v>
      </c>
      <c r="P48">
        <v>2200.56</v>
      </c>
      <c r="Q48" s="19" t="str">
        <f t="shared" si="0"/>
        <v>Jun-2024</v>
      </c>
      <c r="R48" s="26">
        <f>DATE(YEAR(tblEnriched[[#This Row],[Date]]),MONTH(tblEnriched[[#This Row],[Date]]),1)</f>
        <v>45444</v>
      </c>
    </row>
    <row r="49" spans="1:18">
      <c r="A49" t="s">
        <v>231</v>
      </c>
      <c r="B49" s="10">
        <v>45126</v>
      </c>
      <c r="C49" t="s">
        <v>232</v>
      </c>
      <c r="D49" t="s">
        <v>79</v>
      </c>
      <c r="E49">
        <v>2</v>
      </c>
      <c r="F49" s="4">
        <v>209.94</v>
      </c>
      <c r="G49" t="s">
        <v>40</v>
      </c>
      <c r="H49" t="s">
        <v>49</v>
      </c>
      <c r="I49">
        <v>3</v>
      </c>
      <c r="J49" t="s">
        <v>43</v>
      </c>
      <c r="K49" t="s">
        <v>44</v>
      </c>
      <c r="L49" s="4">
        <v>419.88</v>
      </c>
      <c r="M49" t="str">
        <f>VLOOKUP(D49,tblProduct[],2,FALSE)</f>
        <v>Furniture</v>
      </c>
      <c r="N49" t="str">
        <f>VLOOKUP(D49,tblProduct[],3,FALSE)</f>
        <v>High</v>
      </c>
      <c r="O49">
        <f>VLOOKUP(D49,tblProduct[],4,FALSE)</f>
        <v>75000</v>
      </c>
      <c r="P49">
        <v>419.88</v>
      </c>
      <c r="Q49" s="19" t="str">
        <f t="shared" si="0"/>
        <v>Jul-2023</v>
      </c>
      <c r="R49" s="26">
        <f>DATE(YEAR(tblEnriched[[#This Row],[Date]]),MONTH(tblEnriched[[#This Row],[Date]]),1)</f>
        <v>45108</v>
      </c>
    </row>
    <row r="50" spans="1:18">
      <c r="A50" t="s">
        <v>235</v>
      </c>
      <c r="B50" s="10">
        <v>45164</v>
      </c>
      <c r="C50" t="s">
        <v>236</v>
      </c>
      <c r="D50" t="s">
        <v>22</v>
      </c>
      <c r="E50">
        <v>2</v>
      </c>
      <c r="F50" s="4">
        <v>80.77</v>
      </c>
      <c r="G50" t="s">
        <v>24</v>
      </c>
      <c r="H50" t="s">
        <v>25</v>
      </c>
      <c r="I50">
        <v>4</v>
      </c>
      <c r="K50" t="s">
        <v>82</v>
      </c>
      <c r="L50" s="4">
        <v>161.54</v>
      </c>
      <c r="M50" t="str">
        <f>VLOOKUP(D50,tblProduct[],2,FALSE)</f>
        <v>Electronics</v>
      </c>
      <c r="N50" t="str">
        <f>VLOOKUP(D50,tblProduct[],3,FALSE)</f>
        <v>Medium</v>
      </c>
      <c r="O50">
        <f>VLOOKUP(D50,tblProduct[],4,FALSE)</f>
        <v>90000</v>
      </c>
      <c r="P50">
        <v>161.54</v>
      </c>
      <c r="Q50" s="19" t="str">
        <f t="shared" si="0"/>
        <v>Aug-2023</v>
      </c>
      <c r="R50" s="26">
        <f>DATE(YEAR(tblEnriched[[#This Row],[Date]]),MONTH(tblEnriched[[#This Row],[Date]]),1)</f>
        <v>45139</v>
      </c>
    </row>
    <row r="51" spans="1:18">
      <c r="A51" t="s">
        <v>239</v>
      </c>
      <c r="B51" s="10">
        <v>45206</v>
      </c>
      <c r="C51" t="s">
        <v>240</v>
      </c>
      <c r="D51" t="s">
        <v>54</v>
      </c>
      <c r="E51">
        <v>1</v>
      </c>
      <c r="F51" s="4">
        <v>30.44</v>
      </c>
      <c r="G51" t="s">
        <v>40</v>
      </c>
      <c r="H51" t="s">
        <v>25</v>
      </c>
      <c r="I51">
        <v>1</v>
      </c>
      <c r="J51" t="s">
        <v>27</v>
      </c>
      <c r="K51" t="s">
        <v>44</v>
      </c>
      <c r="L51" s="4">
        <v>30.44</v>
      </c>
      <c r="M51" t="str">
        <f>VLOOKUP(D51,tblProduct[],2,FALSE)</f>
        <v>Electronics</v>
      </c>
      <c r="N51" t="str">
        <f>VLOOKUP(D51,tblProduct[],3,FALSE)</f>
        <v>Medium</v>
      </c>
      <c r="O51">
        <f>VLOOKUP(D51,tblProduct[],4,FALSE)</f>
        <v>80000</v>
      </c>
      <c r="P51">
        <v>30.44</v>
      </c>
      <c r="Q51" s="19" t="str">
        <f t="shared" si="0"/>
        <v>Oct-2023</v>
      </c>
      <c r="R51" s="26">
        <f>DATE(YEAR(tblEnriched[[#This Row],[Date]]),MONTH(tblEnriched[[#This Row],[Date]]),1)</f>
        <v>45200</v>
      </c>
    </row>
    <row r="52" spans="1:18">
      <c r="A52" t="s">
        <v>242</v>
      </c>
      <c r="B52" s="10">
        <v>45138</v>
      </c>
      <c r="C52" t="s">
        <v>243</v>
      </c>
      <c r="D52" t="s">
        <v>38</v>
      </c>
      <c r="E52">
        <v>1</v>
      </c>
      <c r="F52" s="4">
        <v>179.22</v>
      </c>
      <c r="G52" t="s">
        <v>33</v>
      </c>
      <c r="H52" t="s">
        <v>41</v>
      </c>
      <c r="I52">
        <v>6</v>
      </c>
      <c r="J52" t="s">
        <v>43</v>
      </c>
      <c r="K52" t="s">
        <v>28</v>
      </c>
      <c r="L52" s="4">
        <v>179.22</v>
      </c>
      <c r="M52" t="str">
        <f>VLOOKUP(D52,tblProduct[],2,FALSE)</f>
        <v>Electronics</v>
      </c>
      <c r="N52" t="str">
        <f>VLOOKUP(D52,tblProduct[],3,FALSE)</f>
        <v>Medium</v>
      </c>
      <c r="O52">
        <f>VLOOKUP(D52,tblProduct[],4,FALSE)</f>
        <v>100000</v>
      </c>
      <c r="P52">
        <v>179.22</v>
      </c>
      <c r="Q52" s="19" t="str">
        <f t="shared" si="0"/>
        <v>Jul-2023</v>
      </c>
      <c r="R52" s="26">
        <f>DATE(YEAR(tblEnriched[[#This Row],[Date]]),MONTH(tblEnriched[[#This Row],[Date]]),1)</f>
        <v>45108</v>
      </c>
    </row>
    <row r="53" spans="1:18">
      <c r="A53" t="s">
        <v>246</v>
      </c>
      <c r="B53" s="10">
        <v>45656</v>
      </c>
      <c r="C53" t="s">
        <v>247</v>
      </c>
      <c r="D53" t="s">
        <v>38</v>
      </c>
      <c r="E53">
        <v>1</v>
      </c>
      <c r="F53" s="4">
        <v>388.33</v>
      </c>
      <c r="G53" t="s">
        <v>71</v>
      </c>
      <c r="H53" t="s">
        <v>49</v>
      </c>
      <c r="I53">
        <v>2</v>
      </c>
      <c r="J53" t="s">
        <v>27</v>
      </c>
      <c r="K53" t="s">
        <v>51</v>
      </c>
      <c r="L53" s="4">
        <v>388.33</v>
      </c>
      <c r="M53" t="str">
        <f>VLOOKUP(D53,tblProduct[],2,FALSE)</f>
        <v>Electronics</v>
      </c>
      <c r="N53" t="str">
        <f>VLOOKUP(D53,tblProduct[],3,FALSE)</f>
        <v>Medium</v>
      </c>
      <c r="O53">
        <f>VLOOKUP(D53,tblProduct[],4,FALSE)</f>
        <v>100000</v>
      </c>
      <c r="P53">
        <v>388.33</v>
      </c>
      <c r="Q53" s="19" t="str">
        <f t="shared" si="0"/>
        <v>Dec-2024</v>
      </c>
      <c r="R53" s="26">
        <f>DATE(YEAR(tblEnriched[[#This Row],[Date]]),MONTH(tblEnriched[[#This Row],[Date]]),1)</f>
        <v>45627</v>
      </c>
    </row>
    <row r="54" spans="1:18">
      <c r="A54" t="s">
        <v>250</v>
      </c>
      <c r="B54" s="10">
        <v>45543</v>
      </c>
      <c r="C54" t="s">
        <v>251</v>
      </c>
      <c r="D54" t="s">
        <v>38</v>
      </c>
      <c r="E54">
        <v>1</v>
      </c>
      <c r="F54" s="4">
        <v>586.44000000000005</v>
      </c>
      <c r="G54" t="s">
        <v>33</v>
      </c>
      <c r="H54" t="s">
        <v>49</v>
      </c>
      <c r="I54">
        <v>5</v>
      </c>
      <c r="J54" t="s">
        <v>27</v>
      </c>
      <c r="K54" t="s">
        <v>51</v>
      </c>
      <c r="L54" s="4">
        <v>586.44000000000005</v>
      </c>
      <c r="M54" t="str">
        <f>VLOOKUP(D54,tblProduct[],2,FALSE)</f>
        <v>Electronics</v>
      </c>
      <c r="N54" t="str">
        <f>VLOOKUP(D54,tblProduct[],3,FALSE)</f>
        <v>Medium</v>
      </c>
      <c r="O54">
        <f>VLOOKUP(D54,tblProduct[],4,FALSE)</f>
        <v>100000</v>
      </c>
      <c r="P54">
        <v>586.44000000000005</v>
      </c>
      <c r="Q54" s="19" t="str">
        <f t="shared" si="0"/>
        <v>Sep-2024</v>
      </c>
      <c r="R54" s="26">
        <f>DATE(YEAR(tblEnriched[[#This Row],[Date]]),MONTH(tblEnriched[[#This Row],[Date]]),1)</f>
        <v>45536</v>
      </c>
    </row>
    <row r="55" spans="1:18">
      <c r="A55" t="s">
        <v>254</v>
      </c>
      <c r="B55" s="10">
        <v>45430</v>
      </c>
      <c r="C55" t="s">
        <v>255</v>
      </c>
      <c r="D55" t="s">
        <v>31</v>
      </c>
      <c r="E55">
        <v>4</v>
      </c>
      <c r="F55" s="4">
        <v>488.78</v>
      </c>
      <c r="G55" t="s">
        <v>33</v>
      </c>
      <c r="H55" t="s">
        <v>49</v>
      </c>
      <c r="I55">
        <v>5</v>
      </c>
      <c r="J55" t="s">
        <v>43</v>
      </c>
      <c r="K55" t="s">
        <v>82</v>
      </c>
      <c r="L55" s="4">
        <v>1955.12</v>
      </c>
      <c r="M55" t="str">
        <f>VLOOKUP(D55,tblProduct[],2,FALSE)</f>
        <v>Electronics</v>
      </c>
      <c r="N55" t="str">
        <f>VLOOKUP(D55,tblProduct[],3,FALSE)</f>
        <v>High</v>
      </c>
      <c r="O55">
        <f>VLOOKUP(D55,tblProduct[],4,FALSE)</f>
        <v>120000</v>
      </c>
      <c r="P55">
        <v>1955.12</v>
      </c>
      <c r="Q55" s="19" t="str">
        <f t="shared" si="0"/>
        <v>May-2024</v>
      </c>
      <c r="R55" s="26">
        <f>DATE(YEAR(tblEnriched[[#This Row],[Date]]),MONTH(tblEnriched[[#This Row],[Date]]),1)</f>
        <v>45413</v>
      </c>
    </row>
    <row r="56" spans="1:18">
      <c r="A56" t="s">
        <v>257</v>
      </c>
      <c r="B56" s="10">
        <v>45743</v>
      </c>
      <c r="C56" t="s">
        <v>258</v>
      </c>
      <c r="D56" t="s">
        <v>47</v>
      </c>
      <c r="E56">
        <v>1</v>
      </c>
      <c r="F56" s="4">
        <v>280.25</v>
      </c>
      <c r="G56" t="s">
        <v>33</v>
      </c>
      <c r="H56" t="s">
        <v>95</v>
      </c>
      <c r="I56">
        <v>5</v>
      </c>
      <c r="J56" t="s">
        <v>87</v>
      </c>
      <c r="K56" t="s">
        <v>44</v>
      </c>
      <c r="L56" s="4">
        <v>280.25</v>
      </c>
      <c r="M56" t="str">
        <f>VLOOKUP(D56,tblProduct[],2,FALSE)</f>
        <v>Furniture</v>
      </c>
      <c r="N56" t="str">
        <f>VLOOKUP(D56,tblProduct[],3,FALSE)</f>
        <v>Medium</v>
      </c>
      <c r="O56">
        <f>VLOOKUP(D56,tblProduct[],4,FALSE)</f>
        <v>70000</v>
      </c>
      <c r="P56">
        <v>280.25</v>
      </c>
      <c r="Q56" s="19" t="str">
        <f t="shared" si="0"/>
        <v>Mar-2025</v>
      </c>
      <c r="R56" s="26">
        <f>DATE(YEAR(tblEnriched[[#This Row],[Date]]),MONTH(tblEnriched[[#This Row],[Date]]),1)</f>
        <v>45717</v>
      </c>
    </row>
    <row r="57" spans="1:18">
      <c r="A57" t="s">
        <v>261</v>
      </c>
      <c r="B57" s="10">
        <v>45832</v>
      </c>
      <c r="C57" t="s">
        <v>262</v>
      </c>
      <c r="D57" t="s">
        <v>54</v>
      </c>
      <c r="E57">
        <v>3</v>
      </c>
      <c r="F57" s="4">
        <v>344.4</v>
      </c>
      <c r="G57" t="s">
        <v>33</v>
      </c>
      <c r="H57" t="s">
        <v>41</v>
      </c>
      <c r="I57">
        <v>3</v>
      </c>
      <c r="K57" t="s">
        <v>51</v>
      </c>
      <c r="L57" s="4">
        <v>1033.2</v>
      </c>
      <c r="M57" t="str">
        <f>VLOOKUP(D57,tblProduct[],2,FALSE)</f>
        <v>Electronics</v>
      </c>
      <c r="N57" t="str">
        <f>VLOOKUP(D57,tblProduct[],3,FALSE)</f>
        <v>Medium</v>
      </c>
      <c r="O57">
        <f>VLOOKUP(D57,tblProduct[],4,FALSE)</f>
        <v>80000</v>
      </c>
      <c r="P57">
        <v>1033.2</v>
      </c>
      <c r="Q57" s="19" t="str">
        <f t="shared" si="0"/>
        <v>Jun-2025</v>
      </c>
      <c r="R57" s="26">
        <f>DATE(YEAR(tblEnriched[[#This Row],[Date]]),MONTH(tblEnriched[[#This Row],[Date]]),1)</f>
        <v>45809</v>
      </c>
    </row>
    <row r="58" spans="1:18">
      <c r="A58" t="s">
        <v>265</v>
      </c>
      <c r="B58" s="10">
        <v>45067</v>
      </c>
      <c r="C58" t="s">
        <v>266</v>
      </c>
      <c r="D58" t="s">
        <v>38</v>
      </c>
      <c r="E58">
        <v>3</v>
      </c>
      <c r="F58" s="4">
        <v>479.21</v>
      </c>
      <c r="G58" t="s">
        <v>71</v>
      </c>
      <c r="H58" t="s">
        <v>41</v>
      </c>
      <c r="I58">
        <v>5</v>
      </c>
      <c r="J58" t="s">
        <v>87</v>
      </c>
      <c r="K58" t="s">
        <v>35</v>
      </c>
      <c r="L58" s="4">
        <v>1437.63</v>
      </c>
      <c r="M58" t="str">
        <f>VLOOKUP(D58,tblProduct[],2,FALSE)</f>
        <v>Electronics</v>
      </c>
      <c r="N58" t="str">
        <f>VLOOKUP(D58,tblProduct[],3,FALSE)</f>
        <v>Medium</v>
      </c>
      <c r="O58">
        <f>VLOOKUP(D58,tblProduct[],4,FALSE)</f>
        <v>100000</v>
      </c>
      <c r="P58">
        <v>1437.63</v>
      </c>
      <c r="Q58" s="19" t="str">
        <f t="shared" si="0"/>
        <v>May-2023</v>
      </c>
      <c r="R58" s="26">
        <f>DATE(YEAR(tblEnriched[[#This Row],[Date]]),MONTH(tblEnriched[[#This Row],[Date]]),1)</f>
        <v>45047</v>
      </c>
    </row>
    <row r="59" spans="1:18">
      <c r="A59" t="s">
        <v>269</v>
      </c>
      <c r="B59" s="10">
        <v>44948</v>
      </c>
      <c r="C59" t="s">
        <v>270</v>
      </c>
      <c r="D59" t="s">
        <v>54</v>
      </c>
      <c r="E59">
        <v>5</v>
      </c>
      <c r="F59" s="4">
        <v>314.27</v>
      </c>
      <c r="G59" t="s">
        <v>71</v>
      </c>
      <c r="H59" t="s">
        <v>49</v>
      </c>
      <c r="I59">
        <v>6</v>
      </c>
      <c r="J59" t="s">
        <v>27</v>
      </c>
      <c r="K59" t="s">
        <v>28</v>
      </c>
      <c r="L59" s="4">
        <v>1571.35</v>
      </c>
      <c r="M59" t="str">
        <f>VLOOKUP(D59,tblProduct[],2,FALSE)</f>
        <v>Electronics</v>
      </c>
      <c r="N59" t="str">
        <f>VLOOKUP(D59,tblProduct[],3,FALSE)</f>
        <v>Medium</v>
      </c>
      <c r="O59">
        <f>VLOOKUP(D59,tblProduct[],4,FALSE)</f>
        <v>80000</v>
      </c>
      <c r="P59">
        <v>1571.35</v>
      </c>
      <c r="Q59" s="19" t="str">
        <f t="shared" si="0"/>
        <v>Jan-2023</v>
      </c>
      <c r="R59" s="26">
        <f>DATE(YEAR(tblEnriched[[#This Row],[Date]]),MONTH(tblEnriched[[#This Row],[Date]]),1)</f>
        <v>44927</v>
      </c>
    </row>
    <row r="60" spans="1:18">
      <c r="A60" t="s">
        <v>273</v>
      </c>
      <c r="B60" s="10">
        <v>44941</v>
      </c>
      <c r="C60" t="s">
        <v>274</v>
      </c>
      <c r="D60" t="s">
        <v>31</v>
      </c>
      <c r="E60">
        <v>4</v>
      </c>
      <c r="F60" s="4">
        <v>474.69</v>
      </c>
      <c r="G60" t="s">
        <v>66</v>
      </c>
      <c r="H60" t="s">
        <v>41</v>
      </c>
      <c r="I60">
        <v>6</v>
      </c>
      <c r="J60" t="s">
        <v>27</v>
      </c>
      <c r="K60" t="s">
        <v>82</v>
      </c>
      <c r="L60" s="4">
        <v>1898.76</v>
      </c>
      <c r="M60" t="str">
        <f>VLOOKUP(D60,tblProduct[],2,FALSE)</f>
        <v>Electronics</v>
      </c>
      <c r="N60" t="str">
        <f>VLOOKUP(D60,tblProduct[],3,FALSE)</f>
        <v>High</v>
      </c>
      <c r="O60">
        <f>VLOOKUP(D60,tblProduct[],4,FALSE)</f>
        <v>120000</v>
      </c>
      <c r="P60">
        <v>1898.76</v>
      </c>
      <c r="Q60" s="19" t="str">
        <f t="shared" si="0"/>
        <v>Jan-2023</v>
      </c>
      <c r="R60" s="26">
        <f>DATE(YEAR(tblEnriched[[#This Row],[Date]]),MONTH(tblEnriched[[#This Row],[Date]]),1)</f>
        <v>44927</v>
      </c>
    </row>
    <row r="61" spans="1:18">
      <c r="A61" t="s">
        <v>277</v>
      </c>
      <c r="B61" s="10">
        <v>45546</v>
      </c>
      <c r="C61" t="s">
        <v>278</v>
      </c>
      <c r="D61" t="s">
        <v>47</v>
      </c>
      <c r="E61">
        <v>4</v>
      </c>
      <c r="F61" s="4">
        <v>593.27</v>
      </c>
      <c r="G61" t="s">
        <v>33</v>
      </c>
      <c r="H61" t="s">
        <v>25</v>
      </c>
      <c r="I61">
        <v>5</v>
      </c>
      <c r="K61" t="s">
        <v>51</v>
      </c>
      <c r="L61" s="4">
        <v>2373.08</v>
      </c>
      <c r="M61" t="str">
        <f>VLOOKUP(D61,tblProduct[],2,FALSE)</f>
        <v>Furniture</v>
      </c>
      <c r="N61" t="str">
        <f>VLOOKUP(D61,tblProduct[],3,FALSE)</f>
        <v>Medium</v>
      </c>
      <c r="O61">
        <f>VLOOKUP(D61,tblProduct[],4,FALSE)</f>
        <v>70000</v>
      </c>
      <c r="P61">
        <v>2373.08</v>
      </c>
      <c r="Q61" s="19" t="str">
        <f t="shared" si="0"/>
        <v>Sep-2024</v>
      </c>
      <c r="R61" s="26">
        <f>DATE(YEAR(tblEnriched[[#This Row],[Date]]),MONTH(tblEnriched[[#This Row],[Date]]),1)</f>
        <v>45536</v>
      </c>
    </row>
    <row r="62" spans="1:18">
      <c r="A62" t="s">
        <v>281</v>
      </c>
      <c r="B62" s="10">
        <v>45525</v>
      </c>
      <c r="C62" t="s">
        <v>282</v>
      </c>
      <c r="D62" t="s">
        <v>79</v>
      </c>
      <c r="E62">
        <v>1</v>
      </c>
      <c r="F62" s="4">
        <v>417.1</v>
      </c>
      <c r="G62" t="s">
        <v>24</v>
      </c>
      <c r="H62" t="s">
        <v>49</v>
      </c>
      <c r="I62">
        <v>3</v>
      </c>
      <c r="J62" t="s">
        <v>43</v>
      </c>
      <c r="K62" t="s">
        <v>35</v>
      </c>
      <c r="L62" s="4">
        <v>417.1</v>
      </c>
      <c r="M62" t="str">
        <f>VLOOKUP(D62,tblProduct[],2,FALSE)</f>
        <v>Furniture</v>
      </c>
      <c r="N62" t="str">
        <f>VLOOKUP(D62,tblProduct[],3,FALSE)</f>
        <v>High</v>
      </c>
      <c r="O62">
        <f>VLOOKUP(D62,tblProduct[],4,FALSE)</f>
        <v>75000</v>
      </c>
      <c r="P62">
        <v>417.1</v>
      </c>
      <c r="Q62" s="19" t="str">
        <f t="shared" si="0"/>
        <v>Aug-2024</v>
      </c>
      <c r="R62" s="26">
        <f>DATE(YEAR(tblEnriched[[#This Row],[Date]]),MONTH(tblEnriched[[#This Row],[Date]]),1)</f>
        <v>45505</v>
      </c>
    </row>
    <row r="63" spans="1:18">
      <c r="A63" t="s">
        <v>285</v>
      </c>
      <c r="B63" s="10">
        <v>45375</v>
      </c>
      <c r="C63" t="s">
        <v>286</v>
      </c>
      <c r="D63" t="s">
        <v>79</v>
      </c>
      <c r="E63">
        <v>4</v>
      </c>
      <c r="F63" s="4">
        <v>122.2</v>
      </c>
      <c r="G63" t="s">
        <v>71</v>
      </c>
      <c r="H63" t="s">
        <v>56</v>
      </c>
      <c r="I63">
        <v>7</v>
      </c>
      <c r="J63" t="s">
        <v>43</v>
      </c>
      <c r="K63" t="s">
        <v>51</v>
      </c>
      <c r="L63" s="4">
        <v>488.8</v>
      </c>
      <c r="M63" t="str">
        <f>VLOOKUP(D63,tblProduct[],2,FALSE)</f>
        <v>Furniture</v>
      </c>
      <c r="N63" t="str">
        <f>VLOOKUP(D63,tblProduct[],3,FALSE)</f>
        <v>High</v>
      </c>
      <c r="O63">
        <f>VLOOKUP(D63,tblProduct[],4,FALSE)</f>
        <v>75000</v>
      </c>
      <c r="P63">
        <v>488.8</v>
      </c>
      <c r="Q63" s="19" t="str">
        <f t="shared" si="0"/>
        <v>Mar-2024</v>
      </c>
      <c r="R63" s="26">
        <f>DATE(YEAR(tblEnriched[[#This Row],[Date]]),MONTH(tblEnriched[[#This Row],[Date]]),1)</f>
        <v>45352</v>
      </c>
    </row>
    <row r="64" spans="1:18">
      <c r="A64" t="s">
        <v>289</v>
      </c>
      <c r="B64" s="10">
        <v>45160</v>
      </c>
      <c r="C64" t="s">
        <v>290</v>
      </c>
      <c r="D64" t="s">
        <v>79</v>
      </c>
      <c r="E64">
        <v>2</v>
      </c>
      <c r="F64" s="4">
        <v>43.15</v>
      </c>
      <c r="G64" t="s">
        <v>24</v>
      </c>
      <c r="H64" t="s">
        <v>95</v>
      </c>
      <c r="I64">
        <v>3</v>
      </c>
      <c r="J64" t="s">
        <v>87</v>
      </c>
      <c r="K64" t="s">
        <v>44</v>
      </c>
      <c r="L64" s="4">
        <v>86.3</v>
      </c>
      <c r="M64" t="str">
        <f>VLOOKUP(D64,tblProduct[],2,FALSE)</f>
        <v>Furniture</v>
      </c>
      <c r="N64" t="str">
        <f>VLOOKUP(D64,tblProduct[],3,FALSE)</f>
        <v>High</v>
      </c>
      <c r="O64">
        <f>VLOOKUP(D64,tblProduct[],4,FALSE)</f>
        <v>75000</v>
      </c>
      <c r="P64">
        <v>86.3</v>
      </c>
      <c r="Q64" s="19" t="str">
        <f t="shared" si="0"/>
        <v>Aug-2023</v>
      </c>
      <c r="R64" s="26">
        <f>DATE(YEAR(tblEnriched[[#This Row],[Date]]),MONTH(tblEnriched[[#This Row],[Date]]),1)</f>
        <v>45139</v>
      </c>
    </row>
    <row r="65" spans="1:18">
      <c r="A65" t="s">
        <v>293</v>
      </c>
      <c r="B65" s="10">
        <v>45690</v>
      </c>
      <c r="C65" t="s">
        <v>294</v>
      </c>
      <c r="D65" t="s">
        <v>47</v>
      </c>
      <c r="E65">
        <v>1</v>
      </c>
      <c r="F65" s="4">
        <v>564.86</v>
      </c>
      <c r="G65" t="s">
        <v>24</v>
      </c>
      <c r="H65" t="s">
        <v>25</v>
      </c>
      <c r="I65">
        <v>6</v>
      </c>
      <c r="J65" t="s">
        <v>87</v>
      </c>
      <c r="K65" t="s">
        <v>35</v>
      </c>
      <c r="L65" s="4">
        <v>564.86</v>
      </c>
      <c r="M65" t="str">
        <f>VLOOKUP(D65,tblProduct[],2,FALSE)</f>
        <v>Furniture</v>
      </c>
      <c r="N65" t="str">
        <f>VLOOKUP(D65,tblProduct[],3,FALSE)</f>
        <v>Medium</v>
      </c>
      <c r="O65">
        <f>VLOOKUP(D65,tblProduct[],4,FALSE)</f>
        <v>70000</v>
      </c>
      <c r="P65">
        <v>564.86</v>
      </c>
      <c r="Q65" s="19" t="str">
        <f t="shared" si="0"/>
        <v>Feb-2025</v>
      </c>
      <c r="R65" s="26">
        <f>DATE(YEAR(tblEnriched[[#This Row],[Date]]),MONTH(tblEnriched[[#This Row],[Date]]),1)</f>
        <v>45689</v>
      </c>
    </row>
    <row r="66" spans="1:18">
      <c r="A66" t="s">
        <v>297</v>
      </c>
      <c r="B66" s="10">
        <v>45833</v>
      </c>
      <c r="C66" t="s">
        <v>298</v>
      </c>
      <c r="D66" t="s">
        <v>54</v>
      </c>
      <c r="E66">
        <v>3</v>
      </c>
      <c r="F66" s="4">
        <v>130.61000000000001</v>
      </c>
      <c r="G66" t="s">
        <v>24</v>
      </c>
      <c r="H66" t="s">
        <v>41</v>
      </c>
      <c r="I66">
        <v>4</v>
      </c>
      <c r="J66" t="s">
        <v>43</v>
      </c>
      <c r="K66" t="s">
        <v>51</v>
      </c>
      <c r="L66" s="4">
        <v>391.83</v>
      </c>
      <c r="M66" t="str">
        <f>VLOOKUP(D66,tblProduct[],2,FALSE)</f>
        <v>Electronics</v>
      </c>
      <c r="N66" t="str">
        <f>VLOOKUP(D66,tblProduct[],3,FALSE)</f>
        <v>Medium</v>
      </c>
      <c r="O66">
        <f>VLOOKUP(D66,tblProduct[],4,FALSE)</f>
        <v>80000</v>
      </c>
      <c r="P66">
        <v>391.83</v>
      </c>
      <c r="Q66" s="19" t="str">
        <f t="shared" ref="Q66:Q129" si="1">TEXT(B66,"mmm-yyyy")</f>
        <v>Jun-2025</v>
      </c>
      <c r="R66" s="26">
        <f>DATE(YEAR(tblEnriched[[#This Row],[Date]]),MONTH(tblEnriched[[#This Row],[Date]]),1)</f>
        <v>45809</v>
      </c>
    </row>
    <row r="67" spans="1:18">
      <c r="A67" t="s">
        <v>301</v>
      </c>
      <c r="B67" s="10">
        <v>45290</v>
      </c>
      <c r="C67" t="s">
        <v>302</v>
      </c>
      <c r="D67" t="s">
        <v>22</v>
      </c>
      <c r="E67">
        <v>5</v>
      </c>
      <c r="F67" s="4">
        <v>81.7</v>
      </c>
      <c r="G67" t="s">
        <v>40</v>
      </c>
      <c r="H67" t="s">
        <v>56</v>
      </c>
      <c r="I67">
        <v>6</v>
      </c>
      <c r="K67" t="s">
        <v>28</v>
      </c>
      <c r="L67" s="4">
        <v>408.5</v>
      </c>
      <c r="M67" t="str">
        <f>VLOOKUP(D67,tblProduct[],2,FALSE)</f>
        <v>Electronics</v>
      </c>
      <c r="N67" t="str">
        <f>VLOOKUP(D67,tblProduct[],3,FALSE)</f>
        <v>Medium</v>
      </c>
      <c r="O67">
        <f>VLOOKUP(D67,tblProduct[],4,FALSE)</f>
        <v>90000</v>
      </c>
      <c r="P67">
        <v>408.5</v>
      </c>
      <c r="Q67" s="19" t="str">
        <f t="shared" si="1"/>
        <v>Dec-2023</v>
      </c>
      <c r="R67" s="26">
        <f>DATE(YEAR(tblEnriched[[#This Row],[Date]]),MONTH(tblEnriched[[#This Row],[Date]]),1)</f>
        <v>45261</v>
      </c>
    </row>
    <row r="68" spans="1:18">
      <c r="A68" t="s">
        <v>305</v>
      </c>
      <c r="B68" s="10">
        <v>45611</v>
      </c>
      <c r="C68" t="s">
        <v>306</v>
      </c>
      <c r="D68" t="s">
        <v>47</v>
      </c>
      <c r="E68">
        <v>5</v>
      </c>
      <c r="F68" s="4">
        <v>127.18</v>
      </c>
      <c r="G68" t="s">
        <v>71</v>
      </c>
      <c r="H68" t="s">
        <v>41</v>
      </c>
      <c r="I68">
        <v>9</v>
      </c>
      <c r="J68" t="s">
        <v>27</v>
      </c>
      <c r="K68" t="s">
        <v>35</v>
      </c>
      <c r="L68" s="4">
        <v>635.90000000000009</v>
      </c>
      <c r="M68" t="str">
        <f>VLOOKUP(D68,tblProduct[],2,FALSE)</f>
        <v>Furniture</v>
      </c>
      <c r="N68" t="str">
        <f>VLOOKUP(D68,tblProduct[],3,FALSE)</f>
        <v>Medium</v>
      </c>
      <c r="O68">
        <f>VLOOKUP(D68,tblProduct[],4,FALSE)</f>
        <v>70000</v>
      </c>
      <c r="P68">
        <v>635.90000000000009</v>
      </c>
      <c r="Q68" s="19" t="str">
        <f t="shared" si="1"/>
        <v>Nov-2024</v>
      </c>
      <c r="R68" s="26">
        <f>DATE(YEAR(tblEnriched[[#This Row],[Date]]),MONTH(tblEnriched[[#This Row],[Date]]),1)</f>
        <v>45597</v>
      </c>
    </row>
    <row r="69" spans="1:18">
      <c r="A69" t="s">
        <v>309</v>
      </c>
      <c r="B69" s="10">
        <v>45635</v>
      </c>
      <c r="C69" t="s">
        <v>310</v>
      </c>
      <c r="D69" t="s">
        <v>54</v>
      </c>
      <c r="E69">
        <v>4</v>
      </c>
      <c r="F69" s="4">
        <v>12.1</v>
      </c>
      <c r="G69" t="s">
        <v>24</v>
      </c>
      <c r="H69" t="s">
        <v>41</v>
      </c>
      <c r="I69">
        <v>8</v>
      </c>
      <c r="K69" t="s">
        <v>82</v>
      </c>
      <c r="L69" s="4">
        <v>48.4</v>
      </c>
      <c r="M69" t="str">
        <f>VLOOKUP(D69,tblProduct[],2,FALSE)</f>
        <v>Electronics</v>
      </c>
      <c r="N69" t="str">
        <f>VLOOKUP(D69,tblProduct[],3,FALSE)</f>
        <v>Medium</v>
      </c>
      <c r="O69">
        <f>VLOOKUP(D69,tblProduct[],4,FALSE)</f>
        <v>80000</v>
      </c>
      <c r="P69">
        <v>48.4</v>
      </c>
      <c r="Q69" s="19" t="str">
        <f t="shared" si="1"/>
        <v>Dec-2024</v>
      </c>
      <c r="R69" s="26">
        <f>DATE(YEAR(tblEnriched[[#This Row],[Date]]),MONTH(tblEnriched[[#This Row],[Date]]),1)</f>
        <v>45627</v>
      </c>
    </row>
    <row r="70" spans="1:18">
      <c r="A70" t="s">
        <v>313</v>
      </c>
      <c r="B70" s="10">
        <v>45271</v>
      </c>
      <c r="C70" t="s">
        <v>314</v>
      </c>
      <c r="D70" t="s">
        <v>47</v>
      </c>
      <c r="E70">
        <v>3</v>
      </c>
      <c r="F70" s="4">
        <v>490.92</v>
      </c>
      <c r="G70" t="s">
        <v>40</v>
      </c>
      <c r="H70" t="s">
        <v>95</v>
      </c>
      <c r="I70">
        <v>5</v>
      </c>
      <c r="J70" t="s">
        <v>43</v>
      </c>
      <c r="K70" t="s">
        <v>44</v>
      </c>
      <c r="L70" s="4">
        <v>1472.76</v>
      </c>
      <c r="M70" t="str">
        <f>VLOOKUP(D70,tblProduct[],2,FALSE)</f>
        <v>Furniture</v>
      </c>
      <c r="N70" t="str">
        <f>VLOOKUP(D70,tblProduct[],3,FALSE)</f>
        <v>Medium</v>
      </c>
      <c r="O70">
        <f>VLOOKUP(D70,tblProduct[],4,FALSE)</f>
        <v>70000</v>
      </c>
      <c r="P70">
        <v>1472.76</v>
      </c>
      <c r="Q70" s="19" t="str">
        <f t="shared" si="1"/>
        <v>Dec-2023</v>
      </c>
      <c r="R70" s="26">
        <f>DATE(YEAR(tblEnriched[[#This Row],[Date]]),MONTH(tblEnriched[[#This Row],[Date]]),1)</f>
        <v>45261</v>
      </c>
    </row>
    <row r="71" spans="1:18">
      <c r="A71" t="s">
        <v>316</v>
      </c>
      <c r="B71" s="10">
        <v>45057</v>
      </c>
      <c r="C71" t="s">
        <v>317</v>
      </c>
      <c r="D71" t="s">
        <v>22</v>
      </c>
      <c r="E71">
        <v>3</v>
      </c>
      <c r="F71" s="4">
        <v>478.65</v>
      </c>
      <c r="G71" t="s">
        <v>33</v>
      </c>
      <c r="H71" t="s">
        <v>25</v>
      </c>
      <c r="I71">
        <v>4</v>
      </c>
      <c r="K71" t="s">
        <v>35</v>
      </c>
      <c r="L71" s="4">
        <v>1435.95</v>
      </c>
      <c r="M71" t="str">
        <f>VLOOKUP(D71,tblProduct[],2,FALSE)</f>
        <v>Electronics</v>
      </c>
      <c r="N71" t="str">
        <f>VLOOKUP(D71,tblProduct[],3,FALSE)</f>
        <v>Medium</v>
      </c>
      <c r="O71">
        <f>VLOOKUP(D71,tblProduct[],4,FALSE)</f>
        <v>90000</v>
      </c>
      <c r="P71">
        <v>1435.95</v>
      </c>
      <c r="Q71" s="19" t="str">
        <f t="shared" si="1"/>
        <v>May-2023</v>
      </c>
      <c r="R71" s="26">
        <f>DATE(YEAR(tblEnriched[[#This Row],[Date]]),MONTH(tblEnriched[[#This Row],[Date]]),1)</f>
        <v>45047</v>
      </c>
    </row>
    <row r="72" spans="1:18">
      <c r="A72" t="s">
        <v>320</v>
      </c>
      <c r="B72" s="10">
        <v>45072</v>
      </c>
      <c r="C72" t="s">
        <v>321</v>
      </c>
      <c r="D72" t="s">
        <v>79</v>
      </c>
      <c r="E72">
        <v>1</v>
      </c>
      <c r="F72" s="4">
        <v>629.21</v>
      </c>
      <c r="G72" t="s">
        <v>66</v>
      </c>
      <c r="H72" t="s">
        <v>95</v>
      </c>
      <c r="I72">
        <v>2</v>
      </c>
      <c r="J72" t="s">
        <v>43</v>
      </c>
      <c r="K72" t="s">
        <v>28</v>
      </c>
      <c r="L72" s="4">
        <v>629.21</v>
      </c>
      <c r="M72" t="str">
        <f>VLOOKUP(D72,tblProduct[],2,FALSE)</f>
        <v>Furniture</v>
      </c>
      <c r="N72" t="str">
        <f>VLOOKUP(D72,tblProduct[],3,FALSE)</f>
        <v>High</v>
      </c>
      <c r="O72">
        <f>VLOOKUP(D72,tblProduct[],4,FALSE)</f>
        <v>75000</v>
      </c>
      <c r="P72">
        <v>629.21</v>
      </c>
      <c r="Q72" s="19" t="str">
        <f t="shared" si="1"/>
        <v>May-2023</v>
      </c>
      <c r="R72" s="26">
        <f>DATE(YEAR(tblEnriched[[#This Row],[Date]]),MONTH(tblEnriched[[#This Row],[Date]]),1)</f>
        <v>45047</v>
      </c>
    </row>
    <row r="73" spans="1:18">
      <c r="A73" t="s">
        <v>324</v>
      </c>
      <c r="B73" s="10">
        <v>45818</v>
      </c>
      <c r="C73" t="s">
        <v>325</v>
      </c>
      <c r="D73" t="s">
        <v>22</v>
      </c>
      <c r="E73">
        <v>3</v>
      </c>
      <c r="F73" s="4">
        <v>434.45</v>
      </c>
      <c r="G73" t="s">
        <v>40</v>
      </c>
      <c r="H73" t="s">
        <v>95</v>
      </c>
      <c r="I73">
        <v>4</v>
      </c>
      <c r="K73" t="s">
        <v>35</v>
      </c>
      <c r="L73" s="4">
        <v>1303.3499999999999</v>
      </c>
      <c r="M73" t="str">
        <f>VLOOKUP(D73,tblProduct[],2,FALSE)</f>
        <v>Electronics</v>
      </c>
      <c r="N73" t="str">
        <f>VLOOKUP(D73,tblProduct[],3,FALSE)</f>
        <v>Medium</v>
      </c>
      <c r="O73">
        <f>VLOOKUP(D73,tblProduct[],4,FALSE)</f>
        <v>90000</v>
      </c>
      <c r="P73">
        <v>1303.3499999999999</v>
      </c>
      <c r="Q73" s="19" t="str">
        <f t="shared" si="1"/>
        <v>Jun-2025</v>
      </c>
      <c r="R73" s="26">
        <f>DATE(YEAR(tblEnriched[[#This Row],[Date]]),MONTH(tblEnriched[[#This Row],[Date]]),1)</f>
        <v>45809</v>
      </c>
    </row>
    <row r="74" spans="1:18">
      <c r="A74" t="s">
        <v>328</v>
      </c>
      <c r="B74" s="10">
        <v>45648</v>
      </c>
      <c r="C74" t="s">
        <v>329</v>
      </c>
      <c r="D74" t="s">
        <v>38</v>
      </c>
      <c r="E74">
        <v>4</v>
      </c>
      <c r="F74" s="4">
        <v>589.44000000000005</v>
      </c>
      <c r="G74" t="s">
        <v>66</v>
      </c>
      <c r="H74" t="s">
        <v>49</v>
      </c>
      <c r="I74">
        <v>5</v>
      </c>
      <c r="K74" t="s">
        <v>51</v>
      </c>
      <c r="L74" s="4">
        <v>2357.7600000000002</v>
      </c>
      <c r="M74" t="str">
        <f>VLOOKUP(D74,tblProduct[],2,FALSE)</f>
        <v>Electronics</v>
      </c>
      <c r="N74" t="str">
        <f>VLOOKUP(D74,tblProduct[],3,FALSE)</f>
        <v>Medium</v>
      </c>
      <c r="O74">
        <f>VLOOKUP(D74,tblProduct[],4,FALSE)</f>
        <v>100000</v>
      </c>
      <c r="P74">
        <v>2357.7600000000002</v>
      </c>
      <c r="Q74" s="19" t="str">
        <f t="shared" si="1"/>
        <v>Dec-2024</v>
      </c>
      <c r="R74" s="26">
        <f>DATE(YEAR(tblEnriched[[#This Row],[Date]]),MONTH(tblEnriched[[#This Row],[Date]]),1)</f>
        <v>45627</v>
      </c>
    </row>
    <row r="75" spans="1:18">
      <c r="A75" t="s">
        <v>331</v>
      </c>
      <c r="B75" s="10">
        <v>45049</v>
      </c>
      <c r="C75" t="s">
        <v>332</v>
      </c>
      <c r="D75" t="s">
        <v>22</v>
      </c>
      <c r="E75">
        <v>4</v>
      </c>
      <c r="F75" s="4">
        <v>433.45</v>
      </c>
      <c r="G75" t="s">
        <v>66</v>
      </c>
      <c r="H75" t="s">
        <v>41</v>
      </c>
      <c r="I75">
        <v>4</v>
      </c>
      <c r="K75" t="s">
        <v>51</v>
      </c>
      <c r="L75" s="4">
        <v>1733.8</v>
      </c>
      <c r="M75" t="str">
        <f>VLOOKUP(D75,tblProduct[],2,FALSE)</f>
        <v>Electronics</v>
      </c>
      <c r="N75" t="str">
        <f>VLOOKUP(D75,tblProduct[],3,FALSE)</f>
        <v>Medium</v>
      </c>
      <c r="O75">
        <f>VLOOKUP(D75,tblProduct[],4,FALSE)</f>
        <v>90000</v>
      </c>
      <c r="P75">
        <v>1733.8</v>
      </c>
      <c r="Q75" s="19" t="str">
        <f t="shared" si="1"/>
        <v>May-2023</v>
      </c>
      <c r="R75" s="26">
        <f>DATE(YEAR(tblEnriched[[#This Row],[Date]]),MONTH(tblEnriched[[#This Row],[Date]]),1)</f>
        <v>45047</v>
      </c>
    </row>
    <row r="76" spans="1:18">
      <c r="A76" t="s">
        <v>335</v>
      </c>
      <c r="B76" s="10">
        <v>45101</v>
      </c>
      <c r="C76" t="s">
        <v>336</v>
      </c>
      <c r="D76" t="s">
        <v>31</v>
      </c>
      <c r="E76">
        <v>5</v>
      </c>
      <c r="F76" s="4">
        <v>90.87</v>
      </c>
      <c r="G76" t="s">
        <v>71</v>
      </c>
      <c r="H76" t="s">
        <v>95</v>
      </c>
      <c r="I76">
        <v>5</v>
      </c>
      <c r="K76" t="s">
        <v>28</v>
      </c>
      <c r="L76" s="4">
        <v>454.35</v>
      </c>
      <c r="M76" t="str">
        <f>VLOOKUP(D76,tblProduct[],2,FALSE)</f>
        <v>Electronics</v>
      </c>
      <c r="N76" t="str">
        <f>VLOOKUP(D76,tblProduct[],3,FALSE)</f>
        <v>High</v>
      </c>
      <c r="O76">
        <f>VLOOKUP(D76,tblProduct[],4,FALSE)</f>
        <v>120000</v>
      </c>
      <c r="P76">
        <v>454.35</v>
      </c>
      <c r="Q76" s="19" t="str">
        <f t="shared" si="1"/>
        <v>Jun-2023</v>
      </c>
      <c r="R76" s="26">
        <f>DATE(YEAR(tblEnriched[[#This Row],[Date]]),MONTH(tblEnriched[[#This Row],[Date]]),1)</f>
        <v>45078</v>
      </c>
    </row>
    <row r="77" spans="1:18">
      <c r="A77" t="s">
        <v>339</v>
      </c>
      <c r="B77" s="10">
        <v>45195</v>
      </c>
      <c r="C77" t="s">
        <v>340</v>
      </c>
      <c r="D77" t="s">
        <v>38</v>
      </c>
      <c r="E77">
        <v>3</v>
      </c>
      <c r="F77" s="4">
        <v>398.17</v>
      </c>
      <c r="G77" t="s">
        <v>24</v>
      </c>
      <c r="H77" t="s">
        <v>56</v>
      </c>
      <c r="I77">
        <v>5</v>
      </c>
      <c r="J77" t="s">
        <v>27</v>
      </c>
      <c r="K77" t="s">
        <v>44</v>
      </c>
      <c r="L77" s="4">
        <v>1194.51</v>
      </c>
      <c r="M77" t="str">
        <f>VLOOKUP(D77,tblProduct[],2,FALSE)</f>
        <v>Electronics</v>
      </c>
      <c r="N77" t="str">
        <f>VLOOKUP(D77,tblProduct[],3,FALSE)</f>
        <v>Medium</v>
      </c>
      <c r="O77">
        <f>VLOOKUP(D77,tblProduct[],4,FALSE)</f>
        <v>100000</v>
      </c>
      <c r="P77">
        <v>1194.51</v>
      </c>
      <c r="Q77" s="19" t="str">
        <f t="shared" si="1"/>
        <v>Sep-2023</v>
      </c>
      <c r="R77" s="26">
        <f>DATE(YEAR(tblEnriched[[#This Row],[Date]]),MONTH(tblEnriched[[#This Row],[Date]]),1)</f>
        <v>45170</v>
      </c>
    </row>
    <row r="78" spans="1:18">
      <c r="A78" t="s">
        <v>343</v>
      </c>
      <c r="B78" s="10">
        <v>45382</v>
      </c>
      <c r="C78" t="s">
        <v>344</v>
      </c>
      <c r="D78" t="s">
        <v>64</v>
      </c>
      <c r="E78">
        <v>4</v>
      </c>
      <c r="F78" s="4">
        <v>382.88</v>
      </c>
      <c r="G78" t="s">
        <v>71</v>
      </c>
      <c r="H78" t="s">
        <v>41</v>
      </c>
      <c r="I78">
        <v>6</v>
      </c>
      <c r="J78" t="s">
        <v>87</v>
      </c>
      <c r="K78" t="s">
        <v>44</v>
      </c>
      <c r="L78" s="4">
        <v>1531.52</v>
      </c>
      <c r="M78" t="str">
        <f>VLOOKUP(D78,tblProduct[],2,FALSE)</f>
        <v>Electronics</v>
      </c>
      <c r="N78" t="str">
        <f>VLOOKUP(D78,tblProduct[],3,FALSE)</f>
        <v>High</v>
      </c>
      <c r="O78">
        <f>VLOOKUP(D78,tblProduct[],4,FALSE)</f>
        <v>150000</v>
      </c>
      <c r="P78">
        <v>1531.52</v>
      </c>
      <c r="Q78" s="19" t="str">
        <f t="shared" si="1"/>
        <v>Mar-2024</v>
      </c>
      <c r="R78" s="26">
        <f>DATE(YEAR(tblEnriched[[#This Row],[Date]]),MONTH(tblEnriched[[#This Row],[Date]]),1)</f>
        <v>45352</v>
      </c>
    </row>
    <row r="79" spans="1:18">
      <c r="A79" t="s">
        <v>347</v>
      </c>
      <c r="B79" s="10">
        <v>45436</v>
      </c>
      <c r="C79" t="s">
        <v>348</v>
      </c>
      <c r="D79" t="s">
        <v>31</v>
      </c>
      <c r="E79">
        <v>1</v>
      </c>
      <c r="F79" s="4">
        <v>583.17999999999995</v>
      </c>
      <c r="G79" t="s">
        <v>40</v>
      </c>
      <c r="H79" t="s">
        <v>49</v>
      </c>
      <c r="I79">
        <v>5</v>
      </c>
      <c r="K79" t="s">
        <v>82</v>
      </c>
      <c r="L79" s="4">
        <v>583.17999999999995</v>
      </c>
      <c r="M79" t="str">
        <f>VLOOKUP(D79,tblProduct[],2,FALSE)</f>
        <v>Electronics</v>
      </c>
      <c r="N79" t="str">
        <f>VLOOKUP(D79,tblProduct[],3,FALSE)</f>
        <v>High</v>
      </c>
      <c r="O79">
        <f>VLOOKUP(D79,tblProduct[],4,FALSE)</f>
        <v>120000</v>
      </c>
      <c r="P79">
        <v>583.17999999999995</v>
      </c>
      <c r="Q79" s="19" t="str">
        <f t="shared" si="1"/>
        <v>May-2024</v>
      </c>
      <c r="R79" s="26">
        <f>DATE(YEAR(tblEnriched[[#This Row],[Date]]),MONTH(tblEnriched[[#This Row],[Date]]),1)</f>
        <v>45413</v>
      </c>
    </row>
    <row r="80" spans="1:18">
      <c r="A80" t="s">
        <v>351</v>
      </c>
      <c r="B80" s="10">
        <v>45510</v>
      </c>
      <c r="C80" t="s">
        <v>352</v>
      </c>
      <c r="D80" t="s">
        <v>54</v>
      </c>
      <c r="E80">
        <v>4</v>
      </c>
      <c r="F80" s="4">
        <v>175.36</v>
      </c>
      <c r="G80" t="s">
        <v>24</v>
      </c>
      <c r="H80" t="s">
        <v>56</v>
      </c>
      <c r="I80">
        <v>4</v>
      </c>
      <c r="J80" t="s">
        <v>43</v>
      </c>
      <c r="K80" t="s">
        <v>28</v>
      </c>
      <c r="L80" s="4">
        <v>701.44</v>
      </c>
      <c r="M80" t="str">
        <f>VLOOKUP(D80,tblProduct[],2,FALSE)</f>
        <v>Electronics</v>
      </c>
      <c r="N80" t="str">
        <f>VLOOKUP(D80,tblProduct[],3,FALSE)</f>
        <v>Medium</v>
      </c>
      <c r="O80">
        <f>VLOOKUP(D80,tblProduct[],4,FALSE)</f>
        <v>80000</v>
      </c>
      <c r="P80">
        <v>701.44</v>
      </c>
      <c r="Q80" s="19" t="str">
        <f t="shared" si="1"/>
        <v>Aug-2024</v>
      </c>
      <c r="R80" s="26">
        <f>DATE(YEAR(tblEnriched[[#This Row],[Date]]),MONTH(tblEnriched[[#This Row],[Date]]),1)</f>
        <v>45505</v>
      </c>
    </row>
    <row r="81" spans="1:18">
      <c r="A81" t="s">
        <v>355</v>
      </c>
      <c r="B81" s="10">
        <v>45726</v>
      </c>
      <c r="C81" t="s">
        <v>356</v>
      </c>
      <c r="D81" t="s">
        <v>38</v>
      </c>
      <c r="E81">
        <v>2</v>
      </c>
      <c r="F81" s="4">
        <v>311.91000000000003</v>
      </c>
      <c r="G81" t="s">
        <v>33</v>
      </c>
      <c r="H81" t="s">
        <v>25</v>
      </c>
      <c r="I81">
        <v>2</v>
      </c>
      <c r="K81" t="s">
        <v>51</v>
      </c>
      <c r="L81" s="4">
        <v>623.82000000000005</v>
      </c>
      <c r="M81" t="str">
        <f>VLOOKUP(D81,tblProduct[],2,FALSE)</f>
        <v>Electronics</v>
      </c>
      <c r="N81" t="str">
        <f>VLOOKUP(D81,tblProduct[],3,FALSE)</f>
        <v>Medium</v>
      </c>
      <c r="O81">
        <f>VLOOKUP(D81,tblProduct[],4,FALSE)</f>
        <v>100000</v>
      </c>
      <c r="P81">
        <v>623.82000000000005</v>
      </c>
      <c r="Q81" s="19" t="str">
        <f t="shared" si="1"/>
        <v>Mar-2025</v>
      </c>
      <c r="R81" s="26">
        <f>DATE(YEAR(tblEnriched[[#This Row],[Date]]),MONTH(tblEnriched[[#This Row],[Date]]),1)</f>
        <v>45717</v>
      </c>
    </row>
    <row r="82" spans="1:18">
      <c r="A82" t="s">
        <v>359</v>
      </c>
      <c r="B82" s="10">
        <v>45104</v>
      </c>
      <c r="C82" t="s">
        <v>360</v>
      </c>
      <c r="D82" t="s">
        <v>31</v>
      </c>
      <c r="E82">
        <v>3</v>
      </c>
      <c r="F82" s="4">
        <v>589.55999999999995</v>
      </c>
      <c r="G82" t="s">
        <v>33</v>
      </c>
      <c r="H82" t="s">
        <v>49</v>
      </c>
      <c r="I82">
        <v>6</v>
      </c>
      <c r="K82" t="s">
        <v>51</v>
      </c>
      <c r="L82" s="4">
        <v>1768.68</v>
      </c>
      <c r="M82" t="str">
        <f>VLOOKUP(D82,tblProduct[],2,FALSE)</f>
        <v>Electronics</v>
      </c>
      <c r="N82" t="str">
        <f>VLOOKUP(D82,tblProduct[],3,FALSE)</f>
        <v>High</v>
      </c>
      <c r="O82">
        <f>VLOOKUP(D82,tblProduct[],4,FALSE)</f>
        <v>120000</v>
      </c>
      <c r="P82">
        <v>1768.68</v>
      </c>
      <c r="Q82" s="19" t="str">
        <f t="shared" si="1"/>
        <v>Jun-2023</v>
      </c>
      <c r="R82" s="26">
        <f>DATE(YEAR(tblEnriched[[#This Row],[Date]]),MONTH(tblEnriched[[#This Row],[Date]]),1)</f>
        <v>45078</v>
      </c>
    </row>
    <row r="83" spans="1:18">
      <c r="A83" t="s">
        <v>363</v>
      </c>
      <c r="B83" s="10">
        <v>45085</v>
      </c>
      <c r="C83" t="s">
        <v>364</v>
      </c>
      <c r="D83" t="s">
        <v>22</v>
      </c>
      <c r="E83">
        <v>2</v>
      </c>
      <c r="F83" s="4">
        <v>394.3</v>
      </c>
      <c r="G83" t="s">
        <v>71</v>
      </c>
      <c r="H83" t="s">
        <v>25</v>
      </c>
      <c r="I83">
        <v>6</v>
      </c>
      <c r="J83" t="s">
        <v>43</v>
      </c>
      <c r="K83" t="s">
        <v>44</v>
      </c>
      <c r="L83" s="4">
        <v>788.6</v>
      </c>
      <c r="M83" t="str">
        <f>VLOOKUP(D83,tblProduct[],2,FALSE)</f>
        <v>Electronics</v>
      </c>
      <c r="N83" t="str">
        <f>VLOOKUP(D83,tblProduct[],3,FALSE)</f>
        <v>Medium</v>
      </c>
      <c r="O83">
        <f>VLOOKUP(D83,tblProduct[],4,FALSE)</f>
        <v>90000</v>
      </c>
      <c r="P83">
        <v>788.6</v>
      </c>
      <c r="Q83" s="19" t="str">
        <f t="shared" si="1"/>
        <v>Jun-2023</v>
      </c>
      <c r="R83" s="26">
        <f>DATE(YEAR(tblEnriched[[#This Row],[Date]]),MONTH(tblEnriched[[#This Row],[Date]]),1)</f>
        <v>45078</v>
      </c>
    </row>
    <row r="84" spans="1:18">
      <c r="A84" t="s">
        <v>367</v>
      </c>
      <c r="B84" s="10">
        <v>45296</v>
      </c>
      <c r="C84" t="s">
        <v>368</v>
      </c>
      <c r="D84" t="s">
        <v>38</v>
      </c>
      <c r="E84">
        <v>4</v>
      </c>
      <c r="F84" s="4">
        <v>565.20000000000005</v>
      </c>
      <c r="G84" t="s">
        <v>24</v>
      </c>
      <c r="H84" t="s">
        <v>25</v>
      </c>
      <c r="I84">
        <v>9</v>
      </c>
      <c r="J84" t="s">
        <v>27</v>
      </c>
      <c r="K84" t="s">
        <v>82</v>
      </c>
      <c r="L84" s="4">
        <v>2260.8000000000002</v>
      </c>
      <c r="M84" t="str">
        <f>VLOOKUP(D84,tblProduct[],2,FALSE)</f>
        <v>Electronics</v>
      </c>
      <c r="N84" t="str">
        <f>VLOOKUP(D84,tblProduct[],3,FALSE)</f>
        <v>Medium</v>
      </c>
      <c r="O84">
        <f>VLOOKUP(D84,tblProduct[],4,FALSE)</f>
        <v>100000</v>
      </c>
      <c r="P84">
        <v>2260.8000000000002</v>
      </c>
      <c r="Q84" s="19" t="str">
        <f t="shared" si="1"/>
        <v>Jan-2024</v>
      </c>
      <c r="R84" s="26">
        <f>DATE(YEAR(tblEnriched[[#This Row],[Date]]),MONTH(tblEnriched[[#This Row],[Date]]),1)</f>
        <v>45292</v>
      </c>
    </row>
    <row r="85" spans="1:18">
      <c r="A85" t="s">
        <v>371</v>
      </c>
      <c r="B85" s="10">
        <v>45160</v>
      </c>
      <c r="C85" t="s">
        <v>372</v>
      </c>
      <c r="D85" t="s">
        <v>64</v>
      </c>
      <c r="E85">
        <v>4</v>
      </c>
      <c r="F85" s="4">
        <v>540.41</v>
      </c>
      <c r="G85" t="s">
        <v>40</v>
      </c>
      <c r="H85" t="s">
        <v>41</v>
      </c>
      <c r="I85">
        <v>6</v>
      </c>
      <c r="K85" t="s">
        <v>35</v>
      </c>
      <c r="L85" s="4">
        <v>2161.64</v>
      </c>
      <c r="M85" t="str">
        <f>VLOOKUP(D85,tblProduct[],2,FALSE)</f>
        <v>Electronics</v>
      </c>
      <c r="N85" t="str">
        <f>VLOOKUP(D85,tblProduct[],3,FALSE)</f>
        <v>High</v>
      </c>
      <c r="O85">
        <f>VLOOKUP(D85,tblProduct[],4,FALSE)</f>
        <v>150000</v>
      </c>
      <c r="P85">
        <v>2161.64</v>
      </c>
      <c r="Q85" s="19" t="str">
        <f t="shared" si="1"/>
        <v>Aug-2023</v>
      </c>
      <c r="R85" s="26">
        <f>DATE(YEAR(tblEnriched[[#This Row],[Date]]),MONTH(tblEnriched[[#This Row],[Date]]),1)</f>
        <v>45139</v>
      </c>
    </row>
    <row r="86" spans="1:18">
      <c r="A86" t="s">
        <v>375</v>
      </c>
      <c r="B86" s="10">
        <v>45166</v>
      </c>
      <c r="C86" t="s">
        <v>376</v>
      </c>
      <c r="D86" t="s">
        <v>22</v>
      </c>
      <c r="E86">
        <v>2</v>
      </c>
      <c r="F86" s="4">
        <v>165.49</v>
      </c>
      <c r="G86" t="s">
        <v>33</v>
      </c>
      <c r="H86" t="s">
        <v>25</v>
      </c>
      <c r="I86">
        <v>4</v>
      </c>
      <c r="J86" t="s">
        <v>87</v>
      </c>
      <c r="K86" t="s">
        <v>28</v>
      </c>
      <c r="L86" s="4">
        <v>330.98</v>
      </c>
      <c r="M86" t="str">
        <f>VLOOKUP(D86,tblProduct[],2,FALSE)</f>
        <v>Electronics</v>
      </c>
      <c r="N86" t="str">
        <f>VLOOKUP(D86,tblProduct[],3,FALSE)</f>
        <v>Medium</v>
      </c>
      <c r="O86">
        <f>VLOOKUP(D86,tblProduct[],4,FALSE)</f>
        <v>90000</v>
      </c>
      <c r="P86">
        <v>330.98</v>
      </c>
      <c r="Q86" s="19" t="str">
        <f t="shared" si="1"/>
        <v>Aug-2023</v>
      </c>
      <c r="R86" s="26">
        <f>DATE(YEAR(tblEnriched[[#This Row],[Date]]),MONTH(tblEnriched[[#This Row],[Date]]),1)</f>
        <v>45139</v>
      </c>
    </row>
    <row r="87" spans="1:18">
      <c r="A87" t="s">
        <v>379</v>
      </c>
      <c r="B87" s="10">
        <v>45544</v>
      </c>
      <c r="C87" t="s">
        <v>380</v>
      </c>
      <c r="D87" t="s">
        <v>38</v>
      </c>
      <c r="E87">
        <v>3</v>
      </c>
      <c r="F87" s="4">
        <v>146.72999999999999</v>
      </c>
      <c r="G87" t="s">
        <v>71</v>
      </c>
      <c r="H87" t="s">
        <v>56</v>
      </c>
      <c r="I87">
        <v>8</v>
      </c>
      <c r="J87" t="s">
        <v>43</v>
      </c>
      <c r="K87" t="s">
        <v>44</v>
      </c>
      <c r="L87" s="4">
        <v>440.18999999999988</v>
      </c>
      <c r="M87" t="str">
        <f>VLOOKUP(D87,tblProduct[],2,FALSE)</f>
        <v>Electronics</v>
      </c>
      <c r="N87" t="str">
        <f>VLOOKUP(D87,tblProduct[],3,FALSE)</f>
        <v>Medium</v>
      </c>
      <c r="O87">
        <f>VLOOKUP(D87,tblProduct[],4,FALSE)</f>
        <v>100000</v>
      </c>
      <c r="P87">
        <v>440.18999999999988</v>
      </c>
      <c r="Q87" s="19" t="str">
        <f t="shared" si="1"/>
        <v>Sep-2024</v>
      </c>
      <c r="R87" s="26">
        <f>DATE(YEAR(tblEnriched[[#This Row],[Date]]),MONTH(tblEnriched[[#This Row],[Date]]),1)</f>
        <v>45536</v>
      </c>
    </row>
    <row r="88" spans="1:18">
      <c r="A88" t="s">
        <v>383</v>
      </c>
      <c r="B88" s="10">
        <v>45462</v>
      </c>
      <c r="C88" t="s">
        <v>384</v>
      </c>
      <c r="D88" t="s">
        <v>54</v>
      </c>
      <c r="E88">
        <v>5</v>
      </c>
      <c r="F88" s="4">
        <v>643.03</v>
      </c>
      <c r="G88" t="s">
        <v>33</v>
      </c>
      <c r="H88" t="s">
        <v>41</v>
      </c>
      <c r="I88">
        <v>5</v>
      </c>
      <c r="J88" t="s">
        <v>43</v>
      </c>
      <c r="K88" t="s">
        <v>35</v>
      </c>
      <c r="L88" s="4">
        <v>3215.15</v>
      </c>
      <c r="M88" t="str">
        <f>VLOOKUP(D88,tblProduct[],2,FALSE)</f>
        <v>Electronics</v>
      </c>
      <c r="N88" t="str">
        <f>VLOOKUP(D88,tblProduct[],3,FALSE)</f>
        <v>Medium</v>
      </c>
      <c r="O88">
        <f>VLOOKUP(D88,tblProduct[],4,FALSE)</f>
        <v>80000</v>
      </c>
      <c r="P88">
        <v>3215.15</v>
      </c>
      <c r="Q88" s="19" t="str">
        <f t="shared" si="1"/>
        <v>Jun-2024</v>
      </c>
      <c r="R88" s="26">
        <f>DATE(YEAR(tblEnriched[[#This Row],[Date]]),MONTH(tblEnriched[[#This Row],[Date]]),1)</f>
        <v>45444</v>
      </c>
    </row>
    <row r="89" spans="1:18">
      <c r="A89" t="s">
        <v>387</v>
      </c>
      <c r="B89" s="10">
        <v>45575</v>
      </c>
      <c r="C89" t="s">
        <v>388</v>
      </c>
      <c r="D89" t="s">
        <v>38</v>
      </c>
      <c r="E89">
        <v>3</v>
      </c>
      <c r="F89" s="4">
        <v>225.11</v>
      </c>
      <c r="G89" t="s">
        <v>71</v>
      </c>
      <c r="H89" t="s">
        <v>25</v>
      </c>
      <c r="I89">
        <v>4</v>
      </c>
      <c r="J89" t="s">
        <v>27</v>
      </c>
      <c r="K89" t="s">
        <v>51</v>
      </c>
      <c r="L89" s="4">
        <v>675.33</v>
      </c>
      <c r="M89" t="str">
        <f>VLOOKUP(D89,tblProduct[],2,FALSE)</f>
        <v>Electronics</v>
      </c>
      <c r="N89" t="str">
        <f>VLOOKUP(D89,tblProduct[],3,FALSE)</f>
        <v>Medium</v>
      </c>
      <c r="O89">
        <f>VLOOKUP(D89,tblProduct[],4,FALSE)</f>
        <v>100000</v>
      </c>
      <c r="P89">
        <v>675.33</v>
      </c>
      <c r="Q89" s="19" t="str">
        <f t="shared" si="1"/>
        <v>Oct-2024</v>
      </c>
      <c r="R89" s="26">
        <f>DATE(YEAR(tblEnriched[[#This Row],[Date]]),MONTH(tblEnriched[[#This Row],[Date]]),1)</f>
        <v>45566</v>
      </c>
    </row>
    <row r="90" spans="1:18">
      <c r="A90" t="s">
        <v>391</v>
      </c>
      <c r="B90" s="10">
        <v>45813</v>
      </c>
      <c r="C90" t="s">
        <v>392</v>
      </c>
      <c r="D90" t="s">
        <v>79</v>
      </c>
      <c r="E90">
        <v>3</v>
      </c>
      <c r="F90" s="4">
        <v>114.81</v>
      </c>
      <c r="G90" t="s">
        <v>66</v>
      </c>
      <c r="H90" t="s">
        <v>41</v>
      </c>
      <c r="I90">
        <v>7</v>
      </c>
      <c r="K90" t="s">
        <v>82</v>
      </c>
      <c r="L90" s="4">
        <v>344.43</v>
      </c>
      <c r="M90" t="str">
        <f>VLOOKUP(D90,tblProduct[],2,FALSE)</f>
        <v>Furniture</v>
      </c>
      <c r="N90" t="str">
        <f>VLOOKUP(D90,tblProduct[],3,FALSE)</f>
        <v>High</v>
      </c>
      <c r="O90">
        <f>VLOOKUP(D90,tblProduct[],4,FALSE)</f>
        <v>75000</v>
      </c>
      <c r="P90">
        <v>344.43</v>
      </c>
      <c r="Q90" s="19" t="str">
        <f t="shared" si="1"/>
        <v>Jun-2025</v>
      </c>
      <c r="R90" s="26">
        <f>DATE(YEAR(tblEnriched[[#This Row],[Date]]),MONTH(tblEnriched[[#This Row],[Date]]),1)</f>
        <v>45809</v>
      </c>
    </row>
    <row r="91" spans="1:18">
      <c r="A91" t="s">
        <v>395</v>
      </c>
      <c r="B91" s="10">
        <v>45713</v>
      </c>
      <c r="C91" t="s">
        <v>396</v>
      </c>
      <c r="D91" t="s">
        <v>54</v>
      </c>
      <c r="E91">
        <v>5</v>
      </c>
      <c r="F91" s="4">
        <v>455.33</v>
      </c>
      <c r="G91" t="s">
        <v>40</v>
      </c>
      <c r="H91" t="s">
        <v>41</v>
      </c>
      <c r="I91">
        <v>8</v>
      </c>
      <c r="J91" t="s">
        <v>43</v>
      </c>
      <c r="K91" t="s">
        <v>82</v>
      </c>
      <c r="L91" s="4">
        <v>2276.65</v>
      </c>
      <c r="M91" t="str">
        <f>VLOOKUP(D91,tblProduct[],2,FALSE)</f>
        <v>Electronics</v>
      </c>
      <c r="N91" t="str">
        <f>VLOOKUP(D91,tblProduct[],3,FALSE)</f>
        <v>Medium</v>
      </c>
      <c r="O91">
        <f>VLOOKUP(D91,tblProduct[],4,FALSE)</f>
        <v>80000</v>
      </c>
      <c r="P91">
        <v>2276.65</v>
      </c>
      <c r="Q91" s="19" t="str">
        <f t="shared" si="1"/>
        <v>Feb-2025</v>
      </c>
      <c r="R91" s="26">
        <f>DATE(YEAR(tblEnriched[[#This Row],[Date]]),MONTH(tblEnriched[[#This Row],[Date]]),1)</f>
        <v>45689</v>
      </c>
    </row>
    <row r="92" spans="1:18">
      <c r="A92" t="s">
        <v>399</v>
      </c>
      <c r="B92" s="10">
        <v>45187</v>
      </c>
      <c r="C92" t="s">
        <v>400</v>
      </c>
      <c r="D92" t="s">
        <v>47</v>
      </c>
      <c r="E92">
        <v>4</v>
      </c>
      <c r="F92" s="4">
        <v>182.08</v>
      </c>
      <c r="G92" t="s">
        <v>66</v>
      </c>
      <c r="H92" t="s">
        <v>56</v>
      </c>
      <c r="I92">
        <v>4</v>
      </c>
      <c r="J92" t="s">
        <v>27</v>
      </c>
      <c r="K92" t="s">
        <v>44</v>
      </c>
      <c r="L92" s="4">
        <v>728.32</v>
      </c>
      <c r="M92" t="str">
        <f>VLOOKUP(D92,tblProduct[],2,FALSE)</f>
        <v>Furniture</v>
      </c>
      <c r="N92" t="str">
        <f>VLOOKUP(D92,tblProduct[],3,FALSE)</f>
        <v>Medium</v>
      </c>
      <c r="O92">
        <f>VLOOKUP(D92,tblProduct[],4,FALSE)</f>
        <v>70000</v>
      </c>
      <c r="P92">
        <v>728.32</v>
      </c>
      <c r="Q92" s="19" t="str">
        <f t="shared" si="1"/>
        <v>Sep-2023</v>
      </c>
      <c r="R92" s="26">
        <f>DATE(YEAR(tblEnriched[[#This Row],[Date]]),MONTH(tblEnriched[[#This Row],[Date]]),1)</f>
        <v>45170</v>
      </c>
    </row>
    <row r="93" spans="1:18">
      <c r="A93" t="s">
        <v>403</v>
      </c>
      <c r="B93" s="10">
        <v>45000</v>
      </c>
      <c r="C93" t="s">
        <v>404</v>
      </c>
      <c r="D93" t="s">
        <v>64</v>
      </c>
      <c r="E93">
        <v>5</v>
      </c>
      <c r="F93" s="4">
        <v>492.75</v>
      </c>
      <c r="G93" t="s">
        <v>71</v>
      </c>
      <c r="H93" t="s">
        <v>25</v>
      </c>
      <c r="I93">
        <v>6</v>
      </c>
      <c r="J93" t="s">
        <v>87</v>
      </c>
      <c r="K93" t="s">
        <v>35</v>
      </c>
      <c r="L93" s="4">
        <v>2463.75</v>
      </c>
      <c r="M93" t="str">
        <f>VLOOKUP(D93,tblProduct[],2,FALSE)</f>
        <v>Electronics</v>
      </c>
      <c r="N93" t="str">
        <f>VLOOKUP(D93,tblProduct[],3,FALSE)</f>
        <v>High</v>
      </c>
      <c r="O93">
        <f>VLOOKUP(D93,tblProduct[],4,FALSE)</f>
        <v>150000</v>
      </c>
      <c r="P93">
        <v>2463.75</v>
      </c>
      <c r="Q93" s="19" t="str">
        <f t="shared" si="1"/>
        <v>Mar-2023</v>
      </c>
      <c r="R93" s="26">
        <f>DATE(YEAR(tblEnriched[[#This Row],[Date]]),MONTH(tblEnriched[[#This Row],[Date]]),1)</f>
        <v>44986</v>
      </c>
    </row>
    <row r="94" spans="1:18">
      <c r="A94" t="s">
        <v>407</v>
      </c>
      <c r="B94" s="10">
        <v>45453</v>
      </c>
      <c r="C94" t="s">
        <v>408</v>
      </c>
      <c r="D94" t="s">
        <v>54</v>
      </c>
      <c r="E94">
        <v>4</v>
      </c>
      <c r="F94" s="4">
        <v>48.61</v>
      </c>
      <c r="G94" t="s">
        <v>33</v>
      </c>
      <c r="H94" t="s">
        <v>25</v>
      </c>
      <c r="I94">
        <v>7</v>
      </c>
      <c r="J94" t="s">
        <v>43</v>
      </c>
      <c r="K94" t="s">
        <v>51</v>
      </c>
      <c r="L94" s="4">
        <v>194.44</v>
      </c>
      <c r="M94" t="str">
        <f>VLOOKUP(D94,tblProduct[],2,FALSE)</f>
        <v>Electronics</v>
      </c>
      <c r="N94" t="str">
        <f>VLOOKUP(D94,tblProduct[],3,FALSE)</f>
        <v>Medium</v>
      </c>
      <c r="O94">
        <f>VLOOKUP(D94,tblProduct[],4,FALSE)</f>
        <v>80000</v>
      </c>
      <c r="P94">
        <v>194.44</v>
      </c>
      <c r="Q94" s="19" t="str">
        <f t="shared" si="1"/>
        <v>Jun-2024</v>
      </c>
      <c r="R94" s="26">
        <f>DATE(YEAR(tblEnriched[[#This Row],[Date]]),MONTH(tblEnriched[[#This Row],[Date]]),1)</f>
        <v>45444</v>
      </c>
    </row>
    <row r="95" spans="1:18">
      <c r="A95" t="s">
        <v>411</v>
      </c>
      <c r="B95" s="10">
        <v>44940</v>
      </c>
      <c r="C95" t="s">
        <v>412</v>
      </c>
      <c r="D95" t="s">
        <v>79</v>
      </c>
      <c r="E95">
        <v>4</v>
      </c>
      <c r="F95" s="4">
        <v>431.01</v>
      </c>
      <c r="G95" t="s">
        <v>40</v>
      </c>
      <c r="H95" t="s">
        <v>49</v>
      </c>
      <c r="I95">
        <v>7</v>
      </c>
      <c r="K95" t="s">
        <v>35</v>
      </c>
      <c r="L95" s="4">
        <v>1724.04</v>
      </c>
      <c r="M95" t="str">
        <f>VLOOKUP(D95,tblProduct[],2,FALSE)</f>
        <v>Furniture</v>
      </c>
      <c r="N95" t="str">
        <f>VLOOKUP(D95,tblProduct[],3,FALSE)</f>
        <v>High</v>
      </c>
      <c r="O95">
        <f>VLOOKUP(D95,tblProduct[],4,FALSE)</f>
        <v>75000</v>
      </c>
      <c r="P95">
        <v>1724.04</v>
      </c>
      <c r="Q95" s="19" t="str">
        <f t="shared" si="1"/>
        <v>Jan-2023</v>
      </c>
      <c r="R95" s="26">
        <f>DATE(YEAR(tblEnriched[[#This Row],[Date]]),MONTH(tblEnriched[[#This Row],[Date]]),1)</f>
        <v>44927</v>
      </c>
    </row>
    <row r="96" spans="1:18">
      <c r="A96" t="s">
        <v>415</v>
      </c>
      <c r="B96" s="10">
        <v>44968</v>
      </c>
      <c r="C96" t="s">
        <v>416</v>
      </c>
      <c r="D96" t="s">
        <v>47</v>
      </c>
      <c r="E96">
        <v>1</v>
      </c>
      <c r="F96" s="4">
        <v>531.17999999999995</v>
      </c>
      <c r="G96" t="s">
        <v>66</v>
      </c>
      <c r="H96" t="s">
        <v>49</v>
      </c>
      <c r="I96">
        <v>6</v>
      </c>
      <c r="J96" t="s">
        <v>87</v>
      </c>
      <c r="K96" t="s">
        <v>28</v>
      </c>
      <c r="L96" s="4">
        <v>531.17999999999995</v>
      </c>
      <c r="M96" t="str">
        <f>VLOOKUP(D96,tblProduct[],2,FALSE)</f>
        <v>Furniture</v>
      </c>
      <c r="N96" t="str">
        <f>VLOOKUP(D96,tblProduct[],3,FALSE)</f>
        <v>Medium</v>
      </c>
      <c r="O96">
        <f>VLOOKUP(D96,tblProduct[],4,FALSE)</f>
        <v>70000</v>
      </c>
      <c r="P96">
        <v>531.17999999999995</v>
      </c>
      <c r="Q96" s="19" t="str">
        <f t="shared" si="1"/>
        <v>Feb-2023</v>
      </c>
      <c r="R96" s="26">
        <f>DATE(YEAR(tblEnriched[[#This Row],[Date]]),MONTH(tblEnriched[[#This Row],[Date]]),1)</f>
        <v>44958</v>
      </c>
    </row>
    <row r="97" spans="1:18">
      <c r="A97" t="s">
        <v>419</v>
      </c>
      <c r="B97" s="10">
        <v>45009</v>
      </c>
      <c r="C97" t="s">
        <v>420</v>
      </c>
      <c r="D97" t="s">
        <v>54</v>
      </c>
      <c r="E97">
        <v>4</v>
      </c>
      <c r="F97" s="4">
        <v>117.51</v>
      </c>
      <c r="G97" t="s">
        <v>24</v>
      </c>
      <c r="H97" t="s">
        <v>49</v>
      </c>
      <c r="I97">
        <v>7</v>
      </c>
      <c r="K97" t="s">
        <v>35</v>
      </c>
      <c r="L97" s="4">
        <v>470.04</v>
      </c>
      <c r="M97" t="str">
        <f>VLOOKUP(D97,tblProduct[],2,FALSE)</f>
        <v>Electronics</v>
      </c>
      <c r="N97" t="str">
        <f>VLOOKUP(D97,tblProduct[],3,FALSE)</f>
        <v>Medium</v>
      </c>
      <c r="O97">
        <f>VLOOKUP(D97,tblProduct[],4,FALSE)</f>
        <v>80000</v>
      </c>
      <c r="P97">
        <v>470.04</v>
      </c>
      <c r="Q97" s="19" t="str">
        <f t="shared" si="1"/>
        <v>Mar-2023</v>
      </c>
      <c r="R97" s="26">
        <f>DATE(YEAR(tblEnriched[[#This Row],[Date]]),MONTH(tblEnriched[[#This Row],[Date]]),1)</f>
        <v>44986</v>
      </c>
    </row>
    <row r="98" spans="1:18">
      <c r="A98" t="s">
        <v>423</v>
      </c>
      <c r="B98" s="10">
        <v>45444</v>
      </c>
      <c r="C98" t="s">
        <v>424</v>
      </c>
      <c r="D98" t="s">
        <v>31</v>
      </c>
      <c r="E98">
        <v>2</v>
      </c>
      <c r="F98" s="4">
        <v>232.83</v>
      </c>
      <c r="G98" t="s">
        <v>66</v>
      </c>
      <c r="H98" t="s">
        <v>56</v>
      </c>
      <c r="I98">
        <v>7</v>
      </c>
      <c r="K98" t="s">
        <v>28</v>
      </c>
      <c r="L98" s="4">
        <v>465.66</v>
      </c>
      <c r="M98" t="str">
        <f>VLOOKUP(D98,tblProduct[],2,FALSE)</f>
        <v>Electronics</v>
      </c>
      <c r="N98" t="str">
        <f>VLOOKUP(D98,tblProduct[],3,FALSE)</f>
        <v>High</v>
      </c>
      <c r="O98">
        <f>VLOOKUP(D98,tblProduct[],4,FALSE)</f>
        <v>120000</v>
      </c>
      <c r="P98">
        <v>465.66</v>
      </c>
      <c r="Q98" s="19" t="str">
        <f t="shared" si="1"/>
        <v>Jun-2024</v>
      </c>
      <c r="R98" s="26">
        <f>DATE(YEAR(tblEnriched[[#This Row],[Date]]),MONTH(tblEnriched[[#This Row],[Date]]),1)</f>
        <v>45444</v>
      </c>
    </row>
    <row r="99" spans="1:18">
      <c r="A99" t="s">
        <v>426</v>
      </c>
      <c r="B99" s="10">
        <v>45678</v>
      </c>
      <c r="C99" t="s">
        <v>427</v>
      </c>
      <c r="D99" t="s">
        <v>38</v>
      </c>
      <c r="E99">
        <v>5</v>
      </c>
      <c r="F99" s="4">
        <v>619.52</v>
      </c>
      <c r="G99" t="s">
        <v>24</v>
      </c>
      <c r="H99" t="s">
        <v>95</v>
      </c>
      <c r="I99">
        <v>9</v>
      </c>
      <c r="K99" t="s">
        <v>44</v>
      </c>
      <c r="L99" s="4">
        <v>3097.6</v>
      </c>
      <c r="M99" t="str">
        <f>VLOOKUP(D99,tblProduct[],2,FALSE)</f>
        <v>Electronics</v>
      </c>
      <c r="N99" t="str">
        <f>VLOOKUP(D99,tblProduct[],3,FALSE)</f>
        <v>Medium</v>
      </c>
      <c r="O99">
        <f>VLOOKUP(D99,tblProduct[],4,FALSE)</f>
        <v>100000</v>
      </c>
      <c r="P99">
        <v>3097.6</v>
      </c>
      <c r="Q99" s="19" t="str">
        <f t="shared" si="1"/>
        <v>Jan-2025</v>
      </c>
      <c r="R99" s="26">
        <f>DATE(YEAR(tblEnriched[[#This Row],[Date]]),MONTH(tblEnriched[[#This Row],[Date]]),1)</f>
        <v>45658</v>
      </c>
    </row>
    <row r="100" spans="1:18">
      <c r="A100" t="s">
        <v>430</v>
      </c>
      <c r="B100" s="10">
        <v>44940</v>
      </c>
      <c r="C100" t="s">
        <v>431</v>
      </c>
      <c r="D100" t="s">
        <v>54</v>
      </c>
      <c r="E100">
        <v>2</v>
      </c>
      <c r="F100" s="4">
        <v>228.54</v>
      </c>
      <c r="G100" t="s">
        <v>24</v>
      </c>
      <c r="H100" t="s">
        <v>95</v>
      </c>
      <c r="I100">
        <v>3</v>
      </c>
      <c r="K100" t="s">
        <v>44</v>
      </c>
      <c r="L100" s="4">
        <v>457.08</v>
      </c>
      <c r="M100" t="str">
        <f>VLOOKUP(D100,tblProduct[],2,FALSE)</f>
        <v>Electronics</v>
      </c>
      <c r="N100" t="str">
        <f>VLOOKUP(D100,tblProduct[],3,FALSE)</f>
        <v>Medium</v>
      </c>
      <c r="O100">
        <f>VLOOKUP(D100,tblProduct[],4,FALSE)</f>
        <v>80000</v>
      </c>
      <c r="P100">
        <v>457.08</v>
      </c>
      <c r="Q100" s="19" t="str">
        <f t="shared" si="1"/>
        <v>Jan-2023</v>
      </c>
      <c r="R100" s="26">
        <f>DATE(YEAR(tblEnriched[[#This Row],[Date]]),MONTH(tblEnriched[[#This Row],[Date]]),1)</f>
        <v>44927</v>
      </c>
    </row>
    <row r="101" spans="1:18">
      <c r="A101" t="s">
        <v>434</v>
      </c>
      <c r="B101" s="10">
        <v>45759</v>
      </c>
      <c r="C101" t="s">
        <v>435</v>
      </c>
      <c r="D101" t="s">
        <v>54</v>
      </c>
      <c r="E101">
        <v>1</v>
      </c>
      <c r="F101" s="4">
        <v>201.58</v>
      </c>
      <c r="G101" t="s">
        <v>24</v>
      </c>
      <c r="H101" t="s">
        <v>41</v>
      </c>
      <c r="I101">
        <v>2</v>
      </c>
      <c r="J101" t="s">
        <v>87</v>
      </c>
      <c r="K101" t="s">
        <v>44</v>
      </c>
      <c r="L101" s="4">
        <v>201.58</v>
      </c>
      <c r="M101" t="str">
        <f>VLOOKUP(D101,tblProduct[],2,FALSE)</f>
        <v>Electronics</v>
      </c>
      <c r="N101" t="str">
        <f>VLOOKUP(D101,tblProduct[],3,FALSE)</f>
        <v>Medium</v>
      </c>
      <c r="O101">
        <f>VLOOKUP(D101,tblProduct[],4,FALSE)</f>
        <v>80000</v>
      </c>
      <c r="P101">
        <v>201.58</v>
      </c>
      <c r="Q101" s="19" t="str">
        <f t="shared" si="1"/>
        <v>Apr-2025</v>
      </c>
      <c r="R101" s="26">
        <f>DATE(YEAR(tblEnriched[[#This Row],[Date]]),MONTH(tblEnriched[[#This Row],[Date]]),1)</f>
        <v>45748</v>
      </c>
    </row>
    <row r="102" spans="1:18">
      <c r="A102" t="s">
        <v>438</v>
      </c>
      <c r="B102" s="10">
        <v>44974</v>
      </c>
      <c r="C102" t="s">
        <v>439</v>
      </c>
      <c r="D102" t="s">
        <v>31</v>
      </c>
      <c r="E102">
        <v>3</v>
      </c>
      <c r="F102" s="4">
        <v>664.79</v>
      </c>
      <c r="G102" t="s">
        <v>33</v>
      </c>
      <c r="H102" t="s">
        <v>56</v>
      </c>
      <c r="I102">
        <v>6</v>
      </c>
      <c r="K102" t="s">
        <v>51</v>
      </c>
      <c r="L102" s="4">
        <v>1994.37</v>
      </c>
      <c r="M102" t="str">
        <f>VLOOKUP(D102,tblProduct[],2,FALSE)</f>
        <v>Electronics</v>
      </c>
      <c r="N102" t="str">
        <f>VLOOKUP(D102,tblProduct[],3,FALSE)</f>
        <v>High</v>
      </c>
      <c r="O102">
        <f>VLOOKUP(D102,tblProduct[],4,FALSE)</f>
        <v>120000</v>
      </c>
      <c r="P102">
        <v>1994.37</v>
      </c>
      <c r="Q102" s="19" t="str">
        <f t="shared" si="1"/>
        <v>Feb-2023</v>
      </c>
      <c r="R102" s="26">
        <f>DATE(YEAR(tblEnriched[[#This Row],[Date]]),MONTH(tblEnriched[[#This Row],[Date]]),1)</f>
        <v>44958</v>
      </c>
    </row>
    <row r="103" spans="1:18">
      <c r="A103" t="s">
        <v>442</v>
      </c>
      <c r="B103" s="10">
        <v>45255</v>
      </c>
      <c r="C103" t="s">
        <v>443</v>
      </c>
      <c r="D103" t="s">
        <v>54</v>
      </c>
      <c r="E103">
        <v>1</v>
      </c>
      <c r="F103" s="4">
        <v>381.02</v>
      </c>
      <c r="G103" t="s">
        <v>71</v>
      </c>
      <c r="H103" t="s">
        <v>25</v>
      </c>
      <c r="I103">
        <v>6</v>
      </c>
      <c r="K103" t="s">
        <v>82</v>
      </c>
      <c r="L103" s="4">
        <v>381.02</v>
      </c>
      <c r="M103" t="str">
        <f>VLOOKUP(D103,tblProduct[],2,FALSE)</f>
        <v>Electronics</v>
      </c>
      <c r="N103" t="str">
        <f>VLOOKUP(D103,tblProduct[],3,FALSE)</f>
        <v>Medium</v>
      </c>
      <c r="O103">
        <f>VLOOKUP(D103,tblProduct[],4,FALSE)</f>
        <v>80000</v>
      </c>
      <c r="P103">
        <v>381.02</v>
      </c>
      <c r="Q103" s="19" t="str">
        <f t="shared" si="1"/>
        <v>Nov-2023</v>
      </c>
      <c r="R103" s="26">
        <f>DATE(YEAR(tblEnriched[[#This Row],[Date]]),MONTH(tblEnriched[[#This Row],[Date]]),1)</f>
        <v>45231</v>
      </c>
    </row>
    <row r="104" spans="1:18">
      <c r="A104" t="s">
        <v>446</v>
      </c>
      <c r="B104" s="10">
        <v>44993</v>
      </c>
      <c r="C104" t="s">
        <v>447</v>
      </c>
      <c r="D104" t="s">
        <v>64</v>
      </c>
      <c r="E104">
        <v>2</v>
      </c>
      <c r="F104" s="4">
        <v>70.34</v>
      </c>
      <c r="G104" t="s">
        <v>66</v>
      </c>
      <c r="H104" t="s">
        <v>41</v>
      </c>
      <c r="I104">
        <v>3</v>
      </c>
      <c r="J104" t="s">
        <v>43</v>
      </c>
      <c r="K104" t="s">
        <v>44</v>
      </c>
      <c r="L104" s="4">
        <v>140.68</v>
      </c>
      <c r="M104" t="str">
        <f>VLOOKUP(D104,tblProduct[],2,FALSE)</f>
        <v>Electronics</v>
      </c>
      <c r="N104" t="str">
        <f>VLOOKUP(D104,tblProduct[],3,FALSE)</f>
        <v>High</v>
      </c>
      <c r="O104">
        <f>VLOOKUP(D104,tblProduct[],4,FALSE)</f>
        <v>150000</v>
      </c>
      <c r="P104">
        <v>140.68</v>
      </c>
      <c r="Q104" s="19" t="str">
        <f t="shared" si="1"/>
        <v>Mar-2023</v>
      </c>
      <c r="R104" s="26">
        <f>DATE(YEAR(tblEnriched[[#This Row],[Date]]),MONTH(tblEnriched[[#This Row],[Date]]),1)</f>
        <v>44986</v>
      </c>
    </row>
    <row r="105" spans="1:18">
      <c r="A105" t="s">
        <v>450</v>
      </c>
      <c r="B105" s="10">
        <v>45682</v>
      </c>
      <c r="C105" t="s">
        <v>451</v>
      </c>
      <c r="D105" t="s">
        <v>31</v>
      </c>
      <c r="E105">
        <v>4</v>
      </c>
      <c r="F105" s="4">
        <v>218.43</v>
      </c>
      <c r="G105" t="s">
        <v>40</v>
      </c>
      <c r="H105" t="s">
        <v>41</v>
      </c>
      <c r="I105">
        <v>9</v>
      </c>
      <c r="J105" t="s">
        <v>27</v>
      </c>
      <c r="K105" t="s">
        <v>44</v>
      </c>
      <c r="L105" s="4">
        <v>873.72</v>
      </c>
      <c r="M105" t="str">
        <f>VLOOKUP(D105,tblProduct[],2,FALSE)</f>
        <v>Electronics</v>
      </c>
      <c r="N105" t="str">
        <f>VLOOKUP(D105,tblProduct[],3,FALSE)</f>
        <v>High</v>
      </c>
      <c r="O105">
        <f>VLOOKUP(D105,tblProduct[],4,FALSE)</f>
        <v>120000</v>
      </c>
      <c r="P105">
        <v>873.72</v>
      </c>
      <c r="Q105" s="19" t="str">
        <f t="shared" si="1"/>
        <v>Jan-2025</v>
      </c>
      <c r="R105" s="26">
        <f>DATE(YEAR(tblEnriched[[#This Row],[Date]]),MONTH(tblEnriched[[#This Row],[Date]]),1)</f>
        <v>45658</v>
      </c>
    </row>
    <row r="106" spans="1:18">
      <c r="A106" t="s">
        <v>454</v>
      </c>
      <c r="B106" s="10">
        <v>45503</v>
      </c>
      <c r="C106" t="s">
        <v>455</v>
      </c>
      <c r="D106" t="s">
        <v>31</v>
      </c>
      <c r="E106">
        <v>1</v>
      </c>
      <c r="F106" s="4">
        <v>582.04</v>
      </c>
      <c r="G106" t="s">
        <v>66</v>
      </c>
      <c r="H106" t="s">
        <v>56</v>
      </c>
      <c r="I106">
        <v>1</v>
      </c>
      <c r="J106" t="s">
        <v>43</v>
      </c>
      <c r="K106" t="s">
        <v>44</v>
      </c>
      <c r="L106" s="4">
        <v>582.04</v>
      </c>
      <c r="M106" t="str">
        <f>VLOOKUP(D106,tblProduct[],2,FALSE)</f>
        <v>Electronics</v>
      </c>
      <c r="N106" t="str">
        <f>VLOOKUP(D106,tblProduct[],3,FALSE)</f>
        <v>High</v>
      </c>
      <c r="O106">
        <f>VLOOKUP(D106,tblProduct[],4,FALSE)</f>
        <v>120000</v>
      </c>
      <c r="P106">
        <v>582.04</v>
      </c>
      <c r="Q106" s="19" t="str">
        <f t="shared" si="1"/>
        <v>Jul-2024</v>
      </c>
      <c r="R106" s="26">
        <f>DATE(YEAR(tblEnriched[[#This Row],[Date]]),MONTH(tblEnriched[[#This Row],[Date]]),1)</f>
        <v>45474</v>
      </c>
    </row>
    <row r="107" spans="1:18">
      <c r="A107" t="s">
        <v>458</v>
      </c>
      <c r="B107" s="10">
        <v>45589</v>
      </c>
      <c r="C107" t="s">
        <v>459</v>
      </c>
      <c r="D107" t="s">
        <v>54</v>
      </c>
      <c r="E107">
        <v>3</v>
      </c>
      <c r="F107" s="4">
        <v>185.4</v>
      </c>
      <c r="G107" t="s">
        <v>66</v>
      </c>
      <c r="H107" t="s">
        <v>41</v>
      </c>
      <c r="I107">
        <v>7</v>
      </c>
      <c r="K107" t="s">
        <v>51</v>
      </c>
      <c r="L107" s="4">
        <v>556.20000000000005</v>
      </c>
      <c r="M107" t="str">
        <f>VLOOKUP(D107,tblProduct[],2,FALSE)</f>
        <v>Electronics</v>
      </c>
      <c r="N107" t="str">
        <f>VLOOKUP(D107,tblProduct[],3,FALSE)</f>
        <v>Medium</v>
      </c>
      <c r="O107">
        <f>VLOOKUP(D107,tblProduct[],4,FALSE)</f>
        <v>80000</v>
      </c>
      <c r="P107">
        <v>556.20000000000005</v>
      </c>
      <c r="Q107" s="19" t="str">
        <f t="shared" si="1"/>
        <v>Oct-2024</v>
      </c>
      <c r="R107" s="26">
        <f>DATE(YEAR(tblEnriched[[#This Row],[Date]]),MONTH(tblEnriched[[#This Row],[Date]]),1)</f>
        <v>45566</v>
      </c>
    </row>
    <row r="108" spans="1:18">
      <c r="A108" t="s">
        <v>462</v>
      </c>
      <c r="B108" s="10">
        <v>45177</v>
      </c>
      <c r="C108" t="s">
        <v>463</v>
      </c>
      <c r="D108" t="s">
        <v>79</v>
      </c>
      <c r="E108">
        <v>3</v>
      </c>
      <c r="F108" s="4">
        <v>465.05</v>
      </c>
      <c r="G108" t="s">
        <v>40</v>
      </c>
      <c r="H108" t="s">
        <v>41</v>
      </c>
      <c r="I108">
        <v>3</v>
      </c>
      <c r="J108" t="s">
        <v>27</v>
      </c>
      <c r="K108" t="s">
        <v>44</v>
      </c>
      <c r="L108" s="4">
        <v>1395.15</v>
      </c>
      <c r="M108" t="str">
        <f>VLOOKUP(D108,tblProduct[],2,FALSE)</f>
        <v>Furniture</v>
      </c>
      <c r="N108" t="str">
        <f>VLOOKUP(D108,tblProduct[],3,FALSE)</f>
        <v>High</v>
      </c>
      <c r="O108">
        <f>VLOOKUP(D108,tblProduct[],4,FALSE)</f>
        <v>75000</v>
      </c>
      <c r="P108">
        <v>1395.15</v>
      </c>
      <c r="Q108" s="19" t="str">
        <f t="shared" si="1"/>
        <v>Sep-2023</v>
      </c>
      <c r="R108" s="26">
        <f>DATE(YEAR(tblEnriched[[#This Row],[Date]]),MONTH(tblEnriched[[#This Row],[Date]]),1)</f>
        <v>45170</v>
      </c>
    </row>
    <row r="109" spans="1:18">
      <c r="A109" t="s">
        <v>466</v>
      </c>
      <c r="B109" s="10">
        <v>45012</v>
      </c>
      <c r="C109" t="s">
        <v>467</v>
      </c>
      <c r="D109" t="s">
        <v>54</v>
      </c>
      <c r="E109">
        <v>5</v>
      </c>
      <c r="F109" s="4">
        <v>670.75</v>
      </c>
      <c r="G109" t="s">
        <v>66</v>
      </c>
      <c r="H109" t="s">
        <v>25</v>
      </c>
      <c r="I109">
        <v>8</v>
      </c>
      <c r="J109" t="s">
        <v>43</v>
      </c>
      <c r="K109" t="s">
        <v>28</v>
      </c>
      <c r="L109" s="4">
        <v>3353.75</v>
      </c>
      <c r="M109" t="str">
        <f>VLOOKUP(D109,tblProduct[],2,FALSE)</f>
        <v>Electronics</v>
      </c>
      <c r="N109" t="str">
        <f>VLOOKUP(D109,tblProduct[],3,FALSE)</f>
        <v>Medium</v>
      </c>
      <c r="O109">
        <f>VLOOKUP(D109,tblProduct[],4,FALSE)</f>
        <v>80000</v>
      </c>
      <c r="P109">
        <v>3353.75</v>
      </c>
      <c r="Q109" s="19" t="str">
        <f t="shared" si="1"/>
        <v>Mar-2023</v>
      </c>
      <c r="R109" s="26">
        <f>DATE(YEAR(tblEnriched[[#This Row],[Date]]),MONTH(tblEnriched[[#This Row],[Date]]),1)</f>
        <v>44986</v>
      </c>
    </row>
    <row r="110" spans="1:18">
      <c r="A110" t="s">
        <v>470</v>
      </c>
      <c r="B110" s="10">
        <v>45654</v>
      </c>
      <c r="C110" t="s">
        <v>471</v>
      </c>
      <c r="D110" t="s">
        <v>64</v>
      </c>
      <c r="E110">
        <v>5</v>
      </c>
      <c r="F110" s="4">
        <v>48.38</v>
      </c>
      <c r="G110" t="s">
        <v>66</v>
      </c>
      <c r="H110" t="s">
        <v>56</v>
      </c>
      <c r="I110">
        <v>9</v>
      </c>
      <c r="J110" t="s">
        <v>87</v>
      </c>
      <c r="K110" t="s">
        <v>44</v>
      </c>
      <c r="L110" s="4">
        <v>241.9</v>
      </c>
      <c r="M110" t="str">
        <f>VLOOKUP(D110,tblProduct[],2,FALSE)</f>
        <v>Electronics</v>
      </c>
      <c r="N110" t="str">
        <f>VLOOKUP(D110,tblProduct[],3,FALSE)</f>
        <v>High</v>
      </c>
      <c r="O110">
        <f>VLOOKUP(D110,tblProduct[],4,FALSE)</f>
        <v>150000</v>
      </c>
      <c r="P110">
        <v>241.9</v>
      </c>
      <c r="Q110" s="19" t="str">
        <f t="shared" si="1"/>
        <v>Dec-2024</v>
      </c>
      <c r="R110" s="26">
        <f>DATE(YEAR(tblEnriched[[#This Row],[Date]]),MONTH(tblEnriched[[#This Row],[Date]]),1)</f>
        <v>45627</v>
      </c>
    </row>
    <row r="111" spans="1:18">
      <c r="A111" t="s">
        <v>474</v>
      </c>
      <c r="B111" s="10">
        <v>45186</v>
      </c>
      <c r="C111" t="s">
        <v>475</v>
      </c>
      <c r="D111" t="s">
        <v>79</v>
      </c>
      <c r="E111">
        <v>3</v>
      </c>
      <c r="F111" s="4">
        <v>592.87</v>
      </c>
      <c r="G111" t="s">
        <v>66</v>
      </c>
      <c r="H111" t="s">
        <v>25</v>
      </c>
      <c r="I111">
        <v>3</v>
      </c>
      <c r="J111" t="s">
        <v>43</v>
      </c>
      <c r="K111" t="s">
        <v>35</v>
      </c>
      <c r="L111" s="4">
        <v>1778.61</v>
      </c>
      <c r="M111" t="str">
        <f>VLOOKUP(D111,tblProduct[],2,FALSE)</f>
        <v>Furniture</v>
      </c>
      <c r="N111" t="str">
        <f>VLOOKUP(D111,tblProduct[],3,FALSE)</f>
        <v>High</v>
      </c>
      <c r="O111">
        <f>VLOOKUP(D111,tblProduct[],4,FALSE)</f>
        <v>75000</v>
      </c>
      <c r="P111">
        <v>1778.61</v>
      </c>
      <c r="Q111" s="19" t="str">
        <f t="shared" si="1"/>
        <v>Sep-2023</v>
      </c>
      <c r="R111" s="26">
        <f>DATE(YEAR(tblEnriched[[#This Row],[Date]]),MONTH(tblEnriched[[#This Row],[Date]]),1)</f>
        <v>45170</v>
      </c>
    </row>
    <row r="112" spans="1:18">
      <c r="A112" t="s">
        <v>478</v>
      </c>
      <c r="B112" s="10">
        <v>45403</v>
      </c>
      <c r="C112" t="s">
        <v>479</v>
      </c>
      <c r="D112" t="s">
        <v>38</v>
      </c>
      <c r="E112">
        <v>1</v>
      </c>
      <c r="F112" s="4">
        <v>220.77</v>
      </c>
      <c r="G112" t="s">
        <v>66</v>
      </c>
      <c r="H112" t="s">
        <v>95</v>
      </c>
      <c r="I112">
        <v>5</v>
      </c>
      <c r="J112" t="s">
        <v>43</v>
      </c>
      <c r="K112" t="s">
        <v>28</v>
      </c>
      <c r="L112" s="4">
        <v>220.77</v>
      </c>
      <c r="M112" t="str">
        <f>VLOOKUP(D112,tblProduct[],2,FALSE)</f>
        <v>Electronics</v>
      </c>
      <c r="N112" t="str">
        <f>VLOOKUP(D112,tblProduct[],3,FALSE)</f>
        <v>Medium</v>
      </c>
      <c r="O112">
        <f>VLOOKUP(D112,tblProduct[],4,FALSE)</f>
        <v>100000</v>
      </c>
      <c r="P112">
        <v>220.77</v>
      </c>
      <c r="Q112" s="19" t="str">
        <f t="shared" si="1"/>
        <v>Apr-2024</v>
      </c>
      <c r="R112" s="26">
        <f>DATE(YEAR(tblEnriched[[#This Row],[Date]]),MONTH(tblEnriched[[#This Row],[Date]]),1)</f>
        <v>45383</v>
      </c>
    </row>
    <row r="113" spans="1:18">
      <c r="A113" t="s">
        <v>482</v>
      </c>
      <c r="B113" s="10">
        <v>45784</v>
      </c>
      <c r="C113" t="s">
        <v>483</v>
      </c>
      <c r="D113" t="s">
        <v>79</v>
      </c>
      <c r="E113">
        <v>3</v>
      </c>
      <c r="F113" s="4">
        <v>309.22000000000003</v>
      </c>
      <c r="G113" t="s">
        <v>33</v>
      </c>
      <c r="H113" t="s">
        <v>41</v>
      </c>
      <c r="I113">
        <v>7</v>
      </c>
      <c r="J113" t="s">
        <v>43</v>
      </c>
      <c r="K113" t="s">
        <v>82</v>
      </c>
      <c r="L113" s="4">
        <v>927.66000000000008</v>
      </c>
      <c r="M113" t="str">
        <f>VLOOKUP(D113,tblProduct[],2,FALSE)</f>
        <v>Furniture</v>
      </c>
      <c r="N113" t="str">
        <f>VLOOKUP(D113,tblProduct[],3,FALSE)</f>
        <v>High</v>
      </c>
      <c r="O113">
        <f>VLOOKUP(D113,tblProduct[],4,FALSE)</f>
        <v>75000</v>
      </c>
      <c r="P113">
        <v>927.66000000000008</v>
      </c>
      <c r="Q113" s="19" t="str">
        <f t="shared" si="1"/>
        <v>May-2025</v>
      </c>
      <c r="R113" s="26">
        <f>DATE(YEAR(tblEnriched[[#This Row],[Date]]),MONTH(tblEnriched[[#This Row],[Date]]),1)</f>
        <v>45778</v>
      </c>
    </row>
    <row r="114" spans="1:18">
      <c r="A114" t="s">
        <v>486</v>
      </c>
      <c r="B114" s="10">
        <v>44927</v>
      </c>
      <c r="C114" t="s">
        <v>487</v>
      </c>
      <c r="D114" t="s">
        <v>22</v>
      </c>
      <c r="E114">
        <v>1</v>
      </c>
      <c r="F114" s="4">
        <v>410.6</v>
      </c>
      <c r="G114" t="s">
        <v>33</v>
      </c>
      <c r="H114" t="s">
        <v>41</v>
      </c>
      <c r="I114">
        <v>2</v>
      </c>
      <c r="J114" t="s">
        <v>87</v>
      </c>
      <c r="K114" t="s">
        <v>35</v>
      </c>
      <c r="L114" s="4">
        <v>410.6</v>
      </c>
      <c r="M114" t="str">
        <f>VLOOKUP(D114,tblProduct[],2,FALSE)</f>
        <v>Electronics</v>
      </c>
      <c r="N114" t="str">
        <f>VLOOKUP(D114,tblProduct[],3,FALSE)</f>
        <v>Medium</v>
      </c>
      <c r="O114">
        <f>VLOOKUP(D114,tblProduct[],4,FALSE)</f>
        <v>90000</v>
      </c>
      <c r="P114">
        <v>410.6</v>
      </c>
      <c r="Q114" s="19" t="str">
        <f t="shared" si="1"/>
        <v>Jan-2023</v>
      </c>
      <c r="R114" s="26">
        <f>DATE(YEAR(tblEnriched[[#This Row],[Date]]),MONTH(tblEnriched[[#This Row],[Date]]),1)</f>
        <v>44927</v>
      </c>
    </row>
    <row r="115" spans="1:18">
      <c r="A115" t="s">
        <v>490</v>
      </c>
      <c r="B115" s="10">
        <v>45308</v>
      </c>
      <c r="C115" t="s">
        <v>491</v>
      </c>
      <c r="D115" t="s">
        <v>64</v>
      </c>
      <c r="E115">
        <v>5</v>
      </c>
      <c r="F115" s="4">
        <v>190.08</v>
      </c>
      <c r="G115" t="s">
        <v>71</v>
      </c>
      <c r="H115" t="s">
        <v>25</v>
      </c>
      <c r="I115">
        <v>9</v>
      </c>
      <c r="J115" t="s">
        <v>43</v>
      </c>
      <c r="K115" t="s">
        <v>28</v>
      </c>
      <c r="L115" s="4">
        <v>950.40000000000009</v>
      </c>
      <c r="M115" t="str">
        <f>VLOOKUP(D115,tblProduct[],2,FALSE)</f>
        <v>Electronics</v>
      </c>
      <c r="N115" t="str">
        <f>VLOOKUP(D115,tblProduct[],3,FALSE)</f>
        <v>High</v>
      </c>
      <c r="O115">
        <f>VLOOKUP(D115,tblProduct[],4,FALSE)</f>
        <v>150000</v>
      </c>
      <c r="P115">
        <v>950.40000000000009</v>
      </c>
      <c r="Q115" s="19" t="str">
        <f t="shared" si="1"/>
        <v>Jan-2024</v>
      </c>
      <c r="R115" s="26">
        <f>DATE(YEAR(tblEnriched[[#This Row],[Date]]),MONTH(tblEnriched[[#This Row],[Date]]),1)</f>
        <v>45292</v>
      </c>
    </row>
    <row r="116" spans="1:18">
      <c r="A116" t="s">
        <v>494</v>
      </c>
      <c r="B116" s="10">
        <v>45684</v>
      </c>
      <c r="C116" t="s">
        <v>495</v>
      </c>
      <c r="D116" t="s">
        <v>22</v>
      </c>
      <c r="E116">
        <v>5</v>
      </c>
      <c r="F116" s="4">
        <v>498.48</v>
      </c>
      <c r="G116" t="s">
        <v>33</v>
      </c>
      <c r="H116" t="s">
        <v>95</v>
      </c>
      <c r="I116">
        <v>8</v>
      </c>
      <c r="J116" t="s">
        <v>27</v>
      </c>
      <c r="K116" t="s">
        <v>82</v>
      </c>
      <c r="L116" s="4">
        <v>2492.4</v>
      </c>
      <c r="M116" t="str">
        <f>VLOOKUP(D116,tblProduct[],2,FALSE)</f>
        <v>Electronics</v>
      </c>
      <c r="N116" t="str">
        <f>VLOOKUP(D116,tblProduct[],3,FALSE)</f>
        <v>Medium</v>
      </c>
      <c r="O116">
        <f>VLOOKUP(D116,tblProduct[],4,FALSE)</f>
        <v>90000</v>
      </c>
      <c r="P116">
        <v>2492.4</v>
      </c>
      <c r="Q116" s="19" t="str">
        <f t="shared" si="1"/>
        <v>Jan-2025</v>
      </c>
      <c r="R116" s="26">
        <f>DATE(YEAR(tblEnriched[[#This Row],[Date]]),MONTH(tblEnriched[[#This Row],[Date]]),1)</f>
        <v>45658</v>
      </c>
    </row>
    <row r="117" spans="1:18">
      <c r="A117" t="s">
        <v>498</v>
      </c>
      <c r="B117" s="10">
        <v>45257</v>
      </c>
      <c r="C117" t="s">
        <v>499</v>
      </c>
      <c r="D117" t="s">
        <v>31</v>
      </c>
      <c r="E117">
        <v>5</v>
      </c>
      <c r="F117" s="4">
        <v>374.99</v>
      </c>
      <c r="G117" t="s">
        <v>33</v>
      </c>
      <c r="H117" t="s">
        <v>25</v>
      </c>
      <c r="I117">
        <v>9</v>
      </c>
      <c r="J117" t="s">
        <v>27</v>
      </c>
      <c r="K117" t="s">
        <v>51</v>
      </c>
      <c r="L117" s="4">
        <v>1874.95</v>
      </c>
      <c r="M117" t="str">
        <f>VLOOKUP(D117,tblProduct[],2,FALSE)</f>
        <v>Electronics</v>
      </c>
      <c r="N117" t="str">
        <f>VLOOKUP(D117,tblProduct[],3,FALSE)</f>
        <v>High</v>
      </c>
      <c r="O117">
        <f>VLOOKUP(D117,tblProduct[],4,FALSE)</f>
        <v>120000</v>
      </c>
      <c r="P117">
        <v>1874.95</v>
      </c>
      <c r="Q117" s="19" t="str">
        <f t="shared" si="1"/>
        <v>Nov-2023</v>
      </c>
      <c r="R117" s="26">
        <f>DATE(YEAR(tblEnriched[[#This Row],[Date]]),MONTH(tblEnriched[[#This Row],[Date]]),1)</f>
        <v>45231</v>
      </c>
    </row>
    <row r="118" spans="1:18">
      <c r="A118" t="s">
        <v>502</v>
      </c>
      <c r="B118" s="10">
        <v>45004</v>
      </c>
      <c r="C118" t="s">
        <v>503</v>
      </c>
      <c r="D118" t="s">
        <v>54</v>
      </c>
      <c r="E118">
        <v>4</v>
      </c>
      <c r="F118" s="4">
        <v>291.35000000000002</v>
      </c>
      <c r="G118" t="s">
        <v>40</v>
      </c>
      <c r="H118" t="s">
        <v>41</v>
      </c>
      <c r="I118">
        <v>6</v>
      </c>
      <c r="J118" t="s">
        <v>87</v>
      </c>
      <c r="K118" t="s">
        <v>51</v>
      </c>
      <c r="L118" s="4">
        <v>1165.4000000000001</v>
      </c>
      <c r="M118" t="str">
        <f>VLOOKUP(D118,tblProduct[],2,FALSE)</f>
        <v>Electronics</v>
      </c>
      <c r="N118" t="str">
        <f>VLOOKUP(D118,tblProduct[],3,FALSE)</f>
        <v>Medium</v>
      </c>
      <c r="O118">
        <f>VLOOKUP(D118,tblProduct[],4,FALSE)</f>
        <v>80000</v>
      </c>
      <c r="P118">
        <v>1165.4000000000001</v>
      </c>
      <c r="Q118" s="19" t="str">
        <f t="shared" si="1"/>
        <v>Mar-2023</v>
      </c>
      <c r="R118" s="26">
        <f>DATE(YEAR(tblEnriched[[#This Row],[Date]]),MONTH(tblEnriched[[#This Row],[Date]]),1)</f>
        <v>44986</v>
      </c>
    </row>
    <row r="119" spans="1:18">
      <c r="A119" t="s">
        <v>506</v>
      </c>
      <c r="B119" s="10">
        <v>44993</v>
      </c>
      <c r="C119" t="s">
        <v>507</v>
      </c>
      <c r="D119" t="s">
        <v>38</v>
      </c>
      <c r="E119">
        <v>1</v>
      </c>
      <c r="F119" s="4">
        <v>535.5</v>
      </c>
      <c r="G119" t="s">
        <v>66</v>
      </c>
      <c r="H119" t="s">
        <v>41</v>
      </c>
      <c r="I119">
        <v>5</v>
      </c>
      <c r="J119" t="s">
        <v>87</v>
      </c>
      <c r="K119" t="s">
        <v>35</v>
      </c>
      <c r="L119" s="4">
        <v>535.5</v>
      </c>
      <c r="M119" t="str">
        <f>VLOOKUP(D119,tblProduct[],2,FALSE)</f>
        <v>Electronics</v>
      </c>
      <c r="N119" t="str">
        <f>VLOOKUP(D119,tblProduct[],3,FALSE)</f>
        <v>Medium</v>
      </c>
      <c r="O119">
        <f>VLOOKUP(D119,tblProduct[],4,FALSE)</f>
        <v>100000</v>
      </c>
      <c r="P119">
        <v>535.5</v>
      </c>
      <c r="Q119" s="19" t="str">
        <f t="shared" si="1"/>
        <v>Mar-2023</v>
      </c>
      <c r="R119" s="26">
        <f>DATE(YEAR(tblEnriched[[#This Row],[Date]]),MONTH(tblEnriched[[#This Row],[Date]]),1)</f>
        <v>44986</v>
      </c>
    </row>
    <row r="120" spans="1:18">
      <c r="A120" t="s">
        <v>510</v>
      </c>
      <c r="B120" s="10">
        <v>45208</v>
      </c>
      <c r="C120" t="s">
        <v>511</v>
      </c>
      <c r="D120" t="s">
        <v>54</v>
      </c>
      <c r="E120">
        <v>5</v>
      </c>
      <c r="F120" s="4">
        <v>502.71</v>
      </c>
      <c r="G120" t="s">
        <v>66</v>
      </c>
      <c r="H120" t="s">
        <v>25</v>
      </c>
      <c r="I120">
        <v>7</v>
      </c>
      <c r="J120" t="s">
        <v>43</v>
      </c>
      <c r="K120" t="s">
        <v>82</v>
      </c>
      <c r="L120" s="4">
        <v>2513.5500000000002</v>
      </c>
      <c r="M120" t="str">
        <f>VLOOKUP(D120,tblProduct[],2,FALSE)</f>
        <v>Electronics</v>
      </c>
      <c r="N120" t="str">
        <f>VLOOKUP(D120,tblProduct[],3,FALSE)</f>
        <v>Medium</v>
      </c>
      <c r="O120">
        <f>VLOOKUP(D120,tblProduct[],4,FALSE)</f>
        <v>80000</v>
      </c>
      <c r="P120">
        <v>2513.5500000000002</v>
      </c>
      <c r="Q120" s="19" t="str">
        <f t="shared" si="1"/>
        <v>Oct-2023</v>
      </c>
      <c r="R120" s="26">
        <f>DATE(YEAR(tblEnriched[[#This Row],[Date]]),MONTH(tblEnriched[[#This Row],[Date]]),1)</f>
        <v>45200</v>
      </c>
    </row>
    <row r="121" spans="1:18">
      <c r="A121" t="s">
        <v>514</v>
      </c>
      <c r="B121" s="10">
        <v>45819</v>
      </c>
      <c r="C121" t="s">
        <v>515</v>
      </c>
      <c r="D121" t="s">
        <v>79</v>
      </c>
      <c r="E121">
        <v>2</v>
      </c>
      <c r="F121" s="4">
        <v>534.66999999999996</v>
      </c>
      <c r="G121" t="s">
        <v>24</v>
      </c>
      <c r="H121" t="s">
        <v>25</v>
      </c>
      <c r="I121">
        <v>7</v>
      </c>
      <c r="J121" t="s">
        <v>43</v>
      </c>
      <c r="K121" t="s">
        <v>35</v>
      </c>
      <c r="L121" s="4">
        <v>1069.3399999999999</v>
      </c>
      <c r="M121" t="str">
        <f>VLOOKUP(D121,tblProduct[],2,FALSE)</f>
        <v>Furniture</v>
      </c>
      <c r="N121" t="str">
        <f>VLOOKUP(D121,tblProduct[],3,FALSE)</f>
        <v>High</v>
      </c>
      <c r="O121">
        <f>VLOOKUP(D121,tblProduct[],4,FALSE)</f>
        <v>75000</v>
      </c>
      <c r="P121">
        <v>1069.3399999999999</v>
      </c>
      <c r="Q121" s="19" t="str">
        <f t="shared" si="1"/>
        <v>Jun-2025</v>
      </c>
      <c r="R121" s="26">
        <f>DATE(YEAR(tblEnriched[[#This Row],[Date]]),MONTH(tblEnriched[[#This Row],[Date]]),1)</f>
        <v>45809</v>
      </c>
    </row>
    <row r="122" spans="1:18">
      <c r="A122" t="s">
        <v>518</v>
      </c>
      <c r="B122" s="10">
        <v>45027</v>
      </c>
      <c r="C122" t="s">
        <v>519</v>
      </c>
      <c r="D122" t="s">
        <v>38</v>
      </c>
      <c r="E122">
        <v>4</v>
      </c>
      <c r="F122" s="4">
        <v>629.34</v>
      </c>
      <c r="G122" t="s">
        <v>71</v>
      </c>
      <c r="H122" t="s">
        <v>41</v>
      </c>
      <c r="I122">
        <v>4</v>
      </c>
      <c r="J122" t="s">
        <v>87</v>
      </c>
      <c r="K122" t="s">
        <v>28</v>
      </c>
      <c r="L122" s="4">
        <v>2517.36</v>
      </c>
      <c r="M122" t="str">
        <f>VLOOKUP(D122,tblProduct[],2,FALSE)</f>
        <v>Electronics</v>
      </c>
      <c r="N122" t="str">
        <f>VLOOKUP(D122,tblProduct[],3,FALSE)</f>
        <v>Medium</v>
      </c>
      <c r="O122">
        <f>VLOOKUP(D122,tblProduct[],4,FALSE)</f>
        <v>100000</v>
      </c>
      <c r="P122">
        <v>2517.36</v>
      </c>
      <c r="Q122" s="19" t="str">
        <f t="shared" si="1"/>
        <v>Apr-2023</v>
      </c>
      <c r="R122" s="26">
        <f>DATE(YEAR(tblEnriched[[#This Row],[Date]]),MONTH(tblEnriched[[#This Row],[Date]]),1)</f>
        <v>45017</v>
      </c>
    </row>
    <row r="123" spans="1:18">
      <c r="A123" t="s">
        <v>521</v>
      </c>
      <c r="B123" s="10">
        <v>45260</v>
      </c>
      <c r="C123" t="s">
        <v>522</v>
      </c>
      <c r="D123" t="s">
        <v>79</v>
      </c>
      <c r="E123">
        <v>1</v>
      </c>
      <c r="F123" s="4">
        <v>410.78</v>
      </c>
      <c r="G123" t="s">
        <v>71</v>
      </c>
      <c r="H123" t="s">
        <v>41</v>
      </c>
      <c r="I123">
        <v>1</v>
      </c>
      <c r="J123" t="s">
        <v>43</v>
      </c>
      <c r="K123" t="s">
        <v>28</v>
      </c>
      <c r="L123" s="4">
        <v>410.78</v>
      </c>
      <c r="M123" t="str">
        <f>VLOOKUP(D123,tblProduct[],2,FALSE)</f>
        <v>Furniture</v>
      </c>
      <c r="N123" t="str">
        <f>VLOOKUP(D123,tblProduct[],3,FALSE)</f>
        <v>High</v>
      </c>
      <c r="O123">
        <f>VLOOKUP(D123,tblProduct[],4,FALSE)</f>
        <v>75000</v>
      </c>
      <c r="P123">
        <v>410.78</v>
      </c>
      <c r="Q123" s="19" t="str">
        <f t="shared" si="1"/>
        <v>Nov-2023</v>
      </c>
      <c r="R123" s="26">
        <f>DATE(YEAR(tblEnriched[[#This Row],[Date]]),MONTH(tblEnriched[[#This Row],[Date]]),1)</f>
        <v>45231</v>
      </c>
    </row>
    <row r="124" spans="1:18">
      <c r="A124" t="s">
        <v>525</v>
      </c>
      <c r="B124" s="10">
        <v>45397</v>
      </c>
      <c r="C124" t="s">
        <v>526</v>
      </c>
      <c r="D124" t="s">
        <v>64</v>
      </c>
      <c r="E124">
        <v>2</v>
      </c>
      <c r="F124" s="4">
        <v>533.02</v>
      </c>
      <c r="G124" t="s">
        <v>66</v>
      </c>
      <c r="H124" t="s">
        <v>25</v>
      </c>
      <c r="I124">
        <v>2</v>
      </c>
      <c r="K124" t="s">
        <v>51</v>
      </c>
      <c r="L124" s="4">
        <v>1066.04</v>
      </c>
      <c r="M124" t="str">
        <f>VLOOKUP(D124,tblProduct[],2,FALSE)</f>
        <v>Electronics</v>
      </c>
      <c r="N124" t="str">
        <f>VLOOKUP(D124,tblProduct[],3,FALSE)</f>
        <v>High</v>
      </c>
      <c r="O124">
        <f>VLOOKUP(D124,tblProduct[],4,FALSE)</f>
        <v>150000</v>
      </c>
      <c r="P124">
        <v>1066.04</v>
      </c>
      <c r="Q124" s="19" t="str">
        <f t="shared" si="1"/>
        <v>Apr-2024</v>
      </c>
      <c r="R124" s="26">
        <f>DATE(YEAR(tblEnriched[[#This Row],[Date]]),MONTH(tblEnriched[[#This Row],[Date]]),1)</f>
        <v>45383</v>
      </c>
    </row>
    <row r="125" spans="1:18">
      <c r="A125" t="s">
        <v>529</v>
      </c>
      <c r="B125" s="10">
        <v>45113</v>
      </c>
      <c r="C125" t="s">
        <v>530</v>
      </c>
      <c r="D125" t="s">
        <v>79</v>
      </c>
      <c r="E125">
        <v>3</v>
      </c>
      <c r="F125" s="4">
        <v>278.04000000000002</v>
      </c>
      <c r="G125" t="s">
        <v>33</v>
      </c>
      <c r="H125" t="s">
        <v>56</v>
      </c>
      <c r="I125">
        <v>5</v>
      </c>
      <c r="K125" t="s">
        <v>28</v>
      </c>
      <c r="L125" s="4">
        <v>834.12000000000012</v>
      </c>
      <c r="M125" t="str">
        <f>VLOOKUP(D125,tblProduct[],2,FALSE)</f>
        <v>Furniture</v>
      </c>
      <c r="N125" t="str">
        <f>VLOOKUP(D125,tblProduct[],3,FALSE)</f>
        <v>High</v>
      </c>
      <c r="O125">
        <f>VLOOKUP(D125,tblProduct[],4,FALSE)</f>
        <v>75000</v>
      </c>
      <c r="P125">
        <v>834.12000000000012</v>
      </c>
      <c r="Q125" s="19" t="str">
        <f t="shared" si="1"/>
        <v>Jul-2023</v>
      </c>
      <c r="R125" s="26">
        <f>DATE(YEAR(tblEnriched[[#This Row],[Date]]),MONTH(tblEnriched[[#This Row],[Date]]),1)</f>
        <v>45108</v>
      </c>
    </row>
    <row r="126" spans="1:18">
      <c r="A126" t="s">
        <v>533</v>
      </c>
      <c r="B126" s="10">
        <v>45501</v>
      </c>
      <c r="C126" t="s">
        <v>534</v>
      </c>
      <c r="D126" t="s">
        <v>54</v>
      </c>
      <c r="E126">
        <v>4</v>
      </c>
      <c r="F126" s="4">
        <v>283.79000000000002</v>
      </c>
      <c r="G126" t="s">
        <v>33</v>
      </c>
      <c r="H126" t="s">
        <v>95</v>
      </c>
      <c r="I126">
        <v>8</v>
      </c>
      <c r="K126" t="s">
        <v>82</v>
      </c>
      <c r="L126" s="4">
        <v>1135.1600000000001</v>
      </c>
      <c r="M126" t="str">
        <f>VLOOKUP(D126,tblProduct[],2,FALSE)</f>
        <v>Electronics</v>
      </c>
      <c r="N126" t="str">
        <f>VLOOKUP(D126,tblProduct[],3,FALSE)</f>
        <v>Medium</v>
      </c>
      <c r="O126">
        <f>VLOOKUP(D126,tblProduct[],4,FALSE)</f>
        <v>80000</v>
      </c>
      <c r="P126">
        <v>1135.1600000000001</v>
      </c>
      <c r="Q126" s="19" t="str">
        <f t="shared" si="1"/>
        <v>Jul-2024</v>
      </c>
      <c r="R126" s="26">
        <f>DATE(YEAR(tblEnriched[[#This Row],[Date]]),MONTH(tblEnriched[[#This Row],[Date]]),1)</f>
        <v>45474</v>
      </c>
    </row>
    <row r="127" spans="1:18">
      <c r="A127" t="s">
        <v>537</v>
      </c>
      <c r="B127" s="10">
        <v>45602</v>
      </c>
      <c r="C127" t="s">
        <v>538</v>
      </c>
      <c r="D127" t="s">
        <v>31</v>
      </c>
      <c r="E127">
        <v>2</v>
      </c>
      <c r="F127" s="4">
        <v>512.65</v>
      </c>
      <c r="G127" t="s">
        <v>40</v>
      </c>
      <c r="H127" t="s">
        <v>25</v>
      </c>
      <c r="I127">
        <v>5</v>
      </c>
      <c r="J127" t="s">
        <v>27</v>
      </c>
      <c r="K127" t="s">
        <v>44</v>
      </c>
      <c r="L127" s="4">
        <v>1025.3</v>
      </c>
      <c r="M127" t="str">
        <f>VLOOKUP(D127,tblProduct[],2,FALSE)</f>
        <v>Electronics</v>
      </c>
      <c r="N127" t="str">
        <f>VLOOKUP(D127,tblProduct[],3,FALSE)</f>
        <v>High</v>
      </c>
      <c r="O127">
        <f>VLOOKUP(D127,tblProduct[],4,FALSE)</f>
        <v>120000</v>
      </c>
      <c r="P127">
        <v>1025.3</v>
      </c>
      <c r="Q127" s="19" t="str">
        <f t="shared" si="1"/>
        <v>Nov-2024</v>
      </c>
      <c r="R127" s="26">
        <f>DATE(YEAR(tblEnriched[[#This Row],[Date]]),MONTH(tblEnriched[[#This Row],[Date]]),1)</f>
        <v>45597</v>
      </c>
    </row>
    <row r="128" spans="1:18">
      <c r="A128" t="s">
        <v>541</v>
      </c>
      <c r="B128" s="10">
        <v>45780</v>
      </c>
      <c r="C128" t="s">
        <v>542</v>
      </c>
      <c r="D128" t="s">
        <v>79</v>
      </c>
      <c r="E128">
        <v>4</v>
      </c>
      <c r="F128" s="4">
        <v>275.5</v>
      </c>
      <c r="G128" t="s">
        <v>66</v>
      </c>
      <c r="H128" t="s">
        <v>25</v>
      </c>
      <c r="I128">
        <v>8</v>
      </c>
      <c r="J128" t="s">
        <v>43</v>
      </c>
      <c r="K128" t="s">
        <v>82</v>
      </c>
      <c r="L128" s="4">
        <v>1102</v>
      </c>
      <c r="M128" t="str">
        <f>VLOOKUP(D128,tblProduct[],2,FALSE)</f>
        <v>Furniture</v>
      </c>
      <c r="N128" t="str">
        <f>VLOOKUP(D128,tblProduct[],3,FALSE)</f>
        <v>High</v>
      </c>
      <c r="O128">
        <f>VLOOKUP(D128,tblProduct[],4,FALSE)</f>
        <v>75000</v>
      </c>
      <c r="P128">
        <v>1102</v>
      </c>
      <c r="Q128" s="19" t="str">
        <f t="shared" si="1"/>
        <v>May-2025</v>
      </c>
      <c r="R128" s="26">
        <f>DATE(YEAR(tblEnriched[[#This Row],[Date]]),MONTH(tblEnriched[[#This Row],[Date]]),1)</f>
        <v>45778</v>
      </c>
    </row>
    <row r="129" spans="1:18">
      <c r="A129" t="s">
        <v>545</v>
      </c>
      <c r="B129" s="10">
        <v>45148</v>
      </c>
      <c r="C129" t="s">
        <v>546</v>
      </c>
      <c r="D129" t="s">
        <v>79</v>
      </c>
      <c r="E129">
        <v>3</v>
      </c>
      <c r="F129" s="4">
        <v>469.32</v>
      </c>
      <c r="G129" t="s">
        <v>24</v>
      </c>
      <c r="H129" t="s">
        <v>25</v>
      </c>
      <c r="I129">
        <v>3</v>
      </c>
      <c r="K129" t="s">
        <v>82</v>
      </c>
      <c r="L129" s="4">
        <v>1407.96</v>
      </c>
      <c r="M129" t="str">
        <f>VLOOKUP(D129,tblProduct[],2,FALSE)</f>
        <v>Furniture</v>
      </c>
      <c r="N129" t="str">
        <f>VLOOKUP(D129,tblProduct[],3,FALSE)</f>
        <v>High</v>
      </c>
      <c r="O129">
        <f>VLOOKUP(D129,tblProduct[],4,FALSE)</f>
        <v>75000</v>
      </c>
      <c r="P129">
        <v>1407.96</v>
      </c>
      <c r="Q129" s="19" t="str">
        <f t="shared" si="1"/>
        <v>Aug-2023</v>
      </c>
      <c r="R129" s="26">
        <f>DATE(YEAR(tblEnriched[[#This Row],[Date]]),MONTH(tblEnriched[[#This Row],[Date]]),1)</f>
        <v>45139</v>
      </c>
    </row>
    <row r="130" spans="1:18">
      <c r="A130" t="s">
        <v>549</v>
      </c>
      <c r="B130" s="10">
        <v>44974</v>
      </c>
      <c r="C130" t="s">
        <v>550</v>
      </c>
      <c r="D130" t="s">
        <v>38</v>
      </c>
      <c r="E130">
        <v>4</v>
      </c>
      <c r="F130" s="4">
        <v>21.07</v>
      </c>
      <c r="G130" t="s">
        <v>66</v>
      </c>
      <c r="H130" t="s">
        <v>56</v>
      </c>
      <c r="I130">
        <v>4</v>
      </c>
      <c r="J130" t="s">
        <v>43</v>
      </c>
      <c r="K130" t="s">
        <v>82</v>
      </c>
      <c r="L130" s="4">
        <v>84.28</v>
      </c>
      <c r="M130" t="str">
        <f>VLOOKUP(D130,tblProduct[],2,FALSE)</f>
        <v>Electronics</v>
      </c>
      <c r="N130" t="str">
        <f>VLOOKUP(D130,tblProduct[],3,FALSE)</f>
        <v>Medium</v>
      </c>
      <c r="O130">
        <f>VLOOKUP(D130,tblProduct[],4,FALSE)</f>
        <v>100000</v>
      </c>
      <c r="P130">
        <v>84.28</v>
      </c>
      <c r="Q130" s="19" t="str">
        <f t="shared" ref="Q130:Q193" si="2">TEXT(B130,"mmm-yyyy")</f>
        <v>Feb-2023</v>
      </c>
      <c r="R130" s="26">
        <f>DATE(YEAR(tblEnriched[[#This Row],[Date]]),MONTH(tblEnriched[[#This Row],[Date]]),1)</f>
        <v>44958</v>
      </c>
    </row>
    <row r="131" spans="1:18">
      <c r="A131" t="s">
        <v>553</v>
      </c>
      <c r="B131" s="10">
        <v>45226</v>
      </c>
      <c r="C131" t="s">
        <v>554</v>
      </c>
      <c r="D131" t="s">
        <v>64</v>
      </c>
      <c r="E131">
        <v>4</v>
      </c>
      <c r="F131" s="4">
        <v>263.93</v>
      </c>
      <c r="G131" t="s">
        <v>24</v>
      </c>
      <c r="H131" t="s">
        <v>25</v>
      </c>
      <c r="I131">
        <v>4</v>
      </c>
      <c r="J131" t="s">
        <v>43</v>
      </c>
      <c r="K131" t="s">
        <v>51</v>
      </c>
      <c r="L131" s="4">
        <v>1055.72</v>
      </c>
      <c r="M131" t="str">
        <f>VLOOKUP(D131,tblProduct[],2,FALSE)</f>
        <v>Electronics</v>
      </c>
      <c r="N131" t="str">
        <f>VLOOKUP(D131,tblProduct[],3,FALSE)</f>
        <v>High</v>
      </c>
      <c r="O131">
        <f>VLOOKUP(D131,tblProduct[],4,FALSE)</f>
        <v>150000</v>
      </c>
      <c r="P131">
        <v>1055.72</v>
      </c>
      <c r="Q131" s="19" t="str">
        <f t="shared" si="2"/>
        <v>Oct-2023</v>
      </c>
      <c r="R131" s="26">
        <f>DATE(YEAR(tblEnriched[[#This Row],[Date]]),MONTH(tblEnriched[[#This Row],[Date]]),1)</f>
        <v>45200</v>
      </c>
    </row>
    <row r="132" spans="1:18">
      <c r="A132" t="s">
        <v>557</v>
      </c>
      <c r="B132" s="10">
        <v>45679</v>
      </c>
      <c r="C132" t="s">
        <v>558</v>
      </c>
      <c r="D132" t="s">
        <v>79</v>
      </c>
      <c r="E132">
        <v>3</v>
      </c>
      <c r="F132" s="4">
        <v>501.3</v>
      </c>
      <c r="G132" t="s">
        <v>33</v>
      </c>
      <c r="H132" t="s">
        <v>41</v>
      </c>
      <c r="I132">
        <v>3</v>
      </c>
      <c r="J132" t="s">
        <v>87</v>
      </c>
      <c r="K132" t="s">
        <v>51</v>
      </c>
      <c r="L132" s="4">
        <v>1503.9</v>
      </c>
      <c r="M132" t="str">
        <f>VLOOKUP(D132,tblProduct[],2,FALSE)</f>
        <v>Furniture</v>
      </c>
      <c r="N132" t="str">
        <f>VLOOKUP(D132,tblProduct[],3,FALSE)</f>
        <v>High</v>
      </c>
      <c r="O132">
        <f>VLOOKUP(D132,tblProduct[],4,FALSE)</f>
        <v>75000</v>
      </c>
      <c r="P132">
        <v>1503.9</v>
      </c>
      <c r="Q132" s="19" t="str">
        <f t="shared" si="2"/>
        <v>Jan-2025</v>
      </c>
      <c r="R132" s="26">
        <f>DATE(YEAR(tblEnriched[[#This Row],[Date]]),MONTH(tblEnriched[[#This Row],[Date]]),1)</f>
        <v>45658</v>
      </c>
    </row>
    <row r="133" spans="1:18">
      <c r="A133" t="s">
        <v>561</v>
      </c>
      <c r="B133" s="10">
        <v>44934</v>
      </c>
      <c r="C133" t="s">
        <v>562</v>
      </c>
      <c r="D133" t="s">
        <v>38</v>
      </c>
      <c r="E133">
        <v>1</v>
      </c>
      <c r="F133" s="4">
        <v>84.8</v>
      </c>
      <c r="G133" t="s">
        <v>66</v>
      </c>
      <c r="H133" t="s">
        <v>95</v>
      </c>
      <c r="I133">
        <v>5</v>
      </c>
      <c r="K133" t="s">
        <v>28</v>
      </c>
      <c r="L133" s="4">
        <v>84.8</v>
      </c>
      <c r="M133" t="str">
        <f>VLOOKUP(D133,tblProduct[],2,FALSE)</f>
        <v>Electronics</v>
      </c>
      <c r="N133" t="str">
        <f>VLOOKUP(D133,tblProduct[],3,FALSE)</f>
        <v>Medium</v>
      </c>
      <c r="O133">
        <f>VLOOKUP(D133,tblProduct[],4,FALSE)</f>
        <v>100000</v>
      </c>
      <c r="P133">
        <v>84.8</v>
      </c>
      <c r="Q133" s="19" t="str">
        <f t="shared" si="2"/>
        <v>Jan-2023</v>
      </c>
      <c r="R133" s="26">
        <f>DATE(YEAR(tblEnriched[[#This Row],[Date]]),MONTH(tblEnriched[[#This Row],[Date]]),1)</f>
        <v>44927</v>
      </c>
    </row>
    <row r="134" spans="1:18">
      <c r="A134" t="s">
        <v>565</v>
      </c>
      <c r="B134" s="10">
        <v>45013</v>
      </c>
      <c r="C134" t="s">
        <v>566</v>
      </c>
      <c r="D134" t="s">
        <v>38</v>
      </c>
      <c r="E134">
        <v>4</v>
      </c>
      <c r="F134" s="4">
        <v>450.75</v>
      </c>
      <c r="G134" t="s">
        <v>40</v>
      </c>
      <c r="H134" t="s">
        <v>25</v>
      </c>
      <c r="I134">
        <v>6</v>
      </c>
      <c r="J134" t="s">
        <v>87</v>
      </c>
      <c r="K134" t="s">
        <v>44</v>
      </c>
      <c r="L134" s="4">
        <v>1803</v>
      </c>
      <c r="M134" t="str">
        <f>VLOOKUP(D134,tblProduct[],2,FALSE)</f>
        <v>Electronics</v>
      </c>
      <c r="N134" t="str">
        <f>VLOOKUP(D134,tblProduct[],3,FALSE)</f>
        <v>Medium</v>
      </c>
      <c r="O134">
        <f>VLOOKUP(D134,tblProduct[],4,FALSE)</f>
        <v>100000</v>
      </c>
      <c r="P134">
        <v>1803</v>
      </c>
      <c r="Q134" s="19" t="str">
        <f t="shared" si="2"/>
        <v>Mar-2023</v>
      </c>
      <c r="R134" s="26">
        <f>DATE(YEAR(tblEnriched[[#This Row],[Date]]),MONTH(tblEnriched[[#This Row],[Date]]),1)</f>
        <v>44986</v>
      </c>
    </row>
    <row r="135" spans="1:18">
      <c r="A135" t="s">
        <v>569</v>
      </c>
      <c r="B135" s="10">
        <v>45828</v>
      </c>
      <c r="C135" t="s">
        <v>570</v>
      </c>
      <c r="D135" t="s">
        <v>47</v>
      </c>
      <c r="E135">
        <v>4</v>
      </c>
      <c r="F135" s="4">
        <v>302.05</v>
      </c>
      <c r="G135" t="s">
        <v>24</v>
      </c>
      <c r="H135" t="s">
        <v>41</v>
      </c>
      <c r="I135">
        <v>6</v>
      </c>
      <c r="J135" t="s">
        <v>27</v>
      </c>
      <c r="K135" t="s">
        <v>82</v>
      </c>
      <c r="L135" s="4">
        <v>1208.2</v>
      </c>
      <c r="M135" t="str">
        <f>VLOOKUP(D135,tblProduct[],2,FALSE)</f>
        <v>Furniture</v>
      </c>
      <c r="N135" t="str">
        <f>VLOOKUP(D135,tblProduct[],3,FALSE)</f>
        <v>Medium</v>
      </c>
      <c r="O135">
        <f>VLOOKUP(D135,tblProduct[],4,FALSE)</f>
        <v>70000</v>
      </c>
      <c r="P135">
        <v>1208.2</v>
      </c>
      <c r="Q135" s="19" t="str">
        <f t="shared" si="2"/>
        <v>Jun-2025</v>
      </c>
      <c r="R135" s="26">
        <f>DATE(YEAR(tblEnriched[[#This Row],[Date]]),MONTH(tblEnriched[[#This Row],[Date]]),1)</f>
        <v>45809</v>
      </c>
    </row>
    <row r="136" spans="1:18">
      <c r="A136" t="s">
        <v>573</v>
      </c>
      <c r="B136" s="10">
        <v>45831</v>
      </c>
      <c r="C136" t="s">
        <v>574</v>
      </c>
      <c r="D136" t="s">
        <v>64</v>
      </c>
      <c r="E136">
        <v>2</v>
      </c>
      <c r="F136" s="4">
        <v>199.7</v>
      </c>
      <c r="G136" t="s">
        <v>71</v>
      </c>
      <c r="H136" t="s">
        <v>95</v>
      </c>
      <c r="I136">
        <v>4</v>
      </c>
      <c r="K136" t="s">
        <v>44</v>
      </c>
      <c r="L136" s="4">
        <v>399.4</v>
      </c>
      <c r="M136" t="str">
        <f>VLOOKUP(D136,tblProduct[],2,FALSE)</f>
        <v>Electronics</v>
      </c>
      <c r="N136" t="str">
        <f>VLOOKUP(D136,tblProduct[],3,FALSE)</f>
        <v>High</v>
      </c>
      <c r="O136">
        <f>VLOOKUP(D136,tblProduct[],4,FALSE)</f>
        <v>150000</v>
      </c>
      <c r="P136">
        <v>399.4</v>
      </c>
      <c r="Q136" s="19" t="str">
        <f t="shared" si="2"/>
        <v>Jun-2025</v>
      </c>
      <c r="R136" s="26">
        <f>DATE(YEAR(tblEnriched[[#This Row],[Date]]),MONTH(tblEnriched[[#This Row],[Date]]),1)</f>
        <v>45809</v>
      </c>
    </row>
    <row r="137" spans="1:18">
      <c r="A137" t="s">
        <v>576</v>
      </c>
      <c r="B137" s="10">
        <v>45142</v>
      </c>
      <c r="C137" t="s">
        <v>577</v>
      </c>
      <c r="D137" t="s">
        <v>54</v>
      </c>
      <c r="E137">
        <v>2</v>
      </c>
      <c r="F137" s="4">
        <v>68.81</v>
      </c>
      <c r="G137" t="s">
        <v>66</v>
      </c>
      <c r="H137" t="s">
        <v>25</v>
      </c>
      <c r="I137">
        <v>5</v>
      </c>
      <c r="J137" t="s">
        <v>27</v>
      </c>
      <c r="K137" t="s">
        <v>35</v>
      </c>
      <c r="L137" s="4">
        <v>137.62</v>
      </c>
      <c r="M137" t="str">
        <f>VLOOKUP(D137,tblProduct[],2,FALSE)</f>
        <v>Electronics</v>
      </c>
      <c r="N137" t="str">
        <f>VLOOKUP(D137,tblProduct[],3,FALSE)</f>
        <v>Medium</v>
      </c>
      <c r="O137">
        <f>VLOOKUP(D137,tblProduct[],4,FALSE)</f>
        <v>80000</v>
      </c>
      <c r="P137">
        <v>137.62</v>
      </c>
      <c r="Q137" s="19" t="str">
        <f t="shared" si="2"/>
        <v>Aug-2023</v>
      </c>
      <c r="R137" s="26">
        <f>DATE(YEAR(tblEnriched[[#This Row],[Date]]),MONTH(tblEnriched[[#This Row],[Date]]),1)</f>
        <v>45139</v>
      </c>
    </row>
    <row r="138" spans="1:18">
      <c r="A138" t="s">
        <v>580</v>
      </c>
      <c r="B138" s="10">
        <v>45409</v>
      </c>
      <c r="C138" t="s">
        <v>581</v>
      </c>
      <c r="D138" t="s">
        <v>64</v>
      </c>
      <c r="E138">
        <v>1</v>
      </c>
      <c r="F138" s="4">
        <v>44.35</v>
      </c>
      <c r="G138" t="s">
        <v>66</v>
      </c>
      <c r="H138" t="s">
        <v>41</v>
      </c>
      <c r="I138">
        <v>1</v>
      </c>
      <c r="J138" t="s">
        <v>27</v>
      </c>
      <c r="K138" t="s">
        <v>28</v>
      </c>
      <c r="L138" s="4">
        <v>44.35</v>
      </c>
      <c r="M138" t="str">
        <f>VLOOKUP(D138,tblProduct[],2,FALSE)</f>
        <v>Electronics</v>
      </c>
      <c r="N138" t="str">
        <f>VLOOKUP(D138,tblProduct[],3,FALSE)</f>
        <v>High</v>
      </c>
      <c r="O138">
        <f>VLOOKUP(D138,tblProduct[],4,FALSE)</f>
        <v>150000</v>
      </c>
      <c r="P138">
        <v>44.35</v>
      </c>
      <c r="Q138" s="19" t="str">
        <f t="shared" si="2"/>
        <v>Apr-2024</v>
      </c>
      <c r="R138" s="26">
        <f>DATE(YEAR(tblEnriched[[#This Row],[Date]]),MONTH(tblEnriched[[#This Row],[Date]]),1)</f>
        <v>45383</v>
      </c>
    </row>
    <row r="139" spans="1:18">
      <c r="A139" t="s">
        <v>584</v>
      </c>
      <c r="B139" s="10">
        <v>45622</v>
      </c>
      <c r="C139" t="s">
        <v>585</v>
      </c>
      <c r="D139" t="s">
        <v>22</v>
      </c>
      <c r="E139">
        <v>2</v>
      </c>
      <c r="F139" s="4">
        <v>250.98</v>
      </c>
      <c r="G139" t="s">
        <v>40</v>
      </c>
      <c r="H139" t="s">
        <v>56</v>
      </c>
      <c r="I139">
        <v>5</v>
      </c>
      <c r="K139" t="s">
        <v>82</v>
      </c>
      <c r="L139" s="4">
        <v>501.96</v>
      </c>
      <c r="M139" t="str">
        <f>VLOOKUP(D139,tblProduct[],2,FALSE)</f>
        <v>Electronics</v>
      </c>
      <c r="N139" t="str">
        <f>VLOOKUP(D139,tblProduct[],3,FALSE)</f>
        <v>Medium</v>
      </c>
      <c r="O139">
        <f>VLOOKUP(D139,tblProduct[],4,FALSE)</f>
        <v>90000</v>
      </c>
      <c r="P139">
        <v>501.96</v>
      </c>
      <c r="Q139" s="19" t="str">
        <f t="shared" si="2"/>
        <v>Nov-2024</v>
      </c>
      <c r="R139" s="26">
        <f>DATE(YEAR(tblEnriched[[#This Row],[Date]]),MONTH(tblEnriched[[#This Row],[Date]]),1)</f>
        <v>45597</v>
      </c>
    </row>
    <row r="140" spans="1:18">
      <c r="A140" t="s">
        <v>588</v>
      </c>
      <c r="B140" s="10">
        <v>45281</v>
      </c>
      <c r="C140" t="s">
        <v>589</v>
      </c>
      <c r="D140" t="s">
        <v>38</v>
      </c>
      <c r="E140">
        <v>1</v>
      </c>
      <c r="F140" s="4">
        <v>298.06</v>
      </c>
      <c r="G140" t="s">
        <v>24</v>
      </c>
      <c r="H140" t="s">
        <v>95</v>
      </c>
      <c r="I140">
        <v>3</v>
      </c>
      <c r="J140" t="s">
        <v>87</v>
      </c>
      <c r="K140" t="s">
        <v>82</v>
      </c>
      <c r="L140" s="4">
        <v>298.06</v>
      </c>
      <c r="M140" t="str">
        <f>VLOOKUP(D140,tblProduct[],2,FALSE)</f>
        <v>Electronics</v>
      </c>
      <c r="N140" t="str">
        <f>VLOOKUP(D140,tblProduct[],3,FALSE)</f>
        <v>Medium</v>
      </c>
      <c r="O140">
        <f>VLOOKUP(D140,tblProduct[],4,FALSE)</f>
        <v>100000</v>
      </c>
      <c r="P140">
        <v>298.06</v>
      </c>
      <c r="Q140" s="19" t="str">
        <f t="shared" si="2"/>
        <v>Dec-2023</v>
      </c>
      <c r="R140" s="26">
        <f>DATE(YEAR(tblEnriched[[#This Row],[Date]]),MONTH(tblEnriched[[#This Row],[Date]]),1)</f>
        <v>45261</v>
      </c>
    </row>
    <row r="141" spans="1:18">
      <c r="A141" t="s">
        <v>592</v>
      </c>
      <c r="B141" s="10">
        <v>45026</v>
      </c>
      <c r="C141" t="s">
        <v>593</v>
      </c>
      <c r="D141" t="s">
        <v>31</v>
      </c>
      <c r="E141">
        <v>1</v>
      </c>
      <c r="F141" s="4">
        <v>583.9</v>
      </c>
      <c r="G141" t="s">
        <v>71</v>
      </c>
      <c r="H141" t="s">
        <v>49</v>
      </c>
      <c r="I141">
        <v>1</v>
      </c>
      <c r="K141" t="s">
        <v>44</v>
      </c>
      <c r="L141" s="4">
        <v>583.9</v>
      </c>
      <c r="M141" t="str">
        <f>VLOOKUP(D141,tblProduct[],2,FALSE)</f>
        <v>Electronics</v>
      </c>
      <c r="N141" t="str">
        <f>VLOOKUP(D141,tblProduct[],3,FALSE)</f>
        <v>High</v>
      </c>
      <c r="O141">
        <f>VLOOKUP(D141,tblProduct[],4,FALSE)</f>
        <v>120000</v>
      </c>
      <c r="P141">
        <v>583.9</v>
      </c>
      <c r="Q141" s="19" t="str">
        <f t="shared" si="2"/>
        <v>Apr-2023</v>
      </c>
      <c r="R141" s="26">
        <f>DATE(YEAR(tblEnriched[[#This Row],[Date]]),MONTH(tblEnriched[[#This Row],[Date]]),1)</f>
        <v>45017</v>
      </c>
    </row>
    <row r="142" spans="1:18">
      <c r="A142" t="s">
        <v>596</v>
      </c>
      <c r="B142" s="10">
        <v>45808</v>
      </c>
      <c r="C142" t="s">
        <v>597</v>
      </c>
      <c r="D142" t="s">
        <v>47</v>
      </c>
      <c r="E142">
        <v>3</v>
      </c>
      <c r="F142" s="4">
        <v>528.14</v>
      </c>
      <c r="G142" t="s">
        <v>33</v>
      </c>
      <c r="H142" t="s">
        <v>56</v>
      </c>
      <c r="I142">
        <v>3</v>
      </c>
      <c r="J142" t="s">
        <v>43</v>
      </c>
      <c r="K142" t="s">
        <v>44</v>
      </c>
      <c r="L142" s="4">
        <v>1584.42</v>
      </c>
      <c r="M142" t="str">
        <f>VLOOKUP(D142,tblProduct[],2,FALSE)</f>
        <v>Furniture</v>
      </c>
      <c r="N142" t="str">
        <f>VLOOKUP(D142,tblProduct[],3,FALSE)</f>
        <v>Medium</v>
      </c>
      <c r="O142">
        <f>VLOOKUP(D142,tblProduct[],4,FALSE)</f>
        <v>70000</v>
      </c>
      <c r="P142">
        <v>1584.42</v>
      </c>
      <c r="Q142" s="19" t="str">
        <f t="shared" si="2"/>
        <v>May-2025</v>
      </c>
      <c r="R142" s="26">
        <f>DATE(YEAR(tblEnriched[[#This Row],[Date]]),MONTH(tblEnriched[[#This Row],[Date]]),1)</f>
        <v>45778</v>
      </c>
    </row>
    <row r="143" spans="1:18">
      <c r="A143" t="s">
        <v>599</v>
      </c>
      <c r="B143" s="10">
        <v>45248</v>
      </c>
      <c r="C143" t="s">
        <v>600</v>
      </c>
      <c r="D143" t="s">
        <v>54</v>
      </c>
      <c r="E143">
        <v>3</v>
      </c>
      <c r="F143" s="4">
        <v>684.14</v>
      </c>
      <c r="G143" t="s">
        <v>71</v>
      </c>
      <c r="H143" t="s">
        <v>41</v>
      </c>
      <c r="I143">
        <v>3</v>
      </c>
      <c r="J143" t="s">
        <v>87</v>
      </c>
      <c r="K143" t="s">
        <v>28</v>
      </c>
      <c r="L143" s="4">
        <v>2052.42</v>
      </c>
      <c r="M143" t="str">
        <f>VLOOKUP(D143,tblProduct[],2,FALSE)</f>
        <v>Electronics</v>
      </c>
      <c r="N143" t="str">
        <f>VLOOKUP(D143,tblProduct[],3,FALSE)</f>
        <v>Medium</v>
      </c>
      <c r="O143">
        <f>VLOOKUP(D143,tblProduct[],4,FALSE)</f>
        <v>80000</v>
      </c>
      <c r="P143">
        <v>2052.42</v>
      </c>
      <c r="Q143" s="19" t="str">
        <f t="shared" si="2"/>
        <v>Nov-2023</v>
      </c>
      <c r="R143" s="26">
        <f>DATE(YEAR(tblEnriched[[#This Row],[Date]]),MONTH(tblEnriched[[#This Row],[Date]]),1)</f>
        <v>45231</v>
      </c>
    </row>
    <row r="144" spans="1:18">
      <c r="A144" t="s">
        <v>603</v>
      </c>
      <c r="B144" s="10">
        <v>45175</v>
      </c>
      <c r="C144" t="s">
        <v>604</v>
      </c>
      <c r="D144" t="s">
        <v>79</v>
      </c>
      <c r="E144">
        <v>5</v>
      </c>
      <c r="F144" s="4">
        <v>272.77</v>
      </c>
      <c r="G144" t="s">
        <v>71</v>
      </c>
      <c r="H144" t="s">
        <v>95</v>
      </c>
      <c r="I144">
        <v>7</v>
      </c>
      <c r="J144" t="s">
        <v>87</v>
      </c>
      <c r="K144" t="s">
        <v>44</v>
      </c>
      <c r="L144" s="4">
        <v>1363.85</v>
      </c>
      <c r="M144" t="str">
        <f>VLOOKUP(D144,tblProduct[],2,FALSE)</f>
        <v>Furniture</v>
      </c>
      <c r="N144" t="str">
        <f>VLOOKUP(D144,tblProduct[],3,FALSE)</f>
        <v>High</v>
      </c>
      <c r="O144">
        <f>VLOOKUP(D144,tblProduct[],4,FALSE)</f>
        <v>75000</v>
      </c>
      <c r="P144">
        <v>1363.85</v>
      </c>
      <c r="Q144" s="19" t="str">
        <f t="shared" si="2"/>
        <v>Sep-2023</v>
      </c>
      <c r="R144" s="26">
        <f>DATE(YEAR(tblEnriched[[#This Row],[Date]]),MONTH(tblEnriched[[#This Row],[Date]]),1)</f>
        <v>45170</v>
      </c>
    </row>
    <row r="145" spans="1:18">
      <c r="A145" t="s">
        <v>607</v>
      </c>
      <c r="B145" s="10">
        <v>45456</v>
      </c>
      <c r="C145" t="s">
        <v>608</v>
      </c>
      <c r="D145" t="s">
        <v>47</v>
      </c>
      <c r="E145">
        <v>4</v>
      </c>
      <c r="F145" s="4">
        <v>400.07</v>
      </c>
      <c r="G145" t="s">
        <v>33</v>
      </c>
      <c r="H145" t="s">
        <v>25</v>
      </c>
      <c r="I145">
        <v>5</v>
      </c>
      <c r="K145" t="s">
        <v>35</v>
      </c>
      <c r="L145" s="4">
        <v>1600.28</v>
      </c>
      <c r="M145" t="str">
        <f>VLOOKUP(D145,tblProduct[],2,FALSE)</f>
        <v>Furniture</v>
      </c>
      <c r="N145" t="str">
        <f>VLOOKUP(D145,tblProduct[],3,FALSE)</f>
        <v>Medium</v>
      </c>
      <c r="O145">
        <f>VLOOKUP(D145,tblProduct[],4,FALSE)</f>
        <v>70000</v>
      </c>
      <c r="P145">
        <v>1600.28</v>
      </c>
      <c r="Q145" s="19" t="str">
        <f t="shared" si="2"/>
        <v>Jun-2024</v>
      </c>
      <c r="R145" s="26">
        <f>DATE(YEAR(tblEnriched[[#This Row],[Date]]),MONTH(tblEnriched[[#This Row],[Date]]),1)</f>
        <v>45444</v>
      </c>
    </row>
    <row r="146" spans="1:18">
      <c r="A146" t="s">
        <v>611</v>
      </c>
      <c r="B146" s="10">
        <v>45142</v>
      </c>
      <c r="C146" t="s">
        <v>612</v>
      </c>
      <c r="D146" t="s">
        <v>79</v>
      </c>
      <c r="E146">
        <v>5</v>
      </c>
      <c r="F146" s="4">
        <v>219.78</v>
      </c>
      <c r="G146" t="s">
        <v>40</v>
      </c>
      <c r="H146" t="s">
        <v>95</v>
      </c>
      <c r="I146">
        <v>8</v>
      </c>
      <c r="K146" t="s">
        <v>51</v>
      </c>
      <c r="L146" s="4">
        <v>1098.9000000000001</v>
      </c>
      <c r="M146" t="str">
        <f>VLOOKUP(D146,tblProduct[],2,FALSE)</f>
        <v>Furniture</v>
      </c>
      <c r="N146" t="str">
        <f>VLOOKUP(D146,tblProduct[],3,FALSE)</f>
        <v>High</v>
      </c>
      <c r="O146">
        <f>VLOOKUP(D146,tblProduct[],4,FALSE)</f>
        <v>75000</v>
      </c>
      <c r="P146">
        <v>1098.9000000000001</v>
      </c>
      <c r="Q146" s="19" t="str">
        <f t="shared" si="2"/>
        <v>Aug-2023</v>
      </c>
      <c r="R146" s="26">
        <f>DATE(YEAR(tblEnriched[[#This Row],[Date]]),MONTH(tblEnriched[[#This Row],[Date]]),1)</f>
        <v>45139</v>
      </c>
    </row>
    <row r="147" spans="1:18">
      <c r="A147" t="s">
        <v>614</v>
      </c>
      <c r="B147" s="10">
        <v>45353</v>
      </c>
      <c r="C147" t="s">
        <v>615</v>
      </c>
      <c r="D147" t="s">
        <v>54</v>
      </c>
      <c r="E147">
        <v>3</v>
      </c>
      <c r="F147" s="4">
        <v>146.91</v>
      </c>
      <c r="G147" t="s">
        <v>40</v>
      </c>
      <c r="H147" t="s">
        <v>56</v>
      </c>
      <c r="I147">
        <v>6</v>
      </c>
      <c r="J147" t="s">
        <v>43</v>
      </c>
      <c r="K147" t="s">
        <v>82</v>
      </c>
      <c r="L147" s="4">
        <v>440.73</v>
      </c>
      <c r="M147" t="str">
        <f>VLOOKUP(D147,tblProduct[],2,FALSE)</f>
        <v>Electronics</v>
      </c>
      <c r="N147" t="str">
        <f>VLOOKUP(D147,tblProduct[],3,FALSE)</f>
        <v>Medium</v>
      </c>
      <c r="O147">
        <f>VLOOKUP(D147,tblProduct[],4,FALSE)</f>
        <v>80000</v>
      </c>
      <c r="P147">
        <v>440.73</v>
      </c>
      <c r="Q147" s="19" t="str">
        <f t="shared" si="2"/>
        <v>Mar-2024</v>
      </c>
      <c r="R147" s="26">
        <f>DATE(YEAR(tblEnriched[[#This Row],[Date]]),MONTH(tblEnriched[[#This Row],[Date]]),1)</f>
        <v>45352</v>
      </c>
    </row>
    <row r="148" spans="1:18">
      <c r="A148" t="s">
        <v>618</v>
      </c>
      <c r="B148" s="10">
        <v>45777</v>
      </c>
      <c r="C148" t="s">
        <v>619</v>
      </c>
      <c r="D148" t="s">
        <v>38</v>
      </c>
      <c r="E148">
        <v>2</v>
      </c>
      <c r="F148" s="4">
        <v>411.49</v>
      </c>
      <c r="G148" t="s">
        <v>40</v>
      </c>
      <c r="H148" t="s">
        <v>49</v>
      </c>
      <c r="I148">
        <v>4</v>
      </c>
      <c r="K148" t="s">
        <v>28</v>
      </c>
      <c r="L148" s="4">
        <v>822.98</v>
      </c>
      <c r="M148" t="str">
        <f>VLOOKUP(D148,tblProduct[],2,FALSE)</f>
        <v>Electronics</v>
      </c>
      <c r="N148" t="str">
        <f>VLOOKUP(D148,tblProduct[],3,FALSE)</f>
        <v>Medium</v>
      </c>
      <c r="O148">
        <f>VLOOKUP(D148,tblProduct[],4,FALSE)</f>
        <v>100000</v>
      </c>
      <c r="P148">
        <v>822.98</v>
      </c>
      <c r="Q148" s="19" t="str">
        <f t="shared" si="2"/>
        <v>Apr-2025</v>
      </c>
      <c r="R148" s="26">
        <f>DATE(YEAR(tblEnriched[[#This Row],[Date]]),MONTH(tblEnriched[[#This Row],[Date]]),1)</f>
        <v>45748</v>
      </c>
    </row>
    <row r="149" spans="1:18">
      <c r="A149" t="s">
        <v>622</v>
      </c>
      <c r="B149" s="10">
        <v>45783</v>
      </c>
      <c r="C149" t="s">
        <v>623</v>
      </c>
      <c r="D149" t="s">
        <v>64</v>
      </c>
      <c r="E149">
        <v>2</v>
      </c>
      <c r="F149" s="4">
        <v>465.18</v>
      </c>
      <c r="G149" t="s">
        <v>40</v>
      </c>
      <c r="H149" t="s">
        <v>41</v>
      </c>
      <c r="I149">
        <v>2</v>
      </c>
      <c r="J149" t="s">
        <v>27</v>
      </c>
      <c r="K149" t="s">
        <v>82</v>
      </c>
      <c r="L149" s="4">
        <v>930.36</v>
      </c>
      <c r="M149" t="str">
        <f>VLOOKUP(D149,tblProduct[],2,FALSE)</f>
        <v>Electronics</v>
      </c>
      <c r="N149" t="str">
        <f>VLOOKUP(D149,tblProduct[],3,FALSE)</f>
        <v>High</v>
      </c>
      <c r="O149">
        <f>VLOOKUP(D149,tblProduct[],4,FALSE)</f>
        <v>150000</v>
      </c>
      <c r="P149">
        <v>930.36</v>
      </c>
      <c r="Q149" s="19" t="str">
        <f t="shared" si="2"/>
        <v>May-2025</v>
      </c>
      <c r="R149" s="26">
        <f>DATE(YEAR(tblEnriched[[#This Row],[Date]]),MONTH(tblEnriched[[#This Row],[Date]]),1)</f>
        <v>45778</v>
      </c>
    </row>
    <row r="150" spans="1:18">
      <c r="A150" t="s">
        <v>626</v>
      </c>
      <c r="B150" s="10">
        <v>45641</v>
      </c>
      <c r="C150" t="s">
        <v>627</v>
      </c>
      <c r="D150" t="s">
        <v>31</v>
      </c>
      <c r="E150">
        <v>2</v>
      </c>
      <c r="F150" s="4">
        <v>319.91000000000003</v>
      </c>
      <c r="G150" t="s">
        <v>40</v>
      </c>
      <c r="H150" t="s">
        <v>41</v>
      </c>
      <c r="I150">
        <v>3</v>
      </c>
      <c r="J150" t="s">
        <v>87</v>
      </c>
      <c r="K150" t="s">
        <v>82</v>
      </c>
      <c r="L150" s="4">
        <v>639.82000000000005</v>
      </c>
      <c r="M150" t="str">
        <f>VLOOKUP(D150,tblProduct[],2,FALSE)</f>
        <v>Electronics</v>
      </c>
      <c r="N150" t="str">
        <f>VLOOKUP(D150,tblProduct[],3,FALSE)</f>
        <v>High</v>
      </c>
      <c r="O150">
        <f>VLOOKUP(D150,tblProduct[],4,FALSE)</f>
        <v>120000</v>
      </c>
      <c r="P150">
        <v>639.82000000000005</v>
      </c>
      <c r="Q150" s="19" t="str">
        <f t="shared" si="2"/>
        <v>Dec-2024</v>
      </c>
      <c r="R150" s="26">
        <f>DATE(YEAR(tblEnriched[[#This Row],[Date]]),MONTH(tblEnriched[[#This Row],[Date]]),1)</f>
        <v>45627</v>
      </c>
    </row>
    <row r="151" spans="1:18">
      <c r="A151" t="s">
        <v>630</v>
      </c>
      <c r="B151" s="10">
        <v>45287</v>
      </c>
      <c r="C151" t="s">
        <v>631</v>
      </c>
      <c r="D151" t="s">
        <v>64</v>
      </c>
      <c r="E151">
        <v>1</v>
      </c>
      <c r="F151" s="4">
        <v>217.56</v>
      </c>
      <c r="G151" t="s">
        <v>24</v>
      </c>
      <c r="H151" t="s">
        <v>56</v>
      </c>
      <c r="I151">
        <v>3</v>
      </c>
      <c r="K151" t="s">
        <v>51</v>
      </c>
      <c r="L151" s="4">
        <v>217.56</v>
      </c>
      <c r="M151" t="str">
        <f>VLOOKUP(D151,tblProduct[],2,FALSE)</f>
        <v>Electronics</v>
      </c>
      <c r="N151" t="str">
        <f>VLOOKUP(D151,tblProduct[],3,FALSE)</f>
        <v>High</v>
      </c>
      <c r="O151">
        <f>VLOOKUP(D151,tblProduct[],4,FALSE)</f>
        <v>150000</v>
      </c>
      <c r="P151">
        <v>217.56</v>
      </c>
      <c r="Q151" s="19" t="str">
        <f t="shared" si="2"/>
        <v>Dec-2023</v>
      </c>
      <c r="R151" s="26">
        <f>DATE(YEAR(tblEnriched[[#This Row],[Date]]),MONTH(tblEnriched[[#This Row],[Date]]),1)</f>
        <v>45261</v>
      </c>
    </row>
    <row r="152" spans="1:18">
      <c r="A152" t="s">
        <v>634</v>
      </c>
      <c r="B152" s="10">
        <v>45273</v>
      </c>
      <c r="C152" t="s">
        <v>635</v>
      </c>
      <c r="D152" t="s">
        <v>31</v>
      </c>
      <c r="E152">
        <v>2</v>
      </c>
      <c r="F152" s="4">
        <v>105.57</v>
      </c>
      <c r="G152" t="s">
        <v>24</v>
      </c>
      <c r="H152" t="s">
        <v>49</v>
      </c>
      <c r="I152">
        <v>5</v>
      </c>
      <c r="J152" t="s">
        <v>87</v>
      </c>
      <c r="K152" t="s">
        <v>82</v>
      </c>
      <c r="L152" s="4">
        <v>211.14</v>
      </c>
      <c r="M152" t="str">
        <f>VLOOKUP(D152,tblProduct[],2,FALSE)</f>
        <v>Electronics</v>
      </c>
      <c r="N152" t="str">
        <f>VLOOKUP(D152,tblProduct[],3,FALSE)</f>
        <v>High</v>
      </c>
      <c r="O152">
        <f>VLOOKUP(D152,tblProduct[],4,FALSE)</f>
        <v>120000</v>
      </c>
      <c r="P152">
        <v>211.14</v>
      </c>
      <c r="Q152" s="19" t="str">
        <f t="shared" si="2"/>
        <v>Dec-2023</v>
      </c>
      <c r="R152" s="26">
        <f>DATE(YEAR(tblEnriched[[#This Row],[Date]]),MONTH(tblEnriched[[#This Row],[Date]]),1)</f>
        <v>45261</v>
      </c>
    </row>
    <row r="153" spans="1:18">
      <c r="A153" t="s">
        <v>638</v>
      </c>
      <c r="B153" s="10">
        <v>45261</v>
      </c>
      <c r="C153" t="s">
        <v>639</v>
      </c>
      <c r="D153" t="s">
        <v>54</v>
      </c>
      <c r="E153">
        <v>5</v>
      </c>
      <c r="F153" s="4">
        <v>444.76</v>
      </c>
      <c r="G153" t="s">
        <v>24</v>
      </c>
      <c r="H153" t="s">
        <v>49</v>
      </c>
      <c r="I153">
        <v>7</v>
      </c>
      <c r="K153" t="s">
        <v>44</v>
      </c>
      <c r="L153" s="4">
        <v>2223.8000000000002</v>
      </c>
      <c r="M153" t="str">
        <f>VLOOKUP(D153,tblProduct[],2,FALSE)</f>
        <v>Electronics</v>
      </c>
      <c r="N153" t="str">
        <f>VLOOKUP(D153,tblProduct[],3,FALSE)</f>
        <v>Medium</v>
      </c>
      <c r="O153">
        <f>VLOOKUP(D153,tblProduct[],4,FALSE)</f>
        <v>80000</v>
      </c>
      <c r="P153">
        <v>2223.8000000000002</v>
      </c>
      <c r="Q153" s="19" t="str">
        <f t="shared" si="2"/>
        <v>Dec-2023</v>
      </c>
      <c r="R153" s="26">
        <f>DATE(YEAR(tblEnriched[[#This Row],[Date]]),MONTH(tblEnriched[[#This Row],[Date]]),1)</f>
        <v>45261</v>
      </c>
    </row>
    <row r="154" spans="1:18">
      <c r="A154" t="s">
        <v>642</v>
      </c>
      <c r="B154" s="10">
        <v>45659</v>
      </c>
      <c r="C154" t="s">
        <v>643</v>
      </c>
      <c r="D154" t="s">
        <v>47</v>
      </c>
      <c r="E154">
        <v>2</v>
      </c>
      <c r="F154" s="4">
        <v>399.04</v>
      </c>
      <c r="G154" t="s">
        <v>71</v>
      </c>
      <c r="H154" t="s">
        <v>41</v>
      </c>
      <c r="I154">
        <v>3</v>
      </c>
      <c r="J154" t="s">
        <v>43</v>
      </c>
      <c r="K154" t="s">
        <v>35</v>
      </c>
      <c r="L154" s="4">
        <v>798.08</v>
      </c>
      <c r="M154" t="str">
        <f>VLOOKUP(D154,tblProduct[],2,FALSE)</f>
        <v>Furniture</v>
      </c>
      <c r="N154" t="str">
        <f>VLOOKUP(D154,tblProduct[],3,FALSE)</f>
        <v>Medium</v>
      </c>
      <c r="O154">
        <f>VLOOKUP(D154,tblProduct[],4,FALSE)</f>
        <v>70000</v>
      </c>
      <c r="P154">
        <v>798.08</v>
      </c>
      <c r="Q154" s="19" t="str">
        <f t="shared" si="2"/>
        <v>Jan-2025</v>
      </c>
      <c r="R154" s="26">
        <f>DATE(YEAR(tblEnriched[[#This Row],[Date]]),MONTH(tblEnriched[[#This Row],[Date]]),1)</f>
        <v>45658</v>
      </c>
    </row>
    <row r="155" spans="1:18">
      <c r="A155" t="s">
        <v>646</v>
      </c>
      <c r="B155" s="10">
        <v>45644</v>
      </c>
      <c r="C155" t="s">
        <v>647</v>
      </c>
      <c r="D155" t="s">
        <v>47</v>
      </c>
      <c r="E155">
        <v>4</v>
      </c>
      <c r="F155" s="4">
        <v>534.48</v>
      </c>
      <c r="G155" t="s">
        <v>33</v>
      </c>
      <c r="H155" t="s">
        <v>49</v>
      </c>
      <c r="I155">
        <v>9</v>
      </c>
      <c r="J155" t="s">
        <v>87</v>
      </c>
      <c r="K155" t="s">
        <v>28</v>
      </c>
      <c r="L155" s="4">
        <v>2137.92</v>
      </c>
      <c r="M155" t="str">
        <f>VLOOKUP(D155,tblProduct[],2,FALSE)</f>
        <v>Furniture</v>
      </c>
      <c r="N155" t="str">
        <f>VLOOKUP(D155,tblProduct[],3,FALSE)</f>
        <v>Medium</v>
      </c>
      <c r="O155">
        <f>VLOOKUP(D155,tblProduct[],4,FALSE)</f>
        <v>70000</v>
      </c>
      <c r="P155">
        <v>2137.92</v>
      </c>
      <c r="Q155" s="19" t="str">
        <f t="shared" si="2"/>
        <v>Dec-2024</v>
      </c>
      <c r="R155" s="26">
        <f>DATE(YEAR(tblEnriched[[#This Row],[Date]]),MONTH(tblEnriched[[#This Row],[Date]]),1)</f>
        <v>45627</v>
      </c>
    </row>
    <row r="156" spans="1:18">
      <c r="A156" t="s">
        <v>650</v>
      </c>
      <c r="B156" s="10">
        <v>45127</v>
      </c>
      <c r="C156" t="s">
        <v>651</v>
      </c>
      <c r="D156" t="s">
        <v>31</v>
      </c>
      <c r="E156">
        <v>4</v>
      </c>
      <c r="F156" s="4">
        <v>408.21</v>
      </c>
      <c r="G156" t="s">
        <v>40</v>
      </c>
      <c r="H156" t="s">
        <v>95</v>
      </c>
      <c r="I156">
        <v>9</v>
      </c>
      <c r="K156" t="s">
        <v>28</v>
      </c>
      <c r="L156" s="4">
        <v>1632.84</v>
      </c>
      <c r="M156" t="str">
        <f>VLOOKUP(D156,tblProduct[],2,FALSE)</f>
        <v>Electronics</v>
      </c>
      <c r="N156" t="str">
        <f>VLOOKUP(D156,tblProduct[],3,FALSE)</f>
        <v>High</v>
      </c>
      <c r="O156">
        <f>VLOOKUP(D156,tblProduct[],4,FALSE)</f>
        <v>120000</v>
      </c>
      <c r="P156">
        <v>1632.84</v>
      </c>
      <c r="Q156" s="19" t="str">
        <f t="shared" si="2"/>
        <v>Jul-2023</v>
      </c>
      <c r="R156" s="26">
        <f>DATE(YEAR(tblEnriched[[#This Row],[Date]]),MONTH(tblEnriched[[#This Row],[Date]]),1)</f>
        <v>45108</v>
      </c>
    </row>
    <row r="157" spans="1:18">
      <c r="A157" t="s">
        <v>653</v>
      </c>
      <c r="B157" s="10">
        <v>44984</v>
      </c>
      <c r="C157" t="s">
        <v>654</v>
      </c>
      <c r="D157" t="s">
        <v>31</v>
      </c>
      <c r="E157">
        <v>1</v>
      </c>
      <c r="F157" s="4">
        <v>424.4</v>
      </c>
      <c r="G157" t="s">
        <v>33</v>
      </c>
      <c r="H157" t="s">
        <v>25</v>
      </c>
      <c r="I157">
        <v>6</v>
      </c>
      <c r="J157" t="s">
        <v>87</v>
      </c>
      <c r="K157" t="s">
        <v>35</v>
      </c>
      <c r="L157" s="4">
        <v>424.4</v>
      </c>
      <c r="M157" t="str">
        <f>VLOOKUP(D157,tblProduct[],2,FALSE)</f>
        <v>Electronics</v>
      </c>
      <c r="N157" t="str">
        <f>VLOOKUP(D157,tblProduct[],3,FALSE)</f>
        <v>High</v>
      </c>
      <c r="O157">
        <f>VLOOKUP(D157,tblProduct[],4,FALSE)</f>
        <v>120000</v>
      </c>
      <c r="P157">
        <v>424.4</v>
      </c>
      <c r="Q157" s="19" t="str">
        <f t="shared" si="2"/>
        <v>Feb-2023</v>
      </c>
      <c r="R157" s="26">
        <f>DATE(YEAR(tblEnriched[[#This Row],[Date]]),MONTH(tblEnriched[[#This Row],[Date]]),1)</f>
        <v>44958</v>
      </c>
    </row>
    <row r="158" spans="1:18">
      <c r="A158" t="s">
        <v>656</v>
      </c>
      <c r="B158" s="10">
        <v>45604</v>
      </c>
      <c r="C158" t="s">
        <v>657</v>
      </c>
      <c r="D158" t="s">
        <v>47</v>
      </c>
      <c r="E158">
        <v>2</v>
      </c>
      <c r="F158" s="4">
        <v>269.83</v>
      </c>
      <c r="G158" t="s">
        <v>33</v>
      </c>
      <c r="H158" t="s">
        <v>56</v>
      </c>
      <c r="I158">
        <v>4</v>
      </c>
      <c r="J158" t="s">
        <v>27</v>
      </c>
      <c r="K158" t="s">
        <v>44</v>
      </c>
      <c r="L158" s="4">
        <v>539.66</v>
      </c>
      <c r="M158" t="str">
        <f>VLOOKUP(D158,tblProduct[],2,FALSE)</f>
        <v>Furniture</v>
      </c>
      <c r="N158" t="str">
        <f>VLOOKUP(D158,tblProduct[],3,FALSE)</f>
        <v>Medium</v>
      </c>
      <c r="O158">
        <f>VLOOKUP(D158,tblProduct[],4,FALSE)</f>
        <v>70000</v>
      </c>
      <c r="P158">
        <v>539.66</v>
      </c>
      <c r="Q158" s="19" t="str">
        <f t="shared" si="2"/>
        <v>Nov-2024</v>
      </c>
      <c r="R158" s="26">
        <f>DATE(YEAR(tblEnriched[[#This Row],[Date]]),MONTH(tblEnriched[[#This Row],[Date]]),1)</f>
        <v>45597</v>
      </c>
    </row>
    <row r="159" spans="1:18">
      <c r="A159" t="s">
        <v>660</v>
      </c>
      <c r="B159" s="10">
        <v>45709</v>
      </c>
      <c r="C159" t="s">
        <v>661</v>
      </c>
      <c r="D159" t="s">
        <v>22</v>
      </c>
      <c r="E159">
        <v>2</v>
      </c>
      <c r="F159" s="4">
        <v>564.58000000000004</v>
      </c>
      <c r="G159" t="s">
        <v>33</v>
      </c>
      <c r="H159" t="s">
        <v>49</v>
      </c>
      <c r="I159">
        <v>4</v>
      </c>
      <c r="J159" t="s">
        <v>87</v>
      </c>
      <c r="K159" t="s">
        <v>51</v>
      </c>
      <c r="L159" s="4">
        <v>1129.1600000000001</v>
      </c>
      <c r="M159" t="str">
        <f>VLOOKUP(D159,tblProduct[],2,FALSE)</f>
        <v>Electronics</v>
      </c>
      <c r="N159" t="str">
        <f>VLOOKUP(D159,tblProduct[],3,FALSE)</f>
        <v>Medium</v>
      </c>
      <c r="O159">
        <f>VLOOKUP(D159,tblProduct[],4,FALSE)</f>
        <v>90000</v>
      </c>
      <c r="P159">
        <v>1129.1600000000001</v>
      </c>
      <c r="Q159" s="19" t="str">
        <f t="shared" si="2"/>
        <v>Feb-2025</v>
      </c>
      <c r="R159" s="26">
        <f>DATE(YEAR(tblEnriched[[#This Row],[Date]]),MONTH(tblEnriched[[#This Row],[Date]]),1)</f>
        <v>45689</v>
      </c>
    </row>
    <row r="160" spans="1:18">
      <c r="A160" t="s">
        <v>663</v>
      </c>
      <c r="B160" s="10">
        <v>45428</v>
      </c>
      <c r="C160" t="s">
        <v>664</v>
      </c>
      <c r="D160" t="s">
        <v>38</v>
      </c>
      <c r="E160">
        <v>1</v>
      </c>
      <c r="F160" s="4">
        <v>331.06</v>
      </c>
      <c r="G160" t="s">
        <v>40</v>
      </c>
      <c r="H160" t="s">
        <v>95</v>
      </c>
      <c r="I160">
        <v>5</v>
      </c>
      <c r="J160" t="s">
        <v>87</v>
      </c>
      <c r="K160" t="s">
        <v>28</v>
      </c>
      <c r="L160" s="4">
        <v>331.06</v>
      </c>
      <c r="M160" t="str">
        <f>VLOOKUP(D160,tblProduct[],2,FALSE)</f>
        <v>Electronics</v>
      </c>
      <c r="N160" t="str">
        <f>VLOOKUP(D160,tblProduct[],3,FALSE)</f>
        <v>Medium</v>
      </c>
      <c r="O160">
        <f>VLOOKUP(D160,tblProduct[],4,FALSE)</f>
        <v>100000</v>
      </c>
      <c r="P160">
        <v>331.06</v>
      </c>
      <c r="Q160" s="19" t="str">
        <f t="shared" si="2"/>
        <v>May-2024</v>
      </c>
      <c r="R160" s="26">
        <f>DATE(YEAR(tblEnriched[[#This Row],[Date]]),MONTH(tblEnriched[[#This Row],[Date]]),1)</f>
        <v>45413</v>
      </c>
    </row>
    <row r="161" spans="1:18">
      <c r="A161" t="s">
        <v>667</v>
      </c>
      <c r="B161" s="10">
        <v>45230</v>
      </c>
      <c r="C161" t="s">
        <v>668</v>
      </c>
      <c r="D161" t="s">
        <v>54</v>
      </c>
      <c r="E161">
        <v>1</v>
      </c>
      <c r="F161" s="4">
        <v>299.35000000000002</v>
      </c>
      <c r="G161" t="s">
        <v>40</v>
      </c>
      <c r="H161" t="s">
        <v>41</v>
      </c>
      <c r="I161">
        <v>5</v>
      </c>
      <c r="J161" t="s">
        <v>87</v>
      </c>
      <c r="K161" t="s">
        <v>44</v>
      </c>
      <c r="L161" s="4">
        <v>299.35000000000002</v>
      </c>
      <c r="M161" t="str">
        <f>VLOOKUP(D161,tblProduct[],2,FALSE)</f>
        <v>Electronics</v>
      </c>
      <c r="N161" t="str">
        <f>VLOOKUP(D161,tblProduct[],3,FALSE)</f>
        <v>Medium</v>
      </c>
      <c r="O161">
        <f>VLOOKUP(D161,tblProduct[],4,FALSE)</f>
        <v>80000</v>
      </c>
      <c r="P161">
        <v>299.35000000000002</v>
      </c>
      <c r="Q161" s="19" t="str">
        <f t="shared" si="2"/>
        <v>Oct-2023</v>
      </c>
      <c r="R161" s="26">
        <f>DATE(YEAR(tblEnriched[[#This Row],[Date]]),MONTH(tblEnriched[[#This Row],[Date]]),1)</f>
        <v>45200</v>
      </c>
    </row>
    <row r="162" spans="1:18">
      <c r="A162" t="s">
        <v>671</v>
      </c>
      <c r="B162" s="10">
        <v>44974</v>
      </c>
      <c r="C162" t="s">
        <v>672</v>
      </c>
      <c r="D162" t="s">
        <v>22</v>
      </c>
      <c r="E162">
        <v>4</v>
      </c>
      <c r="F162" s="4">
        <v>101.32</v>
      </c>
      <c r="G162" t="s">
        <v>71</v>
      </c>
      <c r="H162" t="s">
        <v>95</v>
      </c>
      <c r="I162">
        <v>7</v>
      </c>
      <c r="K162" t="s">
        <v>35</v>
      </c>
      <c r="L162" s="4">
        <v>405.28</v>
      </c>
      <c r="M162" t="str">
        <f>VLOOKUP(D162,tblProduct[],2,FALSE)</f>
        <v>Electronics</v>
      </c>
      <c r="N162" t="str">
        <f>VLOOKUP(D162,tblProduct[],3,FALSE)</f>
        <v>Medium</v>
      </c>
      <c r="O162">
        <f>VLOOKUP(D162,tblProduct[],4,FALSE)</f>
        <v>90000</v>
      </c>
      <c r="P162">
        <v>405.28</v>
      </c>
      <c r="Q162" s="19" t="str">
        <f t="shared" si="2"/>
        <v>Feb-2023</v>
      </c>
      <c r="R162" s="26">
        <f>DATE(YEAR(tblEnriched[[#This Row],[Date]]),MONTH(tblEnriched[[#This Row],[Date]]),1)</f>
        <v>44958</v>
      </c>
    </row>
    <row r="163" spans="1:18">
      <c r="A163" t="s">
        <v>675</v>
      </c>
      <c r="B163" s="10">
        <v>45380</v>
      </c>
      <c r="C163" t="s">
        <v>676</v>
      </c>
      <c r="D163" t="s">
        <v>22</v>
      </c>
      <c r="E163">
        <v>1</v>
      </c>
      <c r="F163" s="4">
        <v>211.14</v>
      </c>
      <c r="G163" t="s">
        <v>40</v>
      </c>
      <c r="H163" t="s">
        <v>41</v>
      </c>
      <c r="I163">
        <v>1</v>
      </c>
      <c r="J163" t="s">
        <v>27</v>
      </c>
      <c r="K163" t="s">
        <v>51</v>
      </c>
      <c r="L163" s="4">
        <v>211.14</v>
      </c>
      <c r="M163" t="str">
        <f>VLOOKUP(D163,tblProduct[],2,FALSE)</f>
        <v>Electronics</v>
      </c>
      <c r="N163" t="str">
        <f>VLOOKUP(D163,tblProduct[],3,FALSE)</f>
        <v>Medium</v>
      </c>
      <c r="O163">
        <f>VLOOKUP(D163,tblProduct[],4,FALSE)</f>
        <v>90000</v>
      </c>
      <c r="P163">
        <v>211.14</v>
      </c>
      <c r="Q163" s="19" t="str">
        <f t="shared" si="2"/>
        <v>Mar-2024</v>
      </c>
      <c r="R163" s="26">
        <f>DATE(YEAR(tblEnriched[[#This Row],[Date]]),MONTH(tblEnriched[[#This Row],[Date]]),1)</f>
        <v>45352</v>
      </c>
    </row>
    <row r="164" spans="1:18">
      <c r="A164" t="s">
        <v>678</v>
      </c>
      <c r="B164" s="10">
        <v>45134</v>
      </c>
      <c r="C164" t="s">
        <v>679</v>
      </c>
      <c r="D164" t="s">
        <v>47</v>
      </c>
      <c r="E164">
        <v>3</v>
      </c>
      <c r="F164" s="4">
        <v>65.86</v>
      </c>
      <c r="G164" t="s">
        <v>33</v>
      </c>
      <c r="H164" t="s">
        <v>95</v>
      </c>
      <c r="I164">
        <v>8</v>
      </c>
      <c r="J164" t="s">
        <v>87</v>
      </c>
      <c r="K164" t="s">
        <v>82</v>
      </c>
      <c r="L164" s="4">
        <v>197.58</v>
      </c>
      <c r="M164" t="str">
        <f>VLOOKUP(D164,tblProduct[],2,FALSE)</f>
        <v>Furniture</v>
      </c>
      <c r="N164" t="str">
        <f>VLOOKUP(D164,tblProduct[],3,FALSE)</f>
        <v>Medium</v>
      </c>
      <c r="O164">
        <f>VLOOKUP(D164,tblProduct[],4,FALSE)</f>
        <v>70000</v>
      </c>
      <c r="P164">
        <v>197.58</v>
      </c>
      <c r="Q164" s="19" t="str">
        <f t="shared" si="2"/>
        <v>Jul-2023</v>
      </c>
      <c r="R164" s="26">
        <f>DATE(YEAR(tblEnriched[[#This Row],[Date]]),MONTH(tblEnriched[[#This Row],[Date]]),1)</f>
        <v>45108</v>
      </c>
    </row>
    <row r="165" spans="1:18">
      <c r="A165" t="s">
        <v>681</v>
      </c>
      <c r="B165" s="10">
        <v>45832</v>
      </c>
      <c r="C165" t="s">
        <v>682</v>
      </c>
      <c r="D165" t="s">
        <v>38</v>
      </c>
      <c r="E165">
        <v>1</v>
      </c>
      <c r="F165" s="4">
        <v>641.39</v>
      </c>
      <c r="G165" t="s">
        <v>33</v>
      </c>
      <c r="H165" t="s">
        <v>41</v>
      </c>
      <c r="I165">
        <v>1</v>
      </c>
      <c r="K165" t="s">
        <v>35</v>
      </c>
      <c r="L165" s="4">
        <v>641.39</v>
      </c>
      <c r="M165" t="str">
        <f>VLOOKUP(D165,tblProduct[],2,FALSE)</f>
        <v>Electronics</v>
      </c>
      <c r="N165" t="str">
        <f>VLOOKUP(D165,tblProduct[],3,FALSE)</f>
        <v>Medium</v>
      </c>
      <c r="O165">
        <f>VLOOKUP(D165,tblProduct[],4,FALSE)</f>
        <v>100000</v>
      </c>
      <c r="P165">
        <v>641.39</v>
      </c>
      <c r="Q165" s="19" t="str">
        <f t="shared" si="2"/>
        <v>Jun-2025</v>
      </c>
      <c r="R165" s="26">
        <f>DATE(YEAR(tblEnriched[[#This Row],[Date]]),MONTH(tblEnriched[[#This Row],[Date]]),1)</f>
        <v>45809</v>
      </c>
    </row>
    <row r="166" spans="1:18">
      <c r="A166" t="s">
        <v>685</v>
      </c>
      <c r="B166" s="10">
        <v>45288</v>
      </c>
      <c r="C166" t="s">
        <v>686</v>
      </c>
      <c r="D166" t="s">
        <v>79</v>
      </c>
      <c r="E166">
        <v>5</v>
      </c>
      <c r="F166" s="4">
        <v>536.58000000000004</v>
      </c>
      <c r="G166" t="s">
        <v>66</v>
      </c>
      <c r="H166" t="s">
        <v>95</v>
      </c>
      <c r="I166">
        <v>5</v>
      </c>
      <c r="J166" t="s">
        <v>27</v>
      </c>
      <c r="K166" t="s">
        <v>82</v>
      </c>
      <c r="L166" s="4">
        <v>2682.9</v>
      </c>
      <c r="M166" t="str">
        <f>VLOOKUP(D166,tblProduct[],2,FALSE)</f>
        <v>Furniture</v>
      </c>
      <c r="N166" t="str">
        <f>VLOOKUP(D166,tblProduct[],3,FALSE)</f>
        <v>High</v>
      </c>
      <c r="O166">
        <f>VLOOKUP(D166,tblProduct[],4,FALSE)</f>
        <v>75000</v>
      </c>
      <c r="P166">
        <v>2682.9</v>
      </c>
      <c r="Q166" s="19" t="str">
        <f t="shared" si="2"/>
        <v>Dec-2023</v>
      </c>
      <c r="R166" s="26">
        <f>DATE(YEAR(tblEnriched[[#This Row],[Date]]),MONTH(tblEnriched[[#This Row],[Date]]),1)</f>
        <v>45261</v>
      </c>
    </row>
    <row r="167" spans="1:18">
      <c r="A167" t="s">
        <v>689</v>
      </c>
      <c r="B167" s="10">
        <v>45549</v>
      </c>
      <c r="C167" t="s">
        <v>690</v>
      </c>
      <c r="D167" t="s">
        <v>22</v>
      </c>
      <c r="E167">
        <v>2</v>
      </c>
      <c r="F167" s="4">
        <v>500.29</v>
      </c>
      <c r="G167" t="s">
        <v>33</v>
      </c>
      <c r="H167" t="s">
        <v>49</v>
      </c>
      <c r="I167">
        <v>7</v>
      </c>
      <c r="J167" t="s">
        <v>87</v>
      </c>
      <c r="K167" t="s">
        <v>82</v>
      </c>
      <c r="L167" s="4">
        <v>1000.58</v>
      </c>
      <c r="M167" t="str">
        <f>VLOOKUP(D167,tblProduct[],2,FALSE)</f>
        <v>Electronics</v>
      </c>
      <c r="N167" t="str">
        <f>VLOOKUP(D167,tblProduct[],3,FALSE)</f>
        <v>Medium</v>
      </c>
      <c r="O167">
        <f>VLOOKUP(D167,tblProduct[],4,FALSE)</f>
        <v>90000</v>
      </c>
      <c r="P167">
        <v>1000.58</v>
      </c>
      <c r="Q167" s="19" t="str">
        <f t="shared" si="2"/>
        <v>Sep-2024</v>
      </c>
      <c r="R167" s="26">
        <f>DATE(YEAR(tblEnriched[[#This Row],[Date]]),MONTH(tblEnriched[[#This Row],[Date]]),1)</f>
        <v>45536</v>
      </c>
    </row>
    <row r="168" spans="1:18">
      <c r="A168" t="s">
        <v>693</v>
      </c>
      <c r="B168" s="10">
        <v>45720</v>
      </c>
      <c r="C168" t="s">
        <v>694</v>
      </c>
      <c r="D168" t="s">
        <v>47</v>
      </c>
      <c r="E168">
        <v>3</v>
      </c>
      <c r="F168" s="4">
        <v>86.29</v>
      </c>
      <c r="G168" t="s">
        <v>71</v>
      </c>
      <c r="H168" t="s">
        <v>56</v>
      </c>
      <c r="I168">
        <v>6</v>
      </c>
      <c r="J168" t="s">
        <v>87</v>
      </c>
      <c r="K168" t="s">
        <v>28</v>
      </c>
      <c r="L168" s="4">
        <v>258.87</v>
      </c>
      <c r="M168" t="str">
        <f>VLOOKUP(D168,tblProduct[],2,FALSE)</f>
        <v>Furniture</v>
      </c>
      <c r="N168" t="str">
        <f>VLOOKUP(D168,tblProduct[],3,FALSE)</f>
        <v>Medium</v>
      </c>
      <c r="O168">
        <f>VLOOKUP(D168,tblProduct[],4,FALSE)</f>
        <v>70000</v>
      </c>
      <c r="P168">
        <v>258.87</v>
      </c>
      <c r="Q168" s="19" t="str">
        <f t="shared" si="2"/>
        <v>Mar-2025</v>
      </c>
      <c r="R168" s="26">
        <f>DATE(YEAR(tblEnriched[[#This Row],[Date]]),MONTH(tblEnriched[[#This Row],[Date]]),1)</f>
        <v>45717</v>
      </c>
    </row>
    <row r="169" spans="1:18">
      <c r="A169" t="s">
        <v>696</v>
      </c>
      <c r="B169" s="10">
        <v>45073</v>
      </c>
      <c r="C169" t="s">
        <v>697</v>
      </c>
      <c r="D169" t="s">
        <v>47</v>
      </c>
      <c r="E169">
        <v>2</v>
      </c>
      <c r="F169" s="4">
        <v>384.14</v>
      </c>
      <c r="G169" t="s">
        <v>33</v>
      </c>
      <c r="H169" t="s">
        <v>49</v>
      </c>
      <c r="I169">
        <v>2</v>
      </c>
      <c r="J169" t="s">
        <v>87</v>
      </c>
      <c r="K169" t="s">
        <v>44</v>
      </c>
      <c r="L169" s="4">
        <v>768.28</v>
      </c>
      <c r="M169" t="str">
        <f>VLOOKUP(D169,tblProduct[],2,FALSE)</f>
        <v>Furniture</v>
      </c>
      <c r="N169" t="str">
        <f>VLOOKUP(D169,tblProduct[],3,FALSE)</f>
        <v>Medium</v>
      </c>
      <c r="O169">
        <f>VLOOKUP(D169,tblProduct[],4,FALSE)</f>
        <v>70000</v>
      </c>
      <c r="P169">
        <v>768.28</v>
      </c>
      <c r="Q169" s="19" t="str">
        <f t="shared" si="2"/>
        <v>May-2023</v>
      </c>
      <c r="R169" s="26">
        <f>DATE(YEAR(tblEnriched[[#This Row],[Date]]),MONTH(tblEnriched[[#This Row],[Date]]),1)</f>
        <v>45047</v>
      </c>
    </row>
    <row r="170" spans="1:18">
      <c r="A170" t="s">
        <v>700</v>
      </c>
      <c r="B170" s="10">
        <v>45661</v>
      </c>
      <c r="C170" t="s">
        <v>701</v>
      </c>
      <c r="D170" t="s">
        <v>54</v>
      </c>
      <c r="E170">
        <v>1</v>
      </c>
      <c r="F170" s="4">
        <v>594.96</v>
      </c>
      <c r="G170" t="s">
        <v>71</v>
      </c>
      <c r="H170" t="s">
        <v>49</v>
      </c>
      <c r="I170">
        <v>6</v>
      </c>
      <c r="K170" t="s">
        <v>51</v>
      </c>
      <c r="L170" s="4">
        <v>594.96</v>
      </c>
      <c r="M170" t="str">
        <f>VLOOKUP(D170,tblProduct[],2,FALSE)</f>
        <v>Electronics</v>
      </c>
      <c r="N170" t="str">
        <f>VLOOKUP(D170,tblProduct[],3,FALSE)</f>
        <v>Medium</v>
      </c>
      <c r="O170">
        <f>VLOOKUP(D170,tblProduct[],4,FALSE)</f>
        <v>80000</v>
      </c>
      <c r="P170">
        <v>594.96</v>
      </c>
      <c r="Q170" s="19" t="str">
        <f t="shared" si="2"/>
        <v>Jan-2025</v>
      </c>
      <c r="R170" s="26">
        <f>DATE(YEAR(tblEnriched[[#This Row],[Date]]),MONTH(tblEnriched[[#This Row],[Date]]),1)</f>
        <v>45658</v>
      </c>
    </row>
    <row r="171" spans="1:18">
      <c r="A171" t="s">
        <v>704</v>
      </c>
      <c r="B171" s="10">
        <v>45389</v>
      </c>
      <c r="C171" t="s">
        <v>705</v>
      </c>
      <c r="D171" t="s">
        <v>54</v>
      </c>
      <c r="E171">
        <v>1</v>
      </c>
      <c r="F171" s="4">
        <v>427.82</v>
      </c>
      <c r="G171" t="s">
        <v>33</v>
      </c>
      <c r="H171" t="s">
        <v>56</v>
      </c>
      <c r="I171">
        <v>2</v>
      </c>
      <c r="J171" t="s">
        <v>87</v>
      </c>
      <c r="K171" t="s">
        <v>44</v>
      </c>
      <c r="L171" s="4">
        <v>427.82</v>
      </c>
      <c r="M171" t="str">
        <f>VLOOKUP(D171,tblProduct[],2,FALSE)</f>
        <v>Electronics</v>
      </c>
      <c r="N171" t="str">
        <f>VLOOKUP(D171,tblProduct[],3,FALSE)</f>
        <v>Medium</v>
      </c>
      <c r="O171">
        <f>VLOOKUP(D171,tblProduct[],4,FALSE)</f>
        <v>80000</v>
      </c>
      <c r="P171">
        <v>427.82</v>
      </c>
      <c r="Q171" s="19" t="str">
        <f t="shared" si="2"/>
        <v>Apr-2024</v>
      </c>
      <c r="R171" s="26">
        <f>DATE(YEAR(tblEnriched[[#This Row],[Date]]),MONTH(tblEnriched[[#This Row],[Date]]),1)</f>
        <v>45383</v>
      </c>
    </row>
    <row r="172" spans="1:18">
      <c r="A172" t="s">
        <v>708</v>
      </c>
      <c r="B172" s="10">
        <v>45751</v>
      </c>
      <c r="C172" t="s">
        <v>709</v>
      </c>
      <c r="D172" t="s">
        <v>79</v>
      </c>
      <c r="E172">
        <v>4</v>
      </c>
      <c r="F172" s="4">
        <v>662.94</v>
      </c>
      <c r="G172" t="s">
        <v>71</v>
      </c>
      <c r="H172" t="s">
        <v>41</v>
      </c>
      <c r="I172">
        <v>8</v>
      </c>
      <c r="J172" t="s">
        <v>27</v>
      </c>
      <c r="K172" t="s">
        <v>28</v>
      </c>
      <c r="L172" s="4">
        <v>2651.76</v>
      </c>
      <c r="M172" t="str">
        <f>VLOOKUP(D172,tblProduct[],2,FALSE)</f>
        <v>Furniture</v>
      </c>
      <c r="N172" t="str">
        <f>VLOOKUP(D172,tblProduct[],3,FALSE)</f>
        <v>High</v>
      </c>
      <c r="O172">
        <f>VLOOKUP(D172,tblProduct[],4,FALSE)</f>
        <v>75000</v>
      </c>
      <c r="P172">
        <v>2651.76</v>
      </c>
      <c r="Q172" s="19" t="str">
        <f t="shared" si="2"/>
        <v>Apr-2025</v>
      </c>
      <c r="R172" s="26">
        <f>DATE(YEAR(tblEnriched[[#This Row],[Date]]),MONTH(tblEnriched[[#This Row],[Date]]),1)</f>
        <v>45748</v>
      </c>
    </row>
    <row r="173" spans="1:18">
      <c r="A173" t="s">
        <v>712</v>
      </c>
      <c r="B173" s="10">
        <v>45153</v>
      </c>
      <c r="C173" t="s">
        <v>713</v>
      </c>
      <c r="D173" t="s">
        <v>38</v>
      </c>
      <c r="E173">
        <v>2</v>
      </c>
      <c r="F173" s="4">
        <v>148.22</v>
      </c>
      <c r="G173" t="s">
        <v>40</v>
      </c>
      <c r="H173" t="s">
        <v>56</v>
      </c>
      <c r="I173">
        <v>7</v>
      </c>
      <c r="J173" t="s">
        <v>87</v>
      </c>
      <c r="K173" t="s">
        <v>28</v>
      </c>
      <c r="L173" s="4">
        <v>296.44</v>
      </c>
      <c r="M173" t="str">
        <f>VLOOKUP(D173,tblProduct[],2,FALSE)</f>
        <v>Electronics</v>
      </c>
      <c r="N173" t="str">
        <f>VLOOKUP(D173,tblProduct[],3,FALSE)</f>
        <v>Medium</v>
      </c>
      <c r="O173">
        <f>VLOOKUP(D173,tblProduct[],4,FALSE)</f>
        <v>100000</v>
      </c>
      <c r="P173">
        <v>296.44</v>
      </c>
      <c r="Q173" s="19" t="str">
        <f t="shared" si="2"/>
        <v>Aug-2023</v>
      </c>
      <c r="R173" s="26">
        <f>DATE(YEAR(tblEnriched[[#This Row],[Date]]),MONTH(tblEnriched[[#This Row],[Date]]),1)</f>
        <v>45139</v>
      </c>
    </row>
    <row r="174" spans="1:18">
      <c r="A174" t="s">
        <v>716</v>
      </c>
      <c r="B174" s="10">
        <v>45753</v>
      </c>
      <c r="C174" t="s">
        <v>717</v>
      </c>
      <c r="D174" t="s">
        <v>54</v>
      </c>
      <c r="E174">
        <v>1</v>
      </c>
      <c r="F174" s="4">
        <v>254.12</v>
      </c>
      <c r="G174" t="s">
        <v>33</v>
      </c>
      <c r="H174" t="s">
        <v>56</v>
      </c>
      <c r="I174">
        <v>1</v>
      </c>
      <c r="J174" t="s">
        <v>87</v>
      </c>
      <c r="K174" t="s">
        <v>44</v>
      </c>
      <c r="L174" s="4">
        <v>254.12</v>
      </c>
      <c r="M174" t="str">
        <f>VLOOKUP(D174,tblProduct[],2,FALSE)</f>
        <v>Electronics</v>
      </c>
      <c r="N174" t="str">
        <f>VLOOKUP(D174,tblProduct[],3,FALSE)</f>
        <v>Medium</v>
      </c>
      <c r="O174">
        <f>VLOOKUP(D174,tblProduct[],4,FALSE)</f>
        <v>80000</v>
      </c>
      <c r="P174">
        <v>254.12</v>
      </c>
      <c r="Q174" s="19" t="str">
        <f t="shared" si="2"/>
        <v>Apr-2025</v>
      </c>
      <c r="R174" s="26">
        <f>DATE(YEAR(tblEnriched[[#This Row],[Date]]),MONTH(tblEnriched[[#This Row],[Date]]),1)</f>
        <v>45748</v>
      </c>
    </row>
    <row r="175" spans="1:18">
      <c r="A175" t="s">
        <v>719</v>
      </c>
      <c r="B175" s="10">
        <v>45375</v>
      </c>
      <c r="C175" t="s">
        <v>720</v>
      </c>
      <c r="D175" t="s">
        <v>31</v>
      </c>
      <c r="E175">
        <v>3</v>
      </c>
      <c r="F175" s="4">
        <v>664.46</v>
      </c>
      <c r="G175" t="s">
        <v>33</v>
      </c>
      <c r="H175" t="s">
        <v>56</v>
      </c>
      <c r="I175">
        <v>4</v>
      </c>
      <c r="J175" t="s">
        <v>43</v>
      </c>
      <c r="K175" t="s">
        <v>82</v>
      </c>
      <c r="L175" s="4">
        <v>1993.38</v>
      </c>
      <c r="M175" t="str">
        <f>VLOOKUP(D175,tblProduct[],2,FALSE)</f>
        <v>Electronics</v>
      </c>
      <c r="N175" t="str">
        <f>VLOOKUP(D175,tblProduct[],3,FALSE)</f>
        <v>High</v>
      </c>
      <c r="O175">
        <f>VLOOKUP(D175,tblProduct[],4,FALSE)</f>
        <v>120000</v>
      </c>
      <c r="P175">
        <v>1993.38</v>
      </c>
      <c r="Q175" s="19" t="str">
        <f t="shared" si="2"/>
        <v>Mar-2024</v>
      </c>
      <c r="R175" s="26">
        <f>DATE(YEAR(tblEnriched[[#This Row],[Date]]),MONTH(tblEnriched[[#This Row],[Date]]),1)</f>
        <v>45352</v>
      </c>
    </row>
    <row r="176" spans="1:18">
      <c r="A176" t="s">
        <v>723</v>
      </c>
      <c r="B176" s="10">
        <v>45398</v>
      </c>
      <c r="C176" t="s">
        <v>724</v>
      </c>
      <c r="D176" t="s">
        <v>54</v>
      </c>
      <c r="E176">
        <v>4</v>
      </c>
      <c r="F176" s="4">
        <v>600.80999999999995</v>
      </c>
      <c r="G176" t="s">
        <v>24</v>
      </c>
      <c r="H176" t="s">
        <v>56</v>
      </c>
      <c r="I176">
        <v>9</v>
      </c>
      <c r="J176" t="s">
        <v>27</v>
      </c>
      <c r="K176" t="s">
        <v>44</v>
      </c>
      <c r="L176" s="4">
        <v>2403.2399999999998</v>
      </c>
      <c r="M176" t="str">
        <f>VLOOKUP(D176,tblProduct[],2,FALSE)</f>
        <v>Electronics</v>
      </c>
      <c r="N176" t="str">
        <f>VLOOKUP(D176,tblProduct[],3,FALSE)</f>
        <v>Medium</v>
      </c>
      <c r="O176">
        <f>VLOOKUP(D176,tblProduct[],4,FALSE)</f>
        <v>80000</v>
      </c>
      <c r="P176">
        <v>2403.2399999999998</v>
      </c>
      <c r="Q176" s="19" t="str">
        <f t="shared" si="2"/>
        <v>Apr-2024</v>
      </c>
      <c r="R176" s="26">
        <f>DATE(YEAR(tblEnriched[[#This Row],[Date]]),MONTH(tblEnriched[[#This Row],[Date]]),1)</f>
        <v>45383</v>
      </c>
    </row>
    <row r="177" spans="1:18">
      <c r="A177" t="s">
        <v>727</v>
      </c>
      <c r="B177" s="10">
        <v>45696</v>
      </c>
      <c r="C177" t="s">
        <v>728</v>
      </c>
      <c r="D177" t="s">
        <v>47</v>
      </c>
      <c r="E177">
        <v>5</v>
      </c>
      <c r="F177" s="4">
        <v>68.34</v>
      </c>
      <c r="G177" t="s">
        <v>24</v>
      </c>
      <c r="H177" t="s">
        <v>95</v>
      </c>
      <c r="I177">
        <v>6</v>
      </c>
      <c r="J177" t="s">
        <v>87</v>
      </c>
      <c r="K177" t="s">
        <v>35</v>
      </c>
      <c r="L177" s="4">
        <v>341.7</v>
      </c>
      <c r="M177" t="str">
        <f>VLOOKUP(D177,tblProduct[],2,FALSE)</f>
        <v>Furniture</v>
      </c>
      <c r="N177" t="str">
        <f>VLOOKUP(D177,tblProduct[],3,FALSE)</f>
        <v>Medium</v>
      </c>
      <c r="O177">
        <f>VLOOKUP(D177,tblProduct[],4,FALSE)</f>
        <v>70000</v>
      </c>
      <c r="P177">
        <v>341.7</v>
      </c>
      <c r="Q177" s="19" t="str">
        <f t="shared" si="2"/>
        <v>Feb-2025</v>
      </c>
      <c r="R177" s="26">
        <f>DATE(YEAR(tblEnriched[[#This Row],[Date]]),MONTH(tblEnriched[[#This Row],[Date]]),1)</f>
        <v>45689</v>
      </c>
    </row>
    <row r="178" spans="1:18">
      <c r="A178" t="s">
        <v>731</v>
      </c>
      <c r="B178" s="10">
        <v>45836</v>
      </c>
      <c r="C178" t="s">
        <v>732</v>
      </c>
      <c r="D178" t="s">
        <v>38</v>
      </c>
      <c r="E178">
        <v>4</v>
      </c>
      <c r="F178" s="4">
        <v>430.83</v>
      </c>
      <c r="G178" t="s">
        <v>66</v>
      </c>
      <c r="H178" t="s">
        <v>95</v>
      </c>
      <c r="I178">
        <v>8</v>
      </c>
      <c r="J178" t="s">
        <v>87</v>
      </c>
      <c r="K178" t="s">
        <v>35</v>
      </c>
      <c r="L178" s="4">
        <v>1723.32</v>
      </c>
      <c r="M178" t="str">
        <f>VLOOKUP(D178,tblProduct[],2,FALSE)</f>
        <v>Electronics</v>
      </c>
      <c r="N178" t="str">
        <f>VLOOKUP(D178,tblProduct[],3,FALSE)</f>
        <v>Medium</v>
      </c>
      <c r="O178">
        <f>VLOOKUP(D178,tblProduct[],4,FALSE)</f>
        <v>100000</v>
      </c>
      <c r="P178">
        <v>1723.32</v>
      </c>
      <c r="Q178" s="19" t="str">
        <f t="shared" si="2"/>
        <v>Jun-2025</v>
      </c>
      <c r="R178" s="26">
        <f>DATE(YEAR(tblEnriched[[#This Row],[Date]]),MONTH(tblEnriched[[#This Row],[Date]]),1)</f>
        <v>45809</v>
      </c>
    </row>
    <row r="179" spans="1:18">
      <c r="A179" t="s">
        <v>735</v>
      </c>
      <c r="B179" s="10">
        <v>45143</v>
      </c>
      <c r="C179" t="s">
        <v>736</v>
      </c>
      <c r="D179" t="s">
        <v>47</v>
      </c>
      <c r="E179">
        <v>5</v>
      </c>
      <c r="F179" s="4">
        <v>431.69</v>
      </c>
      <c r="G179" t="s">
        <v>40</v>
      </c>
      <c r="H179" t="s">
        <v>95</v>
      </c>
      <c r="I179">
        <v>10</v>
      </c>
      <c r="K179" t="s">
        <v>51</v>
      </c>
      <c r="L179" s="4">
        <v>2158.4499999999998</v>
      </c>
      <c r="M179" t="str">
        <f>VLOOKUP(D179,tblProduct[],2,FALSE)</f>
        <v>Furniture</v>
      </c>
      <c r="N179" t="str">
        <f>VLOOKUP(D179,tblProduct[],3,FALSE)</f>
        <v>Medium</v>
      </c>
      <c r="O179">
        <f>VLOOKUP(D179,tblProduct[],4,FALSE)</f>
        <v>70000</v>
      </c>
      <c r="P179">
        <v>2158.4499999999998</v>
      </c>
      <c r="Q179" s="19" t="str">
        <f t="shared" si="2"/>
        <v>Aug-2023</v>
      </c>
      <c r="R179" s="26">
        <f>DATE(YEAR(tblEnriched[[#This Row],[Date]]),MONTH(tblEnriched[[#This Row],[Date]]),1)</f>
        <v>45139</v>
      </c>
    </row>
    <row r="180" spans="1:18">
      <c r="A180" t="s">
        <v>739</v>
      </c>
      <c r="B180" s="10">
        <v>45393</v>
      </c>
      <c r="C180" t="s">
        <v>740</v>
      </c>
      <c r="D180" t="s">
        <v>47</v>
      </c>
      <c r="E180">
        <v>4</v>
      </c>
      <c r="F180" s="4">
        <v>512.05999999999995</v>
      </c>
      <c r="G180" t="s">
        <v>33</v>
      </c>
      <c r="H180" t="s">
        <v>56</v>
      </c>
      <c r="I180">
        <v>5</v>
      </c>
      <c r="J180" t="s">
        <v>27</v>
      </c>
      <c r="K180" t="s">
        <v>82</v>
      </c>
      <c r="L180" s="4">
        <v>2048.2399999999998</v>
      </c>
      <c r="M180" t="str">
        <f>VLOOKUP(D180,tblProduct[],2,FALSE)</f>
        <v>Furniture</v>
      </c>
      <c r="N180" t="str">
        <f>VLOOKUP(D180,tblProduct[],3,FALSE)</f>
        <v>Medium</v>
      </c>
      <c r="O180">
        <f>VLOOKUP(D180,tblProduct[],4,FALSE)</f>
        <v>70000</v>
      </c>
      <c r="P180">
        <v>2048.2399999999998</v>
      </c>
      <c r="Q180" s="19" t="str">
        <f t="shared" si="2"/>
        <v>Apr-2024</v>
      </c>
      <c r="R180" s="26">
        <f>DATE(YEAR(tblEnriched[[#This Row],[Date]]),MONTH(tblEnriched[[#This Row],[Date]]),1)</f>
        <v>45383</v>
      </c>
    </row>
    <row r="181" spans="1:18">
      <c r="A181" t="s">
        <v>743</v>
      </c>
      <c r="B181" s="10">
        <v>45620</v>
      </c>
      <c r="C181" t="s">
        <v>744</v>
      </c>
      <c r="D181" t="s">
        <v>64</v>
      </c>
      <c r="E181">
        <v>3</v>
      </c>
      <c r="F181" s="4">
        <v>539.91</v>
      </c>
      <c r="G181" t="s">
        <v>40</v>
      </c>
      <c r="H181" t="s">
        <v>56</v>
      </c>
      <c r="I181">
        <v>8</v>
      </c>
      <c r="K181" t="s">
        <v>44</v>
      </c>
      <c r="L181" s="4">
        <v>1619.73</v>
      </c>
      <c r="M181" t="str">
        <f>VLOOKUP(D181,tblProduct[],2,FALSE)</f>
        <v>Electronics</v>
      </c>
      <c r="N181" t="str">
        <f>VLOOKUP(D181,tblProduct[],3,FALSE)</f>
        <v>High</v>
      </c>
      <c r="O181">
        <f>VLOOKUP(D181,tblProduct[],4,FALSE)</f>
        <v>150000</v>
      </c>
      <c r="P181">
        <v>1619.73</v>
      </c>
      <c r="Q181" s="19" t="str">
        <f t="shared" si="2"/>
        <v>Nov-2024</v>
      </c>
      <c r="R181" s="26">
        <f>DATE(YEAR(tblEnriched[[#This Row],[Date]]),MONTH(tblEnriched[[#This Row],[Date]]),1)</f>
        <v>45597</v>
      </c>
    </row>
    <row r="182" spans="1:18">
      <c r="A182" t="s">
        <v>747</v>
      </c>
      <c r="B182" s="10">
        <v>45003</v>
      </c>
      <c r="C182" t="s">
        <v>748</v>
      </c>
      <c r="D182" t="s">
        <v>38</v>
      </c>
      <c r="E182">
        <v>5</v>
      </c>
      <c r="F182" s="4">
        <v>316.07</v>
      </c>
      <c r="G182" t="s">
        <v>71</v>
      </c>
      <c r="H182" t="s">
        <v>49</v>
      </c>
      <c r="I182">
        <v>10</v>
      </c>
      <c r="K182" t="s">
        <v>82</v>
      </c>
      <c r="L182" s="4">
        <v>1580.35</v>
      </c>
      <c r="M182" t="str">
        <f>VLOOKUP(D182,tblProduct[],2,FALSE)</f>
        <v>Electronics</v>
      </c>
      <c r="N182" t="str">
        <f>VLOOKUP(D182,tblProduct[],3,FALSE)</f>
        <v>Medium</v>
      </c>
      <c r="O182">
        <f>VLOOKUP(D182,tblProduct[],4,FALSE)</f>
        <v>100000</v>
      </c>
      <c r="P182">
        <v>1580.35</v>
      </c>
      <c r="Q182" s="19" t="str">
        <f t="shared" si="2"/>
        <v>Mar-2023</v>
      </c>
      <c r="R182" s="26">
        <f>DATE(YEAR(tblEnriched[[#This Row],[Date]]),MONTH(tblEnriched[[#This Row],[Date]]),1)</f>
        <v>44986</v>
      </c>
    </row>
    <row r="183" spans="1:18">
      <c r="A183" t="s">
        <v>751</v>
      </c>
      <c r="B183" s="10">
        <v>45535</v>
      </c>
      <c r="C183" t="s">
        <v>752</v>
      </c>
      <c r="D183" t="s">
        <v>54</v>
      </c>
      <c r="E183">
        <v>5</v>
      </c>
      <c r="F183" s="4">
        <v>404.39</v>
      </c>
      <c r="G183" t="s">
        <v>33</v>
      </c>
      <c r="H183" t="s">
        <v>25</v>
      </c>
      <c r="I183">
        <v>10</v>
      </c>
      <c r="K183" t="s">
        <v>35</v>
      </c>
      <c r="L183" s="4">
        <v>2021.95</v>
      </c>
      <c r="M183" t="str">
        <f>VLOOKUP(D183,tblProduct[],2,FALSE)</f>
        <v>Electronics</v>
      </c>
      <c r="N183" t="str">
        <f>VLOOKUP(D183,tblProduct[],3,FALSE)</f>
        <v>Medium</v>
      </c>
      <c r="O183">
        <f>VLOOKUP(D183,tblProduct[],4,FALSE)</f>
        <v>80000</v>
      </c>
      <c r="P183">
        <v>2021.95</v>
      </c>
      <c r="Q183" s="19" t="str">
        <f t="shared" si="2"/>
        <v>Aug-2024</v>
      </c>
      <c r="R183" s="26">
        <f>DATE(YEAR(tblEnriched[[#This Row],[Date]]),MONTH(tblEnriched[[#This Row],[Date]]),1)</f>
        <v>45505</v>
      </c>
    </row>
    <row r="184" spans="1:18">
      <c r="A184" t="s">
        <v>755</v>
      </c>
      <c r="B184" s="10">
        <v>45735</v>
      </c>
      <c r="C184" t="s">
        <v>756</v>
      </c>
      <c r="D184" t="s">
        <v>79</v>
      </c>
      <c r="E184">
        <v>1</v>
      </c>
      <c r="F184" s="4">
        <v>600.54</v>
      </c>
      <c r="G184" t="s">
        <v>24</v>
      </c>
      <c r="H184" t="s">
        <v>95</v>
      </c>
      <c r="I184">
        <v>4</v>
      </c>
      <c r="J184" t="s">
        <v>87</v>
      </c>
      <c r="K184" t="s">
        <v>82</v>
      </c>
      <c r="L184" s="4">
        <v>600.54</v>
      </c>
      <c r="M184" t="str">
        <f>VLOOKUP(D184,tblProduct[],2,FALSE)</f>
        <v>Furniture</v>
      </c>
      <c r="N184" t="str">
        <f>VLOOKUP(D184,tblProduct[],3,FALSE)</f>
        <v>High</v>
      </c>
      <c r="O184">
        <f>VLOOKUP(D184,tblProduct[],4,FALSE)</f>
        <v>75000</v>
      </c>
      <c r="P184">
        <v>600.54</v>
      </c>
      <c r="Q184" s="19" t="str">
        <f t="shared" si="2"/>
        <v>Mar-2025</v>
      </c>
      <c r="R184" s="26">
        <f>DATE(YEAR(tblEnriched[[#This Row],[Date]]),MONTH(tblEnriched[[#This Row],[Date]]),1)</f>
        <v>45717</v>
      </c>
    </row>
    <row r="185" spans="1:18">
      <c r="A185" t="s">
        <v>759</v>
      </c>
      <c r="B185" s="10">
        <v>45400</v>
      </c>
      <c r="C185" t="s">
        <v>760</v>
      </c>
      <c r="D185" t="s">
        <v>22</v>
      </c>
      <c r="E185">
        <v>5</v>
      </c>
      <c r="F185" s="4">
        <v>186.28</v>
      </c>
      <c r="G185" t="s">
        <v>24</v>
      </c>
      <c r="H185" t="s">
        <v>56</v>
      </c>
      <c r="I185">
        <v>8</v>
      </c>
      <c r="J185" t="s">
        <v>27</v>
      </c>
      <c r="K185" t="s">
        <v>44</v>
      </c>
      <c r="L185" s="4">
        <v>931.4</v>
      </c>
      <c r="M185" t="str">
        <f>VLOOKUP(D185,tblProduct[],2,FALSE)</f>
        <v>Electronics</v>
      </c>
      <c r="N185" t="str">
        <f>VLOOKUP(D185,tblProduct[],3,FALSE)</f>
        <v>Medium</v>
      </c>
      <c r="O185">
        <f>VLOOKUP(D185,tblProduct[],4,FALSE)</f>
        <v>90000</v>
      </c>
      <c r="P185">
        <v>931.4</v>
      </c>
      <c r="Q185" s="19" t="str">
        <f t="shared" si="2"/>
        <v>Apr-2024</v>
      </c>
      <c r="R185" s="26">
        <f>DATE(YEAR(tblEnriched[[#This Row],[Date]]),MONTH(tblEnriched[[#This Row],[Date]]),1)</f>
        <v>45383</v>
      </c>
    </row>
    <row r="186" spans="1:18">
      <c r="A186" t="s">
        <v>763</v>
      </c>
      <c r="B186" s="10">
        <v>45386</v>
      </c>
      <c r="C186" t="s">
        <v>764</v>
      </c>
      <c r="D186" t="s">
        <v>38</v>
      </c>
      <c r="E186">
        <v>4</v>
      </c>
      <c r="F186" s="4">
        <v>214.54</v>
      </c>
      <c r="G186" t="s">
        <v>66</v>
      </c>
      <c r="H186" t="s">
        <v>41</v>
      </c>
      <c r="I186">
        <v>7</v>
      </c>
      <c r="K186" t="s">
        <v>35</v>
      </c>
      <c r="L186" s="4">
        <v>858.16</v>
      </c>
      <c r="M186" t="str">
        <f>VLOOKUP(D186,tblProduct[],2,FALSE)</f>
        <v>Electronics</v>
      </c>
      <c r="N186" t="str">
        <f>VLOOKUP(D186,tblProduct[],3,FALSE)</f>
        <v>Medium</v>
      </c>
      <c r="O186">
        <f>VLOOKUP(D186,tblProduct[],4,FALSE)</f>
        <v>100000</v>
      </c>
      <c r="P186">
        <v>858.16</v>
      </c>
      <c r="Q186" s="19" t="str">
        <f t="shared" si="2"/>
        <v>Apr-2024</v>
      </c>
      <c r="R186" s="26">
        <f>DATE(YEAR(tblEnriched[[#This Row],[Date]]),MONTH(tblEnriched[[#This Row],[Date]]),1)</f>
        <v>45383</v>
      </c>
    </row>
    <row r="187" spans="1:18">
      <c r="A187" t="s">
        <v>767</v>
      </c>
      <c r="B187" s="10">
        <v>45690</v>
      </c>
      <c r="C187" t="s">
        <v>768</v>
      </c>
      <c r="D187" t="s">
        <v>64</v>
      </c>
      <c r="E187">
        <v>1</v>
      </c>
      <c r="F187" s="4">
        <v>210.7</v>
      </c>
      <c r="G187" t="s">
        <v>33</v>
      </c>
      <c r="H187" t="s">
        <v>25</v>
      </c>
      <c r="I187">
        <v>2</v>
      </c>
      <c r="J187" t="s">
        <v>87</v>
      </c>
      <c r="K187" t="s">
        <v>35</v>
      </c>
      <c r="L187" s="4">
        <v>210.7</v>
      </c>
      <c r="M187" t="str">
        <f>VLOOKUP(D187,tblProduct[],2,FALSE)</f>
        <v>Electronics</v>
      </c>
      <c r="N187" t="str">
        <f>VLOOKUP(D187,tblProduct[],3,FALSE)</f>
        <v>High</v>
      </c>
      <c r="O187">
        <f>VLOOKUP(D187,tblProduct[],4,FALSE)</f>
        <v>150000</v>
      </c>
      <c r="P187">
        <v>210.7</v>
      </c>
      <c r="Q187" s="19" t="str">
        <f t="shared" si="2"/>
        <v>Feb-2025</v>
      </c>
      <c r="R187" s="26">
        <f>DATE(YEAR(tblEnriched[[#This Row],[Date]]),MONTH(tblEnriched[[#This Row],[Date]]),1)</f>
        <v>45689</v>
      </c>
    </row>
    <row r="188" spans="1:18">
      <c r="A188" t="s">
        <v>771</v>
      </c>
      <c r="B188" s="10">
        <v>45267</v>
      </c>
      <c r="C188" t="s">
        <v>772</v>
      </c>
      <c r="D188" t="s">
        <v>31</v>
      </c>
      <c r="E188">
        <v>2</v>
      </c>
      <c r="F188" s="4">
        <v>133.55000000000001</v>
      </c>
      <c r="G188" t="s">
        <v>71</v>
      </c>
      <c r="H188" t="s">
        <v>95</v>
      </c>
      <c r="I188">
        <v>7</v>
      </c>
      <c r="J188" t="s">
        <v>43</v>
      </c>
      <c r="K188" t="s">
        <v>51</v>
      </c>
      <c r="L188" s="4">
        <v>267.10000000000002</v>
      </c>
      <c r="M188" t="str">
        <f>VLOOKUP(D188,tblProduct[],2,FALSE)</f>
        <v>Electronics</v>
      </c>
      <c r="N188" t="str">
        <f>VLOOKUP(D188,tblProduct[],3,FALSE)</f>
        <v>High</v>
      </c>
      <c r="O188">
        <f>VLOOKUP(D188,tblProduct[],4,FALSE)</f>
        <v>120000</v>
      </c>
      <c r="P188">
        <v>267.10000000000002</v>
      </c>
      <c r="Q188" s="19" t="str">
        <f t="shared" si="2"/>
        <v>Dec-2023</v>
      </c>
      <c r="R188" s="26">
        <f>DATE(YEAR(tblEnriched[[#This Row],[Date]]),MONTH(tblEnriched[[#This Row],[Date]]),1)</f>
        <v>45261</v>
      </c>
    </row>
    <row r="189" spans="1:18">
      <c r="A189" t="s">
        <v>775</v>
      </c>
      <c r="B189" s="10">
        <v>44965</v>
      </c>
      <c r="C189" t="s">
        <v>776</v>
      </c>
      <c r="D189" t="s">
        <v>47</v>
      </c>
      <c r="E189">
        <v>1</v>
      </c>
      <c r="F189" s="4">
        <v>590.87</v>
      </c>
      <c r="G189" t="s">
        <v>66</v>
      </c>
      <c r="H189" t="s">
        <v>49</v>
      </c>
      <c r="I189">
        <v>6</v>
      </c>
      <c r="J189" t="s">
        <v>43</v>
      </c>
      <c r="K189" t="s">
        <v>35</v>
      </c>
      <c r="L189" s="4">
        <v>590.87</v>
      </c>
      <c r="M189" t="str">
        <f>VLOOKUP(D189,tblProduct[],2,FALSE)</f>
        <v>Furniture</v>
      </c>
      <c r="N189" t="str">
        <f>VLOOKUP(D189,tblProduct[],3,FALSE)</f>
        <v>Medium</v>
      </c>
      <c r="O189">
        <f>VLOOKUP(D189,tblProduct[],4,FALSE)</f>
        <v>70000</v>
      </c>
      <c r="P189">
        <v>590.87</v>
      </c>
      <c r="Q189" s="19" t="str">
        <f t="shared" si="2"/>
        <v>Feb-2023</v>
      </c>
      <c r="R189" s="26">
        <f>DATE(YEAR(tblEnriched[[#This Row],[Date]]),MONTH(tblEnriched[[#This Row],[Date]]),1)</f>
        <v>44958</v>
      </c>
    </row>
    <row r="190" spans="1:18">
      <c r="A190" t="s">
        <v>779</v>
      </c>
      <c r="B190" s="10">
        <v>45731</v>
      </c>
      <c r="C190" t="s">
        <v>780</v>
      </c>
      <c r="D190" t="s">
        <v>47</v>
      </c>
      <c r="E190">
        <v>2</v>
      </c>
      <c r="F190" s="4">
        <v>363.91</v>
      </c>
      <c r="G190" t="s">
        <v>66</v>
      </c>
      <c r="H190" t="s">
        <v>25</v>
      </c>
      <c r="I190">
        <v>2</v>
      </c>
      <c r="J190" t="s">
        <v>43</v>
      </c>
      <c r="K190" t="s">
        <v>35</v>
      </c>
      <c r="L190" s="4">
        <v>727.82</v>
      </c>
      <c r="M190" t="str">
        <f>VLOOKUP(D190,tblProduct[],2,FALSE)</f>
        <v>Furniture</v>
      </c>
      <c r="N190" t="str">
        <f>VLOOKUP(D190,tblProduct[],3,FALSE)</f>
        <v>Medium</v>
      </c>
      <c r="O190">
        <f>VLOOKUP(D190,tblProduct[],4,FALSE)</f>
        <v>70000</v>
      </c>
      <c r="P190">
        <v>727.82</v>
      </c>
      <c r="Q190" s="19" t="str">
        <f t="shared" si="2"/>
        <v>Mar-2025</v>
      </c>
      <c r="R190" s="26">
        <f>DATE(YEAR(tblEnriched[[#This Row],[Date]]),MONTH(tblEnriched[[#This Row],[Date]]),1)</f>
        <v>45717</v>
      </c>
    </row>
    <row r="191" spans="1:18">
      <c r="A191" t="s">
        <v>783</v>
      </c>
      <c r="B191" s="10">
        <v>45112</v>
      </c>
      <c r="C191" t="s">
        <v>784</v>
      </c>
      <c r="D191" t="s">
        <v>54</v>
      </c>
      <c r="E191">
        <v>5</v>
      </c>
      <c r="F191" s="4">
        <v>429.45</v>
      </c>
      <c r="G191" t="s">
        <v>66</v>
      </c>
      <c r="H191" t="s">
        <v>41</v>
      </c>
      <c r="I191">
        <v>5</v>
      </c>
      <c r="J191" t="s">
        <v>87</v>
      </c>
      <c r="K191" t="s">
        <v>44</v>
      </c>
      <c r="L191" s="4">
        <v>2147.25</v>
      </c>
      <c r="M191" t="str">
        <f>VLOOKUP(D191,tblProduct[],2,FALSE)</f>
        <v>Electronics</v>
      </c>
      <c r="N191" t="str">
        <f>VLOOKUP(D191,tblProduct[],3,FALSE)</f>
        <v>Medium</v>
      </c>
      <c r="O191">
        <f>VLOOKUP(D191,tblProduct[],4,FALSE)</f>
        <v>80000</v>
      </c>
      <c r="P191">
        <v>2147.25</v>
      </c>
      <c r="Q191" s="19" t="str">
        <f t="shared" si="2"/>
        <v>Jul-2023</v>
      </c>
      <c r="R191" s="26">
        <f>DATE(YEAR(tblEnriched[[#This Row],[Date]]),MONTH(tblEnriched[[#This Row],[Date]]),1)</f>
        <v>45108</v>
      </c>
    </row>
    <row r="192" spans="1:18">
      <c r="A192" t="s">
        <v>787</v>
      </c>
      <c r="B192" s="10">
        <v>45535</v>
      </c>
      <c r="C192" t="s">
        <v>788</v>
      </c>
      <c r="D192" t="s">
        <v>54</v>
      </c>
      <c r="E192">
        <v>3</v>
      </c>
      <c r="F192" s="4">
        <v>223.7</v>
      </c>
      <c r="G192" t="s">
        <v>71</v>
      </c>
      <c r="H192" t="s">
        <v>49</v>
      </c>
      <c r="I192">
        <v>3</v>
      </c>
      <c r="J192" t="s">
        <v>27</v>
      </c>
      <c r="K192" t="s">
        <v>44</v>
      </c>
      <c r="L192" s="4">
        <v>671.09999999999991</v>
      </c>
      <c r="M192" t="str">
        <f>VLOOKUP(D192,tblProduct[],2,FALSE)</f>
        <v>Electronics</v>
      </c>
      <c r="N192" t="str">
        <f>VLOOKUP(D192,tblProduct[],3,FALSE)</f>
        <v>Medium</v>
      </c>
      <c r="O192">
        <f>VLOOKUP(D192,tblProduct[],4,FALSE)</f>
        <v>80000</v>
      </c>
      <c r="P192">
        <v>671.09999999999991</v>
      </c>
      <c r="Q192" s="19" t="str">
        <f t="shared" si="2"/>
        <v>Aug-2024</v>
      </c>
      <c r="R192" s="26">
        <f>DATE(YEAR(tblEnriched[[#This Row],[Date]]),MONTH(tblEnriched[[#This Row],[Date]]),1)</f>
        <v>45505</v>
      </c>
    </row>
    <row r="193" spans="1:18">
      <c r="A193" t="s">
        <v>791</v>
      </c>
      <c r="B193" s="10">
        <v>45724</v>
      </c>
      <c r="C193" t="s">
        <v>792</v>
      </c>
      <c r="D193" t="s">
        <v>64</v>
      </c>
      <c r="E193">
        <v>2</v>
      </c>
      <c r="F193" s="4">
        <v>488.87</v>
      </c>
      <c r="G193" t="s">
        <v>33</v>
      </c>
      <c r="H193" t="s">
        <v>41</v>
      </c>
      <c r="I193">
        <v>4</v>
      </c>
      <c r="J193" t="s">
        <v>43</v>
      </c>
      <c r="K193" t="s">
        <v>82</v>
      </c>
      <c r="L193" s="4">
        <v>977.74</v>
      </c>
      <c r="M193" t="str">
        <f>VLOOKUP(D193,tblProduct[],2,FALSE)</f>
        <v>Electronics</v>
      </c>
      <c r="N193" t="str">
        <f>VLOOKUP(D193,tblProduct[],3,FALSE)</f>
        <v>High</v>
      </c>
      <c r="O193">
        <f>VLOOKUP(D193,tblProduct[],4,FALSE)</f>
        <v>150000</v>
      </c>
      <c r="P193">
        <v>977.74</v>
      </c>
      <c r="Q193" s="19" t="str">
        <f t="shared" si="2"/>
        <v>Mar-2025</v>
      </c>
      <c r="R193" s="26">
        <f>DATE(YEAR(tblEnriched[[#This Row],[Date]]),MONTH(tblEnriched[[#This Row],[Date]]),1)</f>
        <v>45717</v>
      </c>
    </row>
    <row r="194" spans="1:18">
      <c r="A194" t="s">
        <v>795</v>
      </c>
      <c r="B194" s="10">
        <v>45149</v>
      </c>
      <c r="C194" t="s">
        <v>796</v>
      </c>
      <c r="D194" t="s">
        <v>79</v>
      </c>
      <c r="E194">
        <v>1</v>
      </c>
      <c r="F194" s="4">
        <v>645.46</v>
      </c>
      <c r="G194" t="s">
        <v>66</v>
      </c>
      <c r="H194" t="s">
        <v>41</v>
      </c>
      <c r="I194">
        <v>5</v>
      </c>
      <c r="J194" t="s">
        <v>27</v>
      </c>
      <c r="K194" t="s">
        <v>82</v>
      </c>
      <c r="L194" s="4">
        <v>645.46</v>
      </c>
      <c r="M194" t="str">
        <f>VLOOKUP(D194,tblProduct[],2,FALSE)</f>
        <v>Furniture</v>
      </c>
      <c r="N194" t="str">
        <f>VLOOKUP(D194,tblProduct[],3,FALSE)</f>
        <v>High</v>
      </c>
      <c r="O194">
        <f>VLOOKUP(D194,tblProduct[],4,FALSE)</f>
        <v>75000</v>
      </c>
      <c r="P194">
        <v>645.46</v>
      </c>
      <c r="Q194" s="19" t="str">
        <f t="shared" ref="Q194:Q257" si="3">TEXT(B194,"mmm-yyyy")</f>
        <v>Aug-2023</v>
      </c>
      <c r="R194" s="26">
        <f>DATE(YEAR(tblEnriched[[#This Row],[Date]]),MONTH(tblEnriched[[#This Row],[Date]]),1)</f>
        <v>45139</v>
      </c>
    </row>
    <row r="195" spans="1:18">
      <c r="A195" t="s">
        <v>798</v>
      </c>
      <c r="B195" s="10">
        <v>45128</v>
      </c>
      <c r="C195" t="s">
        <v>799</v>
      </c>
      <c r="D195" t="s">
        <v>54</v>
      </c>
      <c r="E195">
        <v>1</v>
      </c>
      <c r="F195" s="4">
        <v>46.66</v>
      </c>
      <c r="G195" t="s">
        <v>71</v>
      </c>
      <c r="H195" t="s">
        <v>41</v>
      </c>
      <c r="I195">
        <v>6</v>
      </c>
      <c r="K195" t="s">
        <v>82</v>
      </c>
      <c r="L195" s="4">
        <v>46.66</v>
      </c>
      <c r="M195" t="str">
        <f>VLOOKUP(D195,tblProduct[],2,FALSE)</f>
        <v>Electronics</v>
      </c>
      <c r="N195" t="str">
        <f>VLOOKUP(D195,tblProduct[],3,FALSE)</f>
        <v>Medium</v>
      </c>
      <c r="O195">
        <f>VLOOKUP(D195,tblProduct[],4,FALSE)</f>
        <v>80000</v>
      </c>
      <c r="P195">
        <v>46.66</v>
      </c>
      <c r="Q195" s="19" t="str">
        <f t="shared" si="3"/>
        <v>Jul-2023</v>
      </c>
      <c r="R195" s="26">
        <f>DATE(YEAR(tblEnriched[[#This Row],[Date]]),MONTH(tblEnriched[[#This Row],[Date]]),1)</f>
        <v>45108</v>
      </c>
    </row>
    <row r="196" spans="1:18">
      <c r="A196" t="s">
        <v>802</v>
      </c>
      <c r="B196" s="10">
        <v>45451</v>
      </c>
      <c r="C196" t="s">
        <v>803</v>
      </c>
      <c r="D196" t="s">
        <v>22</v>
      </c>
      <c r="E196">
        <v>1</v>
      </c>
      <c r="F196" s="4">
        <v>249.57</v>
      </c>
      <c r="G196" t="s">
        <v>71</v>
      </c>
      <c r="H196" t="s">
        <v>25</v>
      </c>
      <c r="I196">
        <v>3</v>
      </c>
      <c r="J196" t="s">
        <v>43</v>
      </c>
      <c r="K196" t="s">
        <v>82</v>
      </c>
      <c r="L196" s="4">
        <v>249.57</v>
      </c>
      <c r="M196" t="str">
        <f>VLOOKUP(D196,tblProduct[],2,FALSE)</f>
        <v>Electronics</v>
      </c>
      <c r="N196" t="str">
        <f>VLOOKUP(D196,tblProduct[],3,FALSE)</f>
        <v>Medium</v>
      </c>
      <c r="O196">
        <f>VLOOKUP(D196,tblProduct[],4,FALSE)</f>
        <v>90000</v>
      </c>
      <c r="P196">
        <v>249.57</v>
      </c>
      <c r="Q196" s="19" t="str">
        <f t="shared" si="3"/>
        <v>Jun-2024</v>
      </c>
      <c r="R196" s="26">
        <f>DATE(YEAR(tblEnriched[[#This Row],[Date]]),MONTH(tblEnriched[[#This Row],[Date]]),1)</f>
        <v>45444</v>
      </c>
    </row>
    <row r="197" spans="1:18">
      <c r="A197" t="s">
        <v>806</v>
      </c>
      <c r="B197" s="10">
        <v>45404</v>
      </c>
      <c r="C197" t="s">
        <v>807</v>
      </c>
      <c r="D197" t="s">
        <v>47</v>
      </c>
      <c r="E197">
        <v>3</v>
      </c>
      <c r="F197" s="4">
        <v>619.21</v>
      </c>
      <c r="G197" t="s">
        <v>24</v>
      </c>
      <c r="H197" t="s">
        <v>41</v>
      </c>
      <c r="I197">
        <v>6</v>
      </c>
      <c r="K197" t="s">
        <v>44</v>
      </c>
      <c r="L197" s="4">
        <v>1857.63</v>
      </c>
      <c r="M197" t="str">
        <f>VLOOKUP(D197,tblProduct[],2,FALSE)</f>
        <v>Furniture</v>
      </c>
      <c r="N197" t="str">
        <f>VLOOKUP(D197,tblProduct[],3,FALSE)</f>
        <v>Medium</v>
      </c>
      <c r="O197">
        <f>VLOOKUP(D197,tblProduct[],4,FALSE)</f>
        <v>70000</v>
      </c>
      <c r="P197">
        <v>1857.63</v>
      </c>
      <c r="Q197" s="19" t="str">
        <f t="shared" si="3"/>
        <v>Apr-2024</v>
      </c>
      <c r="R197" s="26">
        <f>DATE(YEAR(tblEnriched[[#This Row],[Date]]),MONTH(tblEnriched[[#This Row],[Date]]),1)</f>
        <v>45383</v>
      </c>
    </row>
    <row r="198" spans="1:18">
      <c r="A198" t="s">
        <v>810</v>
      </c>
      <c r="B198" s="10">
        <v>45681</v>
      </c>
      <c r="C198" t="s">
        <v>811</v>
      </c>
      <c r="D198" t="s">
        <v>79</v>
      </c>
      <c r="E198">
        <v>4</v>
      </c>
      <c r="F198" s="4">
        <v>217.13</v>
      </c>
      <c r="G198" t="s">
        <v>71</v>
      </c>
      <c r="H198" t="s">
        <v>56</v>
      </c>
      <c r="I198">
        <v>8</v>
      </c>
      <c r="J198" t="s">
        <v>87</v>
      </c>
      <c r="K198" t="s">
        <v>44</v>
      </c>
      <c r="L198" s="4">
        <v>868.52</v>
      </c>
      <c r="M198" t="str">
        <f>VLOOKUP(D198,tblProduct[],2,FALSE)</f>
        <v>Furniture</v>
      </c>
      <c r="N198" t="str">
        <f>VLOOKUP(D198,tblProduct[],3,FALSE)</f>
        <v>High</v>
      </c>
      <c r="O198">
        <f>VLOOKUP(D198,tblProduct[],4,FALSE)</f>
        <v>75000</v>
      </c>
      <c r="P198">
        <v>868.52</v>
      </c>
      <c r="Q198" s="19" t="str">
        <f t="shared" si="3"/>
        <v>Jan-2025</v>
      </c>
      <c r="R198" s="26">
        <f>DATE(YEAR(tblEnriched[[#This Row],[Date]]),MONTH(tblEnriched[[#This Row],[Date]]),1)</f>
        <v>45658</v>
      </c>
    </row>
    <row r="199" spans="1:18">
      <c r="A199" t="s">
        <v>814</v>
      </c>
      <c r="B199" s="10">
        <v>45165</v>
      </c>
      <c r="C199" t="s">
        <v>815</v>
      </c>
      <c r="D199" t="s">
        <v>64</v>
      </c>
      <c r="E199">
        <v>5</v>
      </c>
      <c r="F199" s="4">
        <v>221.51</v>
      </c>
      <c r="G199" t="s">
        <v>71</v>
      </c>
      <c r="H199" t="s">
        <v>49</v>
      </c>
      <c r="I199">
        <v>5</v>
      </c>
      <c r="J199" t="s">
        <v>87</v>
      </c>
      <c r="K199" t="s">
        <v>35</v>
      </c>
      <c r="L199" s="4">
        <v>1107.55</v>
      </c>
      <c r="M199" t="str">
        <f>VLOOKUP(D199,tblProduct[],2,FALSE)</f>
        <v>Electronics</v>
      </c>
      <c r="N199" t="str">
        <f>VLOOKUP(D199,tblProduct[],3,FALSE)</f>
        <v>High</v>
      </c>
      <c r="O199">
        <f>VLOOKUP(D199,tblProduct[],4,FALSE)</f>
        <v>150000</v>
      </c>
      <c r="P199">
        <v>1107.55</v>
      </c>
      <c r="Q199" s="19" t="str">
        <f t="shared" si="3"/>
        <v>Aug-2023</v>
      </c>
      <c r="R199" s="26">
        <f>DATE(YEAR(tblEnriched[[#This Row],[Date]]),MONTH(tblEnriched[[#This Row],[Date]]),1)</f>
        <v>45139</v>
      </c>
    </row>
    <row r="200" spans="1:18">
      <c r="A200" t="s">
        <v>818</v>
      </c>
      <c r="B200" s="10">
        <v>45454</v>
      </c>
      <c r="C200" t="s">
        <v>819</v>
      </c>
      <c r="D200" t="s">
        <v>64</v>
      </c>
      <c r="E200">
        <v>4</v>
      </c>
      <c r="F200" s="4">
        <v>340.3</v>
      </c>
      <c r="G200" t="s">
        <v>71</v>
      </c>
      <c r="H200" t="s">
        <v>41</v>
      </c>
      <c r="I200">
        <v>8</v>
      </c>
      <c r="J200" t="s">
        <v>27</v>
      </c>
      <c r="K200" t="s">
        <v>35</v>
      </c>
      <c r="L200" s="4">
        <v>1361.2</v>
      </c>
      <c r="M200" t="str">
        <f>VLOOKUP(D200,tblProduct[],2,FALSE)</f>
        <v>Electronics</v>
      </c>
      <c r="N200" t="str">
        <f>VLOOKUP(D200,tblProduct[],3,FALSE)</f>
        <v>High</v>
      </c>
      <c r="O200">
        <f>VLOOKUP(D200,tblProduct[],4,FALSE)</f>
        <v>150000</v>
      </c>
      <c r="P200">
        <v>1361.2</v>
      </c>
      <c r="Q200" s="19" t="str">
        <f t="shared" si="3"/>
        <v>Jun-2024</v>
      </c>
      <c r="R200" s="26">
        <f>DATE(YEAR(tblEnriched[[#This Row],[Date]]),MONTH(tblEnriched[[#This Row],[Date]]),1)</f>
        <v>45444</v>
      </c>
    </row>
    <row r="201" spans="1:18">
      <c r="A201" t="s">
        <v>821</v>
      </c>
      <c r="B201" s="10">
        <v>45680</v>
      </c>
      <c r="C201" t="s">
        <v>822</v>
      </c>
      <c r="D201" t="s">
        <v>31</v>
      </c>
      <c r="E201">
        <v>1</v>
      </c>
      <c r="F201" s="4">
        <v>625</v>
      </c>
      <c r="G201" t="s">
        <v>33</v>
      </c>
      <c r="H201" t="s">
        <v>49</v>
      </c>
      <c r="I201">
        <v>5</v>
      </c>
      <c r="J201" t="s">
        <v>87</v>
      </c>
      <c r="K201" t="s">
        <v>82</v>
      </c>
      <c r="L201" s="4">
        <v>625</v>
      </c>
      <c r="M201" t="str">
        <f>VLOOKUP(D201,tblProduct[],2,FALSE)</f>
        <v>Electronics</v>
      </c>
      <c r="N201" t="str">
        <f>VLOOKUP(D201,tblProduct[],3,FALSE)</f>
        <v>High</v>
      </c>
      <c r="O201">
        <f>VLOOKUP(D201,tblProduct[],4,FALSE)</f>
        <v>120000</v>
      </c>
      <c r="P201">
        <v>625</v>
      </c>
      <c r="Q201" s="19" t="str">
        <f t="shared" si="3"/>
        <v>Jan-2025</v>
      </c>
      <c r="R201" s="26">
        <f>DATE(YEAR(tblEnriched[[#This Row],[Date]]),MONTH(tblEnriched[[#This Row],[Date]]),1)</f>
        <v>45658</v>
      </c>
    </row>
    <row r="202" spans="1:18">
      <c r="A202" t="s">
        <v>825</v>
      </c>
      <c r="B202" s="10">
        <v>45815</v>
      </c>
      <c r="C202" t="s">
        <v>826</v>
      </c>
      <c r="D202" t="s">
        <v>38</v>
      </c>
      <c r="E202">
        <v>5</v>
      </c>
      <c r="F202" s="4">
        <v>433.26</v>
      </c>
      <c r="G202" t="s">
        <v>40</v>
      </c>
      <c r="H202" t="s">
        <v>56</v>
      </c>
      <c r="I202">
        <v>9</v>
      </c>
      <c r="J202" t="s">
        <v>27</v>
      </c>
      <c r="K202" t="s">
        <v>82</v>
      </c>
      <c r="L202" s="4">
        <v>2166.3000000000002</v>
      </c>
      <c r="M202" t="str">
        <f>VLOOKUP(D202,tblProduct[],2,FALSE)</f>
        <v>Electronics</v>
      </c>
      <c r="N202" t="str">
        <f>VLOOKUP(D202,tblProduct[],3,FALSE)</f>
        <v>Medium</v>
      </c>
      <c r="O202">
        <f>VLOOKUP(D202,tblProduct[],4,FALSE)</f>
        <v>100000</v>
      </c>
      <c r="P202">
        <v>2166.3000000000002</v>
      </c>
      <c r="Q202" s="19" t="str">
        <f t="shared" si="3"/>
        <v>Jun-2025</v>
      </c>
      <c r="R202" s="26">
        <f>DATE(YEAR(tblEnriched[[#This Row],[Date]]),MONTH(tblEnriched[[#This Row],[Date]]),1)</f>
        <v>45809</v>
      </c>
    </row>
    <row r="203" spans="1:18">
      <c r="A203" t="s">
        <v>828</v>
      </c>
      <c r="B203" s="10">
        <v>45095</v>
      </c>
      <c r="C203" t="s">
        <v>829</v>
      </c>
      <c r="D203" t="s">
        <v>22</v>
      </c>
      <c r="E203">
        <v>2</v>
      </c>
      <c r="F203" s="4">
        <v>674.9</v>
      </c>
      <c r="G203" t="s">
        <v>33</v>
      </c>
      <c r="H203" t="s">
        <v>25</v>
      </c>
      <c r="I203">
        <v>4</v>
      </c>
      <c r="J203" t="s">
        <v>27</v>
      </c>
      <c r="K203" t="s">
        <v>51</v>
      </c>
      <c r="L203" s="4">
        <v>1349.8</v>
      </c>
      <c r="M203" t="str">
        <f>VLOOKUP(D203,tblProduct[],2,FALSE)</f>
        <v>Electronics</v>
      </c>
      <c r="N203" t="str">
        <f>VLOOKUP(D203,tblProduct[],3,FALSE)</f>
        <v>Medium</v>
      </c>
      <c r="O203">
        <f>VLOOKUP(D203,tblProduct[],4,FALSE)</f>
        <v>90000</v>
      </c>
      <c r="P203">
        <v>1349.8</v>
      </c>
      <c r="Q203" s="19" t="str">
        <f t="shared" si="3"/>
        <v>Jun-2023</v>
      </c>
      <c r="R203" s="26">
        <f>DATE(YEAR(tblEnriched[[#This Row],[Date]]),MONTH(tblEnriched[[#This Row],[Date]]),1)</f>
        <v>45078</v>
      </c>
    </row>
    <row r="204" spans="1:18">
      <c r="A204" t="s">
        <v>831</v>
      </c>
      <c r="B204" s="10">
        <v>45694</v>
      </c>
      <c r="C204" t="s">
        <v>832</v>
      </c>
      <c r="D204" t="s">
        <v>22</v>
      </c>
      <c r="E204">
        <v>3</v>
      </c>
      <c r="F204" s="4">
        <v>253.98</v>
      </c>
      <c r="G204" t="s">
        <v>40</v>
      </c>
      <c r="H204" t="s">
        <v>41</v>
      </c>
      <c r="I204">
        <v>3</v>
      </c>
      <c r="J204" t="s">
        <v>43</v>
      </c>
      <c r="K204" t="s">
        <v>44</v>
      </c>
      <c r="L204" s="4">
        <v>761.93999999999994</v>
      </c>
      <c r="M204" t="str">
        <f>VLOOKUP(D204,tblProduct[],2,FALSE)</f>
        <v>Electronics</v>
      </c>
      <c r="N204" t="str">
        <f>VLOOKUP(D204,tblProduct[],3,FALSE)</f>
        <v>Medium</v>
      </c>
      <c r="O204">
        <f>VLOOKUP(D204,tblProduct[],4,FALSE)</f>
        <v>90000</v>
      </c>
      <c r="P204">
        <v>761.93999999999994</v>
      </c>
      <c r="Q204" s="19" t="str">
        <f t="shared" si="3"/>
        <v>Feb-2025</v>
      </c>
      <c r="R204" s="26">
        <f>DATE(YEAR(tblEnriched[[#This Row],[Date]]),MONTH(tblEnriched[[#This Row],[Date]]),1)</f>
        <v>45689</v>
      </c>
    </row>
    <row r="205" spans="1:18">
      <c r="A205" t="s">
        <v>834</v>
      </c>
      <c r="B205" s="10">
        <v>45678</v>
      </c>
      <c r="C205" t="s">
        <v>835</v>
      </c>
      <c r="D205" t="s">
        <v>54</v>
      </c>
      <c r="E205">
        <v>3</v>
      </c>
      <c r="F205" s="4">
        <v>356.84</v>
      </c>
      <c r="G205" t="s">
        <v>33</v>
      </c>
      <c r="H205" t="s">
        <v>25</v>
      </c>
      <c r="I205">
        <v>5</v>
      </c>
      <c r="J205" t="s">
        <v>27</v>
      </c>
      <c r="K205" t="s">
        <v>28</v>
      </c>
      <c r="L205" s="4">
        <v>1070.52</v>
      </c>
      <c r="M205" t="str">
        <f>VLOOKUP(D205,tblProduct[],2,FALSE)</f>
        <v>Electronics</v>
      </c>
      <c r="N205" t="str">
        <f>VLOOKUP(D205,tblProduct[],3,FALSE)</f>
        <v>Medium</v>
      </c>
      <c r="O205">
        <f>VLOOKUP(D205,tblProduct[],4,FALSE)</f>
        <v>80000</v>
      </c>
      <c r="P205">
        <v>1070.52</v>
      </c>
      <c r="Q205" s="19" t="str">
        <f t="shared" si="3"/>
        <v>Jan-2025</v>
      </c>
      <c r="R205" s="26">
        <f>DATE(YEAR(tblEnriched[[#This Row],[Date]]),MONTH(tblEnriched[[#This Row],[Date]]),1)</f>
        <v>45658</v>
      </c>
    </row>
    <row r="206" spans="1:18">
      <c r="A206" t="s">
        <v>838</v>
      </c>
      <c r="B206" s="10">
        <v>45174</v>
      </c>
      <c r="C206" t="s">
        <v>839</v>
      </c>
      <c r="D206" t="s">
        <v>64</v>
      </c>
      <c r="E206">
        <v>4</v>
      </c>
      <c r="F206" s="4">
        <v>413.71</v>
      </c>
      <c r="G206" t="s">
        <v>66</v>
      </c>
      <c r="H206" t="s">
        <v>41</v>
      </c>
      <c r="I206">
        <v>9</v>
      </c>
      <c r="J206" t="s">
        <v>43</v>
      </c>
      <c r="K206" t="s">
        <v>51</v>
      </c>
      <c r="L206" s="4">
        <v>1654.84</v>
      </c>
      <c r="M206" t="str">
        <f>VLOOKUP(D206,tblProduct[],2,FALSE)</f>
        <v>Electronics</v>
      </c>
      <c r="N206" t="str">
        <f>VLOOKUP(D206,tblProduct[],3,FALSE)</f>
        <v>High</v>
      </c>
      <c r="O206">
        <f>VLOOKUP(D206,tblProduct[],4,FALSE)</f>
        <v>150000</v>
      </c>
      <c r="P206">
        <v>1654.84</v>
      </c>
      <c r="Q206" s="19" t="str">
        <f t="shared" si="3"/>
        <v>Sep-2023</v>
      </c>
      <c r="R206" s="26">
        <f>DATE(YEAR(tblEnriched[[#This Row],[Date]]),MONTH(tblEnriched[[#This Row],[Date]]),1)</f>
        <v>45170</v>
      </c>
    </row>
    <row r="207" spans="1:18">
      <c r="A207" t="s">
        <v>841</v>
      </c>
      <c r="B207" s="10">
        <v>44989</v>
      </c>
      <c r="C207" t="s">
        <v>842</v>
      </c>
      <c r="D207" t="s">
        <v>79</v>
      </c>
      <c r="E207">
        <v>3</v>
      </c>
      <c r="F207" s="4">
        <v>147.38999999999999</v>
      </c>
      <c r="G207" t="s">
        <v>24</v>
      </c>
      <c r="H207" t="s">
        <v>49</v>
      </c>
      <c r="I207">
        <v>3</v>
      </c>
      <c r="K207" t="s">
        <v>44</v>
      </c>
      <c r="L207" s="4">
        <v>442.17</v>
      </c>
      <c r="M207" t="str">
        <f>VLOOKUP(D207,tblProduct[],2,FALSE)</f>
        <v>Furniture</v>
      </c>
      <c r="N207" t="str">
        <f>VLOOKUP(D207,tblProduct[],3,FALSE)</f>
        <v>High</v>
      </c>
      <c r="O207">
        <f>VLOOKUP(D207,tblProduct[],4,FALSE)</f>
        <v>75000</v>
      </c>
      <c r="P207">
        <v>442.17</v>
      </c>
      <c r="Q207" s="19" t="str">
        <f t="shared" si="3"/>
        <v>Mar-2023</v>
      </c>
      <c r="R207" s="26">
        <f>DATE(YEAR(tblEnriched[[#This Row],[Date]]),MONTH(tblEnriched[[#This Row],[Date]]),1)</f>
        <v>44986</v>
      </c>
    </row>
    <row r="208" spans="1:18">
      <c r="A208" t="s">
        <v>845</v>
      </c>
      <c r="B208" s="10">
        <v>45398</v>
      </c>
      <c r="C208" t="s">
        <v>846</v>
      </c>
      <c r="D208" t="s">
        <v>64</v>
      </c>
      <c r="E208">
        <v>4</v>
      </c>
      <c r="F208" s="4">
        <v>229.1</v>
      </c>
      <c r="G208" t="s">
        <v>66</v>
      </c>
      <c r="H208" t="s">
        <v>49</v>
      </c>
      <c r="I208">
        <v>8</v>
      </c>
      <c r="J208" t="s">
        <v>87</v>
      </c>
      <c r="K208" t="s">
        <v>44</v>
      </c>
      <c r="L208" s="4">
        <v>916.4</v>
      </c>
      <c r="M208" t="str">
        <f>VLOOKUP(D208,tblProduct[],2,FALSE)</f>
        <v>Electronics</v>
      </c>
      <c r="N208" t="str">
        <f>VLOOKUP(D208,tblProduct[],3,FALSE)</f>
        <v>High</v>
      </c>
      <c r="O208">
        <f>VLOOKUP(D208,tblProduct[],4,FALSE)</f>
        <v>150000</v>
      </c>
      <c r="P208">
        <v>916.4</v>
      </c>
      <c r="Q208" s="19" t="str">
        <f t="shared" si="3"/>
        <v>Apr-2024</v>
      </c>
      <c r="R208" s="26">
        <f>DATE(YEAR(tblEnriched[[#This Row],[Date]]),MONTH(tblEnriched[[#This Row],[Date]]),1)</f>
        <v>45383</v>
      </c>
    </row>
    <row r="209" spans="1:18">
      <c r="A209" t="s">
        <v>849</v>
      </c>
      <c r="B209" s="10">
        <v>45734</v>
      </c>
      <c r="C209" t="s">
        <v>850</v>
      </c>
      <c r="D209" t="s">
        <v>31</v>
      </c>
      <c r="E209">
        <v>1</v>
      </c>
      <c r="F209" s="4">
        <v>121.96</v>
      </c>
      <c r="G209" t="s">
        <v>24</v>
      </c>
      <c r="H209" t="s">
        <v>56</v>
      </c>
      <c r="I209">
        <v>3</v>
      </c>
      <c r="K209" t="s">
        <v>82</v>
      </c>
      <c r="L209" s="4">
        <v>121.96</v>
      </c>
      <c r="M209" t="str">
        <f>VLOOKUP(D209,tblProduct[],2,FALSE)</f>
        <v>Electronics</v>
      </c>
      <c r="N209" t="str">
        <f>VLOOKUP(D209,tblProduct[],3,FALSE)</f>
        <v>High</v>
      </c>
      <c r="O209">
        <f>VLOOKUP(D209,tblProduct[],4,FALSE)</f>
        <v>120000</v>
      </c>
      <c r="P209">
        <v>121.96</v>
      </c>
      <c r="Q209" s="19" t="str">
        <f t="shared" si="3"/>
        <v>Mar-2025</v>
      </c>
      <c r="R209" s="26">
        <f>DATE(YEAR(tblEnriched[[#This Row],[Date]]),MONTH(tblEnriched[[#This Row],[Date]]),1)</f>
        <v>45717</v>
      </c>
    </row>
    <row r="210" spans="1:18">
      <c r="A210" t="s">
        <v>853</v>
      </c>
      <c r="B210" s="10">
        <v>45573</v>
      </c>
      <c r="C210" t="s">
        <v>854</v>
      </c>
      <c r="D210" t="s">
        <v>79</v>
      </c>
      <c r="E210">
        <v>2</v>
      </c>
      <c r="F210" s="4">
        <v>408.32</v>
      </c>
      <c r="G210" t="s">
        <v>33</v>
      </c>
      <c r="H210" t="s">
        <v>25</v>
      </c>
      <c r="I210">
        <v>3</v>
      </c>
      <c r="J210" t="s">
        <v>43</v>
      </c>
      <c r="K210" t="s">
        <v>51</v>
      </c>
      <c r="L210" s="4">
        <v>816.64</v>
      </c>
      <c r="M210" t="str">
        <f>VLOOKUP(D210,tblProduct[],2,FALSE)</f>
        <v>Furniture</v>
      </c>
      <c r="N210" t="str">
        <f>VLOOKUP(D210,tblProduct[],3,FALSE)</f>
        <v>High</v>
      </c>
      <c r="O210">
        <f>VLOOKUP(D210,tblProduct[],4,FALSE)</f>
        <v>75000</v>
      </c>
      <c r="P210">
        <v>816.64</v>
      </c>
      <c r="Q210" s="19" t="str">
        <f t="shared" si="3"/>
        <v>Oct-2024</v>
      </c>
      <c r="R210" s="26">
        <f>DATE(YEAR(tblEnriched[[#This Row],[Date]]),MONTH(tblEnriched[[#This Row],[Date]]),1)</f>
        <v>45566</v>
      </c>
    </row>
    <row r="211" spans="1:18">
      <c r="A211" t="s">
        <v>856</v>
      </c>
      <c r="B211" s="10">
        <v>45167</v>
      </c>
      <c r="C211" t="s">
        <v>857</v>
      </c>
      <c r="D211" t="s">
        <v>38</v>
      </c>
      <c r="E211">
        <v>5</v>
      </c>
      <c r="F211" s="4">
        <v>187.97</v>
      </c>
      <c r="G211" t="s">
        <v>71</v>
      </c>
      <c r="H211" t="s">
        <v>49</v>
      </c>
      <c r="I211">
        <v>9</v>
      </c>
      <c r="J211" t="s">
        <v>27</v>
      </c>
      <c r="K211" t="s">
        <v>82</v>
      </c>
      <c r="L211" s="4">
        <v>939.85</v>
      </c>
      <c r="M211" t="str">
        <f>VLOOKUP(D211,tblProduct[],2,FALSE)</f>
        <v>Electronics</v>
      </c>
      <c r="N211" t="str">
        <f>VLOOKUP(D211,tblProduct[],3,FALSE)</f>
        <v>Medium</v>
      </c>
      <c r="O211">
        <f>VLOOKUP(D211,tblProduct[],4,FALSE)</f>
        <v>100000</v>
      </c>
      <c r="P211">
        <v>939.85</v>
      </c>
      <c r="Q211" s="19" t="str">
        <f t="shared" si="3"/>
        <v>Aug-2023</v>
      </c>
      <c r="R211" s="26">
        <f>DATE(YEAR(tblEnriched[[#This Row],[Date]]),MONTH(tblEnriched[[#This Row],[Date]]),1)</f>
        <v>45139</v>
      </c>
    </row>
    <row r="212" spans="1:18">
      <c r="A212" t="s">
        <v>859</v>
      </c>
      <c r="B212" s="10">
        <v>45631</v>
      </c>
      <c r="C212" t="s">
        <v>860</v>
      </c>
      <c r="D212" t="s">
        <v>47</v>
      </c>
      <c r="E212">
        <v>3</v>
      </c>
      <c r="F212" s="4">
        <v>358.48</v>
      </c>
      <c r="G212" t="s">
        <v>66</v>
      </c>
      <c r="H212" t="s">
        <v>56</v>
      </c>
      <c r="I212">
        <v>7</v>
      </c>
      <c r="J212" t="s">
        <v>43</v>
      </c>
      <c r="K212" t="s">
        <v>51</v>
      </c>
      <c r="L212" s="4">
        <v>1075.44</v>
      </c>
      <c r="M212" t="str">
        <f>VLOOKUP(D212,tblProduct[],2,FALSE)</f>
        <v>Furniture</v>
      </c>
      <c r="N212" t="str">
        <f>VLOOKUP(D212,tblProduct[],3,FALSE)</f>
        <v>Medium</v>
      </c>
      <c r="O212">
        <f>VLOOKUP(D212,tblProduct[],4,FALSE)</f>
        <v>70000</v>
      </c>
      <c r="P212">
        <v>1075.44</v>
      </c>
      <c r="Q212" s="19" t="str">
        <f t="shared" si="3"/>
        <v>Dec-2024</v>
      </c>
      <c r="R212" s="26">
        <f>DATE(YEAR(tblEnriched[[#This Row],[Date]]),MONTH(tblEnriched[[#This Row],[Date]]),1)</f>
        <v>45627</v>
      </c>
    </row>
    <row r="213" spans="1:18">
      <c r="A213" t="s">
        <v>862</v>
      </c>
      <c r="B213" s="10">
        <v>45660</v>
      </c>
      <c r="C213" t="s">
        <v>863</v>
      </c>
      <c r="D213" t="s">
        <v>54</v>
      </c>
      <c r="E213">
        <v>3</v>
      </c>
      <c r="F213" s="4">
        <v>193.58</v>
      </c>
      <c r="G213" t="s">
        <v>66</v>
      </c>
      <c r="H213" t="s">
        <v>95</v>
      </c>
      <c r="I213">
        <v>7</v>
      </c>
      <c r="J213" t="s">
        <v>43</v>
      </c>
      <c r="K213" t="s">
        <v>44</v>
      </c>
      <c r="L213" s="4">
        <v>580.74</v>
      </c>
      <c r="M213" t="str">
        <f>VLOOKUP(D213,tblProduct[],2,FALSE)</f>
        <v>Electronics</v>
      </c>
      <c r="N213" t="str">
        <f>VLOOKUP(D213,tblProduct[],3,FALSE)</f>
        <v>Medium</v>
      </c>
      <c r="O213">
        <f>VLOOKUP(D213,tblProduct[],4,FALSE)</f>
        <v>80000</v>
      </c>
      <c r="P213">
        <v>580.74</v>
      </c>
      <c r="Q213" s="19" t="str">
        <f t="shared" si="3"/>
        <v>Jan-2025</v>
      </c>
      <c r="R213" s="26">
        <f>DATE(YEAR(tblEnriched[[#This Row],[Date]]),MONTH(tblEnriched[[#This Row],[Date]]),1)</f>
        <v>45658</v>
      </c>
    </row>
    <row r="214" spans="1:18">
      <c r="A214" t="s">
        <v>866</v>
      </c>
      <c r="B214" s="10">
        <v>45097</v>
      </c>
      <c r="C214" t="s">
        <v>867</v>
      </c>
      <c r="D214" t="s">
        <v>22</v>
      </c>
      <c r="E214">
        <v>1</v>
      </c>
      <c r="F214" s="4">
        <v>265.38</v>
      </c>
      <c r="G214" t="s">
        <v>40</v>
      </c>
      <c r="H214" t="s">
        <v>41</v>
      </c>
      <c r="I214">
        <v>6</v>
      </c>
      <c r="J214" t="s">
        <v>87</v>
      </c>
      <c r="K214" t="s">
        <v>44</v>
      </c>
      <c r="L214" s="4">
        <v>265.38</v>
      </c>
      <c r="M214" t="str">
        <f>VLOOKUP(D214,tblProduct[],2,FALSE)</f>
        <v>Electronics</v>
      </c>
      <c r="N214" t="str">
        <f>VLOOKUP(D214,tblProduct[],3,FALSE)</f>
        <v>Medium</v>
      </c>
      <c r="O214">
        <f>VLOOKUP(D214,tblProduct[],4,FALSE)</f>
        <v>90000</v>
      </c>
      <c r="P214">
        <v>265.38</v>
      </c>
      <c r="Q214" s="19" t="str">
        <f t="shared" si="3"/>
        <v>Jun-2023</v>
      </c>
      <c r="R214" s="26">
        <f>DATE(YEAR(tblEnriched[[#This Row],[Date]]),MONTH(tblEnriched[[#This Row],[Date]]),1)</f>
        <v>45078</v>
      </c>
    </row>
    <row r="215" spans="1:18">
      <c r="A215" t="s">
        <v>870</v>
      </c>
      <c r="B215" s="10">
        <v>45036</v>
      </c>
      <c r="C215" t="s">
        <v>871</v>
      </c>
      <c r="D215" t="s">
        <v>64</v>
      </c>
      <c r="E215">
        <v>1</v>
      </c>
      <c r="F215" s="4">
        <v>634.4</v>
      </c>
      <c r="G215" t="s">
        <v>71</v>
      </c>
      <c r="H215" t="s">
        <v>41</v>
      </c>
      <c r="I215">
        <v>6</v>
      </c>
      <c r="J215" t="s">
        <v>27</v>
      </c>
      <c r="K215" t="s">
        <v>44</v>
      </c>
      <c r="L215" s="4">
        <v>634.4</v>
      </c>
      <c r="M215" t="str">
        <f>VLOOKUP(D215,tblProduct[],2,FALSE)</f>
        <v>Electronics</v>
      </c>
      <c r="N215" t="str">
        <f>VLOOKUP(D215,tblProduct[],3,FALSE)</f>
        <v>High</v>
      </c>
      <c r="O215">
        <f>VLOOKUP(D215,tblProduct[],4,FALSE)</f>
        <v>150000</v>
      </c>
      <c r="P215">
        <v>634.4</v>
      </c>
      <c r="Q215" s="19" t="str">
        <f t="shared" si="3"/>
        <v>Apr-2023</v>
      </c>
      <c r="R215" s="26">
        <f>DATE(YEAR(tblEnriched[[#This Row],[Date]]),MONTH(tblEnriched[[#This Row],[Date]]),1)</f>
        <v>45017</v>
      </c>
    </row>
    <row r="216" spans="1:18">
      <c r="A216" t="s">
        <v>874</v>
      </c>
      <c r="B216" s="10">
        <v>45525</v>
      </c>
      <c r="C216" t="s">
        <v>875</v>
      </c>
      <c r="D216" t="s">
        <v>79</v>
      </c>
      <c r="E216">
        <v>4</v>
      </c>
      <c r="F216" s="4">
        <v>305.72000000000003</v>
      </c>
      <c r="G216" t="s">
        <v>33</v>
      </c>
      <c r="H216" t="s">
        <v>56</v>
      </c>
      <c r="I216">
        <v>5</v>
      </c>
      <c r="K216" t="s">
        <v>51</v>
      </c>
      <c r="L216" s="4">
        <v>1222.8800000000001</v>
      </c>
      <c r="M216" t="str">
        <f>VLOOKUP(D216,tblProduct[],2,FALSE)</f>
        <v>Furniture</v>
      </c>
      <c r="N216" t="str">
        <f>VLOOKUP(D216,tblProduct[],3,FALSE)</f>
        <v>High</v>
      </c>
      <c r="O216">
        <f>VLOOKUP(D216,tblProduct[],4,FALSE)</f>
        <v>75000</v>
      </c>
      <c r="P216">
        <v>1222.8800000000001</v>
      </c>
      <c r="Q216" s="19" t="str">
        <f t="shared" si="3"/>
        <v>Aug-2024</v>
      </c>
      <c r="R216" s="26">
        <f>DATE(YEAR(tblEnriched[[#This Row],[Date]]),MONTH(tblEnriched[[#This Row],[Date]]),1)</f>
        <v>45505</v>
      </c>
    </row>
    <row r="217" spans="1:18">
      <c r="A217" t="s">
        <v>877</v>
      </c>
      <c r="B217" s="10">
        <v>45148</v>
      </c>
      <c r="C217" t="s">
        <v>878</v>
      </c>
      <c r="D217" t="s">
        <v>54</v>
      </c>
      <c r="E217">
        <v>1</v>
      </c>
      <c r="F217" s="4">
        <v>303.60000000000002</v>
      </c>
      <c r="G217" t="s">
        <v>71</v>
      </c>
      <c r="H217" t="s">
        <v>25</v>
      </c>
      <c r="I217">
        <v>5</v>
      </c>
      <c r="J217" t="s">
        <v>43</v>
      </c>
      <c r="K217" t="s">
        <v>51</v>
      </c>
      <c r="L217" s="4">
        <v>303.60000000000002</v>
      </c>
      <c r="M217" t="str">
        <f>VLOOKUP(D217,tblProduct[],2,FALSE)</f>
        <v>Electronics</v>
      </c>
      <c r="N217" t="str">
        <f>VLOOKUP(D217,tblProduct[],3,FALSE)</f>
        <v>Medium</v>
      </c>
      <c r="O217">
        <f>VLOOKUP(D217,tblProduct[],4,FALSE)</f>
        <v>80000</v>
      </c>
      <c r="P217">
        <v>303.60000000000002</v>
      </c>
      <c r="Q217" s="19" t="str">
        <f t="shared" si="3"/>
        <v>Aug-2023</v>
      </c>
      <c r="R217" s="26">
        <f>DATE(YEAR(tblEnriched[[#This Row],[Date]]),MONTH(tblEnriched[[#This Row],[Date]]),1)</f>
        <v>45139</v>
      </c>
    </row>
    <row r="218" spans="1:18">
      <c r="A218" t="s">
        <v>881</v>
      </c>
      <c r="B218" s="10">
        <v>45762</v>
      </c>
      <c r="C218" t="s">
        <v>882</v>
      </c>
      <c r="D218" t="s">
        <v>22</v>
      </c>
      <c r="E218">
        <v>4</v>
      </c>
      <c r="F218" s="4">
        <v>496</v>
      </c>
      <c r="G218" t="s">
        <v>33</v>
      </c>
      <c r="H218" t="s">
        <v>41</v>
      </c>
      <c r="I218">
        <v>8</v>
      </c>
      <c r="J218" t="s">
        <v>87</v>
      </c>
      <c r="K218" t="s">
        <v>82</v>
      </c>
      <c r="L218" s="4">
        <v>1984</v>
      </c>
      <c r="M218" t="str">
        <f>VLOOKUP(D218,tblProduct[],2,FALSE)</f>
        <v>Electronics</v>
      </c>
      <c r="N218" t="str">
        <f>VLOOKUP(D218,tblProduct[],3,FALSE)</f>
        <v>Medium</v>
      </c>
      <c r="O218">
        <f>VLOOKUP(D218,tblProduct[],4,FALSE)</f>
        <v>90000</v>
      </c>
      <c r="P218">
        <v>1984</v>
      </c>
      <c r="Q218" s="19" t="str">
        <f t="shared" si="3"/>
        <v>Apr-2025</v>
      </c>
      <c r="R218" s="26">
        <f>DATE(YEAR(tblEnriched[[#This Row],[Date]]),MONTH(tblEnriched[[#This Row],[Date]]),1)</f>
        <v>45748</v>
      </c>
    </row>
    <row r="219" spans="1:18">
      <c r="A219" t="s">
        <v>884</v>
      </c>
      <c r="B219" s="10">
        <v>45432</v>
      </c>
      <c r="C219" t="s">
        <v>885</v>
      </c>
      <c r="D219" t="s">
        <v>79</v>
      </c>
      <c r="E219">
        <v>4</v>
      </c>
      <c r="F219" s="4">
        <v>321.51</v>
      </c>
      <c r="G219" t="s">
        <v>71</v>
      </c>
      <c r="H219" t="s">
        <v>49</v>
      </c>
      <c r="I219">
        <v>9</v>
      </c>
      <c r="K219" t="s">
        <v>82</v>
      </c>
      <c r="L219" s="4">
        <v>1286.04</v>
      </c>
      <c r="M219" t="str">
        <f>VLOOKUP(D219,tblProduct[],2,FALSE)</f>
        <v>Furniture</v>
      </c>
      <c r="N219" t="str">
        <f>VLOOKUP(D219,tblProduct[],3,FALSE)</f>
        <v>High</v>
      </c>
      <c r="O219">
        <f>VLOOKUP(D219,tblProduct[],4,FALSE)</f>
        <v>75000</v>
      </c>
      <c r="P219">
        <v>1286.04</v>
      </c>
      <c r="Q219" s="19" t="str">
        <f t="shared" si="3"/>
        <v>May-2024</v>
      </c>
      <c r="R219" s="26">
        <f>DATE(YEAR(tblEnriched[[#This Row],[Date]]),MONTH(tblEnriched[[#This Row],[Date]]),1)</f>
        <v>45413</v>
      </c>
    </row>
    <row r="220" spans="1:18">
      <c r="A220" t="s">
        <v>888</v>
      </c>
      <c r="B220" s="10">
        <v>45044</v>
      </c>
      <c r="C220" t="s">
        <v>889</v>
      </c>
      <c r="D220" t="s">
        <v>38</v>
      </c>
      <c r="E220">
        <v>3</v>
      </c>
      <c r="F220" s="4">
        <v>112.46</v>
      </c>
      <c r="G220" t="s">
        <v>66</v>
      </c>
      <c r="H220" t="s">
        <v>25</v>
      </c>
      <c r="I220">
        <v>6</v>
      </c>
      <c r="J220" t="s">
        <v>27</v>
      </c>
      <c r="K220" t="s">
        <v>28</v>
      </c>
      <c r="L220" s="4">
        <v>337.38</v>
      </c>
      <c r="M220" t="str">
        <f>VLOOKUP(D220,tblProduct[],2,FALSE)</f>
        <v>Electronics</v>
      </c>
      <c r="N220" t="str">
        <f>VLOOKUP(D220,tblProduct[],3,FALSE)</f>
        <v>Medium</v>
      </c>
      <c r="O220">
        <f>VLOOKUP(D220,tblProduct[],4,FALSE)</f>
        <v>100000</v>
      </c>
      <c r="P220">
        <v>337.38</v>
      </c>
      <c r="Q220" s="19" t="str">
        <f t="shared" si="3"/>
        <v>Apr-2023</v>
      </c>
      <c r="R220" s="26">
        <f>DATE(YEAR(tblEnriched[[#This Row],[Date]]),MONTH(tblEnriched[[#This Row],[Date]]),1)</f>
        <v>45017</v>
      </c>
    </row>
    <row r="221" spans="1:18">
      <c r="A221" t="s">
        <v>892</v>
      </c>
      <c r="B221" s="10">
        <v>45779</v>
      </c>
      <c r="C221" t="s">
        <v>893</v>
      </c>
      <c r="D221" t="s">
        <v>64</v>
      </c>
      <c r="E221">
        <v>5</v>
      </c>
      <c r="F221" s="4">
        <v>61.97</v>
      </c>
      <c r="G221" t="s">
        <v>71</v>
      </c>
      <c r="H221" t="s">
        <v>56</v>
      </c>
      <c r="I221">
        <v>6</v>
      </c>
      <c r="J221" t="s">
        <v>27</v>
      </c>
      <c r="K221" t="s">
        <v>44</v>
      </c>
      <c r="L221" s="4">
        <v>309.85000000000002</v>
      </c>
      <c r="M221" t="str">
        <f>VLOOKUP(D221,tblProduct[],2,FALSE)</f>
        <v>Electronics</v>
      </c>
      <c r="N221" t="str">
        <f>VLOOKUP(D221,tblProduct[],3,FALSE)</f>
        <v>High</v>
      </c>
      <c r="O221">
        <f>VLOOKUP(D221,tblProduct[],4,FALSE)</f>
        <v>150000</v>
      </c>
      <c r="P221">
        <v>309.85000000000002</v>
      </c>
      <c r="Q221" s="19" t="str">
        <f t="shared" si="3"/>
        <v>May-2025</v>
      </c>
      <c r="R221" s="26">
        <f>DATE(YEAR(tblEnriched[[#This Row],[Date]]),MONTH(tblEnriched[[#This Row],[Date]]),1)</f>
        <v>45778</v>
      </c>
    </row>
    <row r="222" spans="1:18">
      <c r="A222" t="s">
        <v>896</v>
      </c>
      <c r="B222" s="10">
        <v>45125</v>
      </c>
      <c r="C222" t="s">
        <v>897</v>
      </c>
      <c r="D222" t="s">
        <v>64</v>
      </c>
      <c r="E222">
        <v>2</v>
      </c>
      <c r="F222" s="4">
        <v>373.17</v>
      </c>
      <c r="G222" t="s">
        <v>40</v>
      </c>
      <c r="H222" t="s">
        <v>95</v>
      </c>
      <c r="I222">
        <v>6</v>
      </c>
      <c r="J222" t="s">
        <v>27</v>
      </c>
      <c r="K222" t="s">
        <v>35</v>
      </c>
      <c r="L222" s="4">
        <v>746.34</v>
      </c>
      <c r="M222" t="str">
        <f>VLOOKUP(D222,tblProduct[],2,FALSE)</f>
        <v>Electronics</v>
      </c>
      <c r="N222" t="str">
        <f>VLOOKUP(D222,tblProduct[],3,FALSE)</f>
        <v>High</v>
      </c>
      <c r="O222">
        <f>VLOOKUP(D222,tblProduct[],4,FALSE)</f>
        <v>150000</v>
      </c>
      <c r="P222">
        <v>746.34</v>
      </c>
      <c r="Q222" s="19" t="str">
        <f t="shared" si="3"/>
        <v>Jul-2023</v>
      </c>
      <c r="R222" s="26">
        <f>DATE(YEAR(tblEnriched[[#This Row],[Date]]),MONTH(tblEnriched[[#This Row],[Date]]),1)</f>
        <v>45108</v>
      </c>
    </row>
    <row r="223" spans="1:18">
      <c r="A223" t="s">
        <v>900</v>
      </c>
      <c r="B223" s="10">
        <v>45345</v>
      </c>
      <c r="C223" t="s">
        <v>901</v>
      </c>
      <c r="D223" t="s">
        <v>38</v>
      </c>
      <c r="E223">
        <v>5</v>
      </c>
      <c r="F223" s="4">
        <v>639.37</v>
      </c>
      <c r="G223" t="s">
        <v>24</v>
      </c>
      <c r="H223" t="s">
        <v>95</v>
      </c>
      <c r="I223">
        <v>6</v>
      </c>
      <c r="J223" t="s">
        <v>27</v>
      </c>
      <c r="K223" t="s">
        <v>82</v>
      </c>
      <c r="L223" s="4">
        <v>3196.85</v>
      </c>
      <c r="M223" t="str">
        <f>VLOOKUP(D223,tblProduct[],2,FALSE)</f>
        <v>Electronics</v>
      </c>
      <c r="N223" t="str">
        <f>VLOOKUP(D223,tblProduct[],3,FALSE)</f>
        <v>Medium</v>
      </c>
      <c r="O223">
        <f>VLOOKUP(D223,tblProduct[],4,FALSE)</f>
        <v>100000</v>
      </c>
      <c r="P223">
        <v>3196.85</v>
      </c>
      <c r="Q223" s="19" t="str">
        <f t="shared" si="3"/>
        <v>Feb-2024</v>
      </c>
      <c r="R223" s="26">
        <f>DATE(YEAR(tblEnriched[[#This Row],[Date]]),MONTH(tblEnriched[[#This Row],[Date]]),1)</f>
        <v>45323</v>
      </c>
    </row>
    <row r="224" spans="1:18">
      <c r="A224" t="s">
        <v>903</v>
      </c>
      <c r="B224" s="10">
        <v>45050</v>
      </c>
      <c r="C224" t="s">
        <v>904</v>
      </c>
      <c r="D224" t="s">
        <v>47</v>
      </c>
      <c r="E224">
        <v>4</v>
      </c>
      <c r="F224" s="4">
        <v>693.36</v>
      </c>
      <c r="G224" t="s">
        <v>33</v>
      </c>
      <c r="H224" t="s">
        <v>25</v>
      </c>
      <c r="I224">
        <v>8</v>
      </c>
      <c r="K224" t="s">
        <v>28</v>
      </c>
      <c r="L224" s="4">
        <v>2773.44</v>
      </c>
      <c r="M224" t="str">
        <f>VLOOKUP(D224,tblProduct[],2,FALSE)</f>
        <v>Furniture</v>
      </c>
      <c r="N224" t="str">
        <f>VLOOKUP(D224,tblProduct[],3,FALSE)</f>
        <v>Medium</v>
      </c>
      <c r="O224">
        <f>VLOOKUP(D224,tblProduct[],4,FALSE)</f>
        <v>70000</v>
      </c>
      <c r="P224">
        <v>2773.44</v>
      </c>
      <c r="Q224" s="19" t="str">
        <f t="shared" si="3"/>
        <v>May-2023</v>
      </c>
      <c r="R224" s="26">
        <f>DATE(YEAR(tblEnriched[[#This Row],[Date]]),MONTH(tblEnriched[[#This Row],[Date]]),1)</f>
        <v>45047</v>
      </c>
    </row>
    <row r="225" spans="1:18">
      <c r="A225" t="s">
        <v>907</v>
      </c>
      <c r="B225" s="10">
        <v>45546</v>
      </c>
      <c r="C225" t="s">
        <v>908</v>
      </c>
      <c r="D225" t="s">
        <v>31</v>
      </c>
      <c r="E225">
        <v>4</v>
      </c>
      <c r="F225" s="4">
        <v>692.91</v>
      </c>
      <c r="G225" t="s">
        <v>40</v>
      </c>
      <c r="H225" t="s">
        <v>95</v>
      </c>
      <c r="I225">
        <v>9</v>
      </c>
      <c r="J225" t="s">
        <v>27</v>
      </c>
      <c r="K225" t="s">
        <v>28</v>
      </c>
      <c r="L225" s="4">
        <v>2771.64</v>
      </c>
      <c r="M225" t="str">
        <f>VLOOKUP(D225,tblProduct[],2,FALSE)</f>
        <v>Electronics</v>
      </c>
      <c r="N225" t="str">
        <f>VLOOKUP(D225,tblProduct[],3,FALSE)</f>
        <v>High</v>
      </c>
      <c r="O225">
        <f>VLOOKUP(D225,tblProduct[],4,FALSE)</f>
        <v>120000</v>
      </c>
      <c r="P225">
        <v>2771.64</v>
      </c>
      <c r="Q225" s="19" t="str">
        <f t="shared" si="3"/>
        <v>Sep-2024</v>
      </c>
      <c r="R225" s="26">
        <f>DATE(YEAR(tblEnriched[[#This Row],[Date]]),MONTH(tblEnriched[[#This Row],[Date]]),1)</f>
        <v>45536</v>
      </c>
    </row>
    <row r="226" spans="1:18">
      <c r="A226" t="s">
        <v>910</v>
      </c>
      <c r="B226" s="10">
        <v>45192</v>
      </c>
      <c r="C226" t="s">
        <v>911</v>
      </c>
      <c r="D226" t="s">
        <v>54</v>
      </c>
      <c r="E226">
        <v>4</v>
      </c>
      <c r="F226" s="4">
        <v>91.46</v>
      </c>
      <c r="G226" t="s">
        <v>71</v>
      </c>
      <c r="H226" t="s">
        <v>41</v>
      </c>
      <c r="I226">
        <v>9</v>
      </c>
      <c r="J226" t="s">
        <v>27</v>
      </c>
      <c r="K226" t="s">
        <v>35</v>
      </c>
      <c r="L226" s="4">
        <v>365.84</v>
      </c>
      <c r="M226" t="str">
        <f>VLOOKUP(D226,tblProduct[],2,FALSE)</f>
        <v>Electronics</v>
      </c>
      <c r="N226" t="str">
        <f>VLOOKUP(D226,tblProduct[],3,FALSE)</f>
        <v>Medium</v>
      </c>
      <c r="O226">
        <f>VLOOKUP(D226,tblProduct[],4,FALSE)</f>
        <v>80000</v>
      </c>
      <c r="P226">
        <v>365.84</v>
      </c>
      <c r="Q226" s="19" t="str">
        <f t="shared" si="3"/>
        <v>Sep-2023</v>
      </c>
      <c r="R226" s="26">
        <f>DATE(YEAR(tblEnriched[[#This Row],[Date]]),MONTH(tblEnriched[[#This Row],[Date]]),1)</f>
        <v>45170</v>
      </c>
    </row>
    <row r="227" spans="1:18">
      <c r="A227" t="s">
        <v>914</v>
      </c>
      <c r="B227" s="10">
        <v>45364</v>
      </c>
      <c r="C227" t="s">
        <v>915</v>
      </c>
      <c r="D227" t="s">
        <v>31</v>
      </c>
      <c r="E227">
        <v>3</v>
      </c>
      <c r="F227" s="4">
        <v>273.95999999999998</v>
      </c>
      <c r="G227" t="s">
        <v>24</v>
      </c>
      <c r="H227" t="s">
        <v>49</v>
      </c>
      <c r="I227">
        <v>8</v>
      </c>
      <c r="J227" t="s">
        <v>27</v>
      </c>
      <c r="K227" t="s">
        <v>82</v>
      </c>
      <c r="L227" s="4">
        <v>821.87999999999988</v>
      </c>
      <c r="M227" t="str">
        <f>VLOOKUP(D227,tblProduct[],2,FALSE)</f>
        <v>Electronics</v>
      </c>
      <c r="N227" t="str">
        <f>VLOOKUP(D227,tblProduct[],3,FALSE)</f>
        <v>High</v>
      </c>
      <c r="O227">
        <f>VLOOKUP(D227,tblProduct[],4,FALSE)</f>
        <v>120000</v>
      </c>
      <c r="P227">
        <v>821.87999999999988</v>
      </c>
      <c r="Q227" s="19" t="str">
        <f t="shared" si="3"/>
        <v>Mar-2024</v>
      </c>
      <c r="R227" s="26">
        <f>DATE(YEAR(tblEnriched[[#This Row],[Date]]),MONTH(tblEnriched[[#This Row],[Date]]),1)</f>
        <v>45352</v>
      </c>
    </row>
    <row r="228" spans="1:18">
      <c r="A228" t="s">
        <v>918</v>
      </c>
      <c r="B228" s="10">
        <v>45835</v>
      </c>
      <c r="C228" t="s">
        <v>919</v>
      </c>
      <c r="D228" t="s">
        <v>79</v>
      </c>
      <c r="E228">
        <v>3</v>
      </c>
      <c r="F228" s="4">
        <v>588.04999999999995</v>
      </c>
      <c r="G228" t="s">
        <v>66</v>
      </c>
      <c r="H228" t="s">
        <v>56</v>
      </c>
      <c r="I228">
        <v>8</v>
      </c>
      <c r="K228" t="s">
        <v>28</v>
      </c>
      <c r="L228" s="4">
        <v>1764.15</v>
      </c>
      <c r="M228" t="str">
        <f>VLOOKUP(D228,tblProduct[],2,FALSE)</f>
        <v>Furniture</v>
      </c>
      <c r="N228" t="str">
        <f>VLOOKUP(D228,tblProduct[],3,FALSE)</f>
        <v>High</v>
      </c>
      <c r="O228">
        <f>VLOOKUP(D228,tblProduct[],4,FALSE)</f>
        <v>75000</v>
      </c>
      <c r="P228">
        <v>1764.15</v>
      </c>
      <c r="Q228" s="19" t="str">
        <f t="shared" si="3"/>
        <v>Jun-2025</v>
      </c>
      <c r="R228" s="26">
        <f>DATE(YEAR(tblEnriched[[#This Row],[Date]]),MONTH(tblEnriched[[#This Row],[Date]]),1)</f>
        <v>45809</v>
      </c>
    </row>
    <row r="229" spans="1:18">
      <c r="A229" t="s">
        <v>922</v>
      </c>
      <c r="B229" s="10">
        <v>45232</v>
      </c>
      <c r="C229" t="s">
        <v>923</v>
      </c>
      <c r="D229" t="s">
        <v>22</v>
      </c>
      <c r="E229">
        <v>2</v>
      </c>
      <c r="F229" s="4">
        <v>365.17</v>
      </c>
      <c r="G229" t="s">
        <v>33</v>
      </c>
      <c r="H229" t="s">
        <v>41</v>
      </c>
      <c r="I229">
        <v>4</v>
      </c>
      <c r="J229" t="s">
        <v>43</v>
      </c>
      <c r="K229" t="s">
        <v>51</v>
      </c>
      <c r="L229" s="4">
        <v>730.34</v>
      </c>
      <c r="M229" t="str">
        <f>VLOOKUP(D229,tblProduct[],2,FALSE)</f>
        <v>Electronics</v>
      </c>
      <c r="N229" t="str">
        <f>VLOOKUP(D229,tblProduct[],3,FALSE)</f>
        <v>Medium</v>
      </c>
      <c r="O229">
        <f>VLOOKUP(D229,tblProduct[],4,FALSE)</f>
        <v>90000</v>
      </c>
      <c r="P229">
        <v>730.34</v>
      </c>
      <c r="Q229" s="19" t="str">
        <f t="shared" si="3"/>
        <v>Nov-2023</v>
      </c>
      <c r="R229" s="26">
        <f>DATE(YEAR(tblEnriched[[#This Row],[Date]]),MONTH(tblEnriched[[#This Row],[Date]]),1)</f>
        <v>45231</v>
      </c>
    </row>
    <row r="230" spans="1:18">
      <c r="A230" t="s">
        <v>925</v>
      </c>
      <c r="B230" s="10">
        <v>45063</v>
      </c>
      <c r="C230" t="s">
        <v>926</v>
      </c>
      <c r="D230" t="s">
        <v>47</v>
      </c>
      <c r="E230">
        <v>4</v>
      </c>
      <c r="F230" s="4">
        <v>385.92</v>
      </c>
      <c r="G230" t="s">
        <v>40</v>
      </c>
      <c r="H230" t="s">
        <v>41</v>
      </c>
      <c r="I230">
        <v>8</v>
      </c>
      <c r="K230" t="s">
        <v>28</v>
      </c>
      <c r="L230" s="4">
        <v>1543.68</v>
      </c>
      <c r="M230" t="str">
        <f>VLOOKUP(D230,tblProduct[],2,FALSE)</f>
        <v>Furniture</v>
      </c>
      <c r="N230" t="str">
        <f>VLOOKUP(D230,tblProduct[],3,FALSE)</f>
        <v>Medium</v>
      </c>
      <c r="O230">
        <f>VLOOKUP(D230,tblProduct[],4,FALSE)</f>
        <v>70000</v>
      </c>
      <c r="P230">
        <v>1543.68</v>
      </c>
      <c r="Q230" s="19" t="str">
        <f t="shared" si="3"/>
        <v>May-2023</v>
      </c>
      <c r="R230" s="26">
        <f>DATE(YEAR(tblEnriched[[#This Row],[Date]]),MONTH(tblEnriched[[#This Row],[Date]]),1)</f>
        <v>45047</v>
      </c>
    </row>
    <row r="231" spans="1:18">
      <c r="A231" t="s">
        <v>929</v>
      </c>
      <c r="B231" s="10">
        <v>45744</v>
      </c>
      <c r="C231" t="s">
        <v>930</v>
      </c>
      <c r="D231" t="s">
        <v>38</v>
      </c>
      <c r="E231">
        <v>1</v>
      </c>
      <c r="F231" s="4">
        <v>562.61</v>
      </c>
      <c r="G231" t="s">
        <v>40</v>
      </c>
      <c r="H231" t="s">
        <v>56</v>
      </c>
      <c r="I231">
        <v>3</v>
      </c>
      <c r="J231" t="s">
        <v>87</v>
      </c>
      <c r="K231" t="s">
        <v>51</v>
      </c>
      <c r="L231" s="4">
        <v>562.61</v>
      </c>
      <c r="M231" t="str">
        <f>VLOOKUP(D231,tblProduct[],2,FALSE)</f>
        <v>Electronics</v>
      </c>
      <c r="N231" t="str">
        <f>VLOOKUP(D231,tblProduct[],3,FALSE)</f>
        <v>Medium</v>
      </c>
      <c r="O231">
        <f>VLOOKUP(D231,tblProduct[],4,FALSE)</f>
        <v>100000</v>
      </c>
      <c r="P231">
        <v>562.61</v>
      </c>
      <c r="Q231" s="19" t="str">
        <f t="shared" si="3"/>
        <v>Mar-2025</v>
      </c>
      <c r="R231" s="26">
        <f>DATE(YEAR(tblEnriched[[#This Row],[Date]]),MONTH(tblEnriched[[#This Row],[Date]]),1)</f>
        <v>45717</v>
      </c>
    </row>
    <row r="232" spans="1:18">
      <c r="A232" t="s">
        <v>933</v>
      </c>
      <c r="B232" s="10">
        <v>45276</v>
      </c>
      <c r="C232" t="s">
        <v>934</v>
      </c>
      <c r="D232" t="s">
        <v>79</v>
      </c>
      <c r="E232">
        <v>4</v>
      </c>
      <c r="F232" s="4">
        <v>61.91</v>
      </c>
      <c r="G232" t="s">
        <v>66</v>
      </c>
      <c r="H232" t="s">
        <v>56</v>
      </c>
      <c r="I232">
        <v>6</v>
      </c>
      <c r="J232" t="s">
        <v>87</v>
      </c>
      <c r="K232" t="s">
        <v>44</v>
      </c>
      <c r="L232" s="4">
        <v>247.64</v>
      </c>
      <c r="M232" t="str">
        <f>VLOOKUP(D232,tblProduct[],2,FALSE)</f>
        <v>Furniture</v>
      </c>
      <c r="N232" t="str">
        <f>VLOOKUP(D232,tblProduct[],3,FALSE)</f>
        <v>High</v>
      </c>
      <c r="O232">
        <f>VLOOKUP(D232,tblProduct[],4,FALSE)</f>
        <v>75000</v>
      </c>
      <c r="P232">
        <v>247.64</v>
      </c>
      <c r="Q232" s="19" t="str">
        <f t="shared" si="3"/>
        <v>Dec-2023</v>
      </c>
      <c r="R232" s="26">
        <f>DATE(YEAR(tblEnriched[[#This Row],[Date]]),MONTH(tblEnriched[[#This Row],[Date]]),1)</f>
        <v>45261</v>
      </c>
    </row>
    <row r="233" spans="1:18">
      <c r="A233" t="s">
        <v>937</v>
      </c>
      <c r="B233" s="10">
        <v>45235</v>
      </c>
      <c r="C233" t="s">
        <v>938</v>
      </c>
      <c r="D233" t="s">
        <v>31</v>
      </c>
      <c r="E233">
        <v>4</v>
      </c>
      <c r="F233" s="4">
        <v>41.9</v>
      </c>
      <c r="G233" t="s">
        <v>66</v>
      </c>
      <c r="H233" t="s">
        <v>95</v>
      </c>
      <c r="I233">
        <v>9</v>
      </c>
      <c r="J233" t="s">
        <v>43</v>
      </c>
      <c r="K233" t="s">
        <v>28</v>
      </c>
      <c r="L233" s="4">
        <v>167.6</v>
      </c>
      <c r="M233" t="str">
        <f>VLOOKUP(D233,tblProduct[],2,FALSE)</f>
        <v>Electronics</v>
      </c>
      <c r="N233" t="str">
        <f>VLOOKUP(D233,tblProduct[],3,FALSE)</f>
        <v>High</v>
      </c>
      <c r="O233">
        <f>VLOOKUP(D233,tblProduct[],4,FALSE)</f>
        <v>120000</v>
      </c>
      <c r="P233">
        <v>167.6</v>
      </c>
      <c r="Q233" s="19" t="str">
        <f t="shared" si="3"/>
        <v>Nov-2023</v>
      </c>
      <c r="R233" s="26">
        <f>DATE(YEAR(tblEnriched[[#This Row],[Date]]),MONTH(tblEnriched[[#This Row],[Date]]),1)</f>
        <v>45231</v>
      </c>
    </row>
    <row r="234" spans="1:18">
      <c r="A234" t="s">
        <v>941</v>
      </c>
      <c r="B234" s="10">
        <v>45065</v>
      </c>
      <c r="C234" t="s">
        <v>942</v>
      </c>
      <c r="D234" t="s">
        <v>54</v>
      </c>
      <c r="E234">
        <v>4</v>
      </c>
      <c r="F234" s="4">
        <v>444.44</v>
      </c>
      <c r="G234" t="s">
        <v>24</v>
      </c>
      <c r="H234" t="s">
        <v>41</v>
      </c>
      <c r="I234">
        <v>8</v>
      </c>
      <c r="J234" t="s">
        <v>87</v>
      </c>
      <c r="K234" t="s">
        <v>82</v>
      </c>
      <c r="L234" s="4">
        <v>1777.76</v>
      </c>
      <c r="M234" t="str">
        <f>VLOOKUP(D234,tblProduct[],2,FALSE)</f>
        <v>Electronics</v>
      </c>
      <c r="N234" t="str">
        <f>VLOOKUP(D234,tblProduct[],3,FALSE)</f>
        <v>Medium</v>
      </c>
      <c r="O234">
        <f>VLOOKUP(D234,tblProduct[],4,FALSE)</f>
        <v>80000</v>
      </c>
      <c r="P234">
        <v>1777.76</v>
      </c>
      <c r="Q234" s="19" t="str">
        <f t="shared" si="3"/>
        <v>May-2023</v>
      </c>
      <c r="R234" s="26">
        <f>DATE(YEAR(tblEnriched[[#This Row],[Date]]),MONTH(tblEnriched[[#This Row],[Date]]),1)</f>
        <v>45047</v>
      </c>
    </row>
    <row r="235" spans="1:18">
      <c r="A235" t="s">
        <v>945</v>
      </c>
      <c r="B235" s="10">
        <v>45528</v>
      </c>
      <c r="C235" t="s">
        <v>946</v>
      </c>
      <c r="D235" t="s">
        <v>31</v>
      </c>
      <c r="E235">
        <v>3</v>
      </c>
      <c r="F235" s="4">
        <v>311.33</v>
      </c>
      <c r="G235" t="s">
        <v>71</v>
      </c>
      <c r="H235" t="s">
        <v>41</v>
      </c>
      <c r="I235">
        <v>3</v>
      </c>
      <c r="J235" t="s">
        <v>87</v>
      </c>
      <c r="K235" t="s">
        <v>28</v>
      </c>
      <c r="L235" s="4">
        <v>933.99</v>
      </c>
      <c r="M235" t="str">
        <f>VLOOKUP(D235,tblProduct[],2,FALSE)</f>
        <v>Electronics</v>
      </c>
      <c r="N235" t="str">
        <f>VLOOKUP(D235,tblProduct[],3,FALSE)</f>
        <v>High</v>
      </c>
      <c r="O235">
        <f>VLOOKUP(D235,tblProduct[],4,FALSE)</f>
        <v>120000</v>
      </c>
      <c r="P235">
        <v>933.99</v>
      </c>
      <c r="Q235" s="19" t="str">
        <f t="shared" si="3"/>
        <v>Aug-2024</v>
      </c>
      <c r="R235" s="26">
        <f>DATE(YEAR(tblEnriched[[#This Row],[Date]]),MONTH(tblEnriched[[#This Row],[Date]]),1)</f>
        <v>45505</v>
      </c>
    </row>
    <row r="236" spans="1:18">
      <c r="A236" t="s">
        <v>948</v>
      </c>
      <c r="B236" s="10">
        <v>45622</v>
      </c>
      <c r="C236" t="s">
        <v>949</v>
      </c>
      <c r="D236" t="s">
        <v>54</v>
      </c>
      <c r="E236">
        <v>4</v>
      </c>
      <c r="F236" s="4">
        <v>236.41</v>
      </c>
      <c r="G236" t="s">
        <v>24</v>
      </c>
      <c r="H236" t="s">
        <v>95</v>
      </c>
      <c r="I236">
        <v>7</v>
      </c>
      <c r="J236" t="s">
        <v>27</v>
      </c>
      <c r="K236" t="s">
        <v>82</v>
      </c>
      <c r="L236" s="4">
        <v>945.64</v>
      </c>
      <c r="M236" t="str">
        <f>VLOOKUP(D236,tblProduct[],2,FALSE)</f>
        <v>Electronics</v>
      </c>
      <c r="N236" t="str">
        <f>VLOOKUP(D236,tblProduct[],3,FALSE)</f>
        <v>Medium</v>
      </c>
      <c r="O236">
        <f>VLOOKUP(D236,tblProduct[],4,FALSE)</f>
        <v>80000</v>
      </c>
      <c r="P236">
        <v>945.64</v>
      </c>
      <c r="Q236" s="19" t="str">
        <f t="shared" si="3"/>
        <v>Nov-2024</v>
      </c>
      <c r="R236" s="26">
        <f>DATE(YEAR(tblEnriched[[#This Row],[Date]]),MONTH(tblEnriched[[#This Row],[Date]]),1)</f>
        <v>45597</v>
      </c>
    </row>
    <row r="237" spans="1:18">
      <c r="A237" t="s">
        <v>952</v>
      </c>
      <c r="B237" s="10">
        <v>44977</v>
      </c>
      <c r="C237" t="s">
        <v>953</v>
      </c>
      <c r="D237" t="s">
        <v>79</v>
      </c>
      <c r="E237">
        <v>1</v>
      </c>
      <c r="F237" s="4">
        <v>65.45</v>
      </c>
      <c r="G237" t="s">
        <v>71</v>
      </c>
      <c r="H237" t="s">
        <v>95</v>
      </c>
      <c r="I237">
        <v>2</v>
      </c>
      <c r="J237" t="s">
        <v>87</v>
      </c>
      <c r="K237" t="s">
        <v>82</v>
      </c>
      <c r="L237" s="4">
        <v>65.45</v>
      </c>
      <c r="M237" t="str">
        <f>VLOOKUP(D237,tblProduct[],2,FALSE)</f>
        <v>Furniture</v>
      </c>
      <c r="N237" t="str">
        <f>VLOOKUP(D237,tblProduct[],3,FALSE)</f>
        <v>High</v>
      </c>
      <c r="O237">
        <f>VLOOKUP(D237,tblProduct[],4,FALSE)</f>
        <v>75000</v>
      </c>
      <c r="P237">
        <v>65.45</v>
      </c>
      <c r="Q237" s="19" t="str">
        <f t="shared" si="3"/>
        <v>Feb-2023</v>
      </c>
      <c r="R237" s="26">
        <f>DATE(YEAR(tblEnriched[[#This Row],[Date]]),MONTH(tblEnriched[[#This Row],[Date]]),1)</f>
        <v>44958</v>
      </c>
    </row>
    <row r="238" spans="1:18">
      <c r="A238" t="s">
        <v>956</v>
      </c>
      <c r="B238" s="10">
        <v>44927</v>
      </c>
      <c r="C238" t="s">
        <v>957</v>
      </c>
      <c r="D238" t="s">
        <v>22</v>
      </c>
      <c r="E238">
        <v>1</v>
      </c>
      <c r="F238" s="4">
        <v>318.81</v>
      </c>
      <c r="G238" t="s">
        <v>24</v>
      </c>
      <c r="H238" t="s">
        <v>95</v>
      </c>
      <c r="I238">
        <v>3</v>
      </c>
      <c r="J238" t="s">
        <v>87</v>
      </c>
      <c r="K238" t="s">
        <v>44</v>
      </c>
      <c r="L238" s="4">
        <v>318.81</v>
      </c>
      <c r="M238" t="str">
        <f>VLOOKUP(D238,tblProduct[],2,FALSE)</f>
        <v>Electronics</v>
      </c>
      <c r="N238" t="str">
        <f>VLOOKUP(D238,tblProduct[],3,FALSE)</f>
        <v>Medium</v>
      </c>
      <c r="O238">
        <f>VLOOKUP(D238,tblProduct[],4,FALSE)</f>
        <v>90000</v>
      </c>
      <c r="P238">
        <v>318.81</v>
      </c>
      <c r="Q238" s="19" t="str">
        <f t="shared" si="3"/>
        <v>Jan-2023</v>
      </c>
      <c r="R238" s="26">
        <f>DATE(YEAR(tblEnriched[[#This Row],[Date]]),MONTH(tblEnriched[[#This Row],[Date]]),1)</f>
        <v>44927</v>
      </c>
    </row>
    <row r="239" spans="1:18">
      <c r="A239" t="s">
        <v>960</v>
      </c>
      <c r="B239" s="10">
        <v>45365</v>
      </c>
      <c r="C239" t="s">
        <v>961</v>
      </c>
      <c r="D239" t="s">
        <v>22</v>
      </c>
      <c r="E239">
        <v>3</v>
      </c>
      <c r="F239" s="4">
        <v>583.72</v>
      </c>
      <c r="G239" t="s">
        <v>40</v>
      </c>
      <c r="H239" t="s">
        <v>25</v>
      </c>
      <c r="I239">
        <v>5</v>
      </c>
      <c r="J239" t="s">
        <v>43</v>
      </c>
      <c r="K239" t="s">
        <v>51</v>
      </c>
      <c r="L239" s="4">
        <v>1751.16</v>
      </c>
      <c r="M239" t="str">
        <f>VLOOKUP(D239,tblProduct[],2,FALSE)</f>
        <v>Electronics</v>
      </c>
      <c r="N239" t="str">
        <f>VLOOKUP(D239,tblProduct[],3,FALSE)</f>
        <v>Medium</v>
      </c>
      <c r="O239">
        <f>VLOOKUP(D239,tblProduct[],4,FALSE)</f>
        <v>90000</v>
      </c>
      <c r="P239">
        <v>1751.16</v>
      </c>
      <c r="Q239" s="19" t="str">
        <f t="shared" si="3"/>
        <v>Mar-2024</v>
      </c>
      <c r="R239" s="26">
        <f>DATE(YEAR(tblEnriched[[#This Row],[Date]]),MONTH(tblEnriched[[#This Row],[Date]]),1)</f>
        <v>45352</v>
      </c>
    </row>
    <row r="240" spans="1:18">
      <c r="A240" t="s">
        <v>964</v>
      </c>
      <c r="B240" s="10">
        <v>45639</v>
      </c>
      <c r="C240" t="s">
        <v>965</v>
      </c>
      <c r="D240" t="s">
        <v>79</v>
      </c>
      <c r="E240">
        <v>4</v>
      </c>
      <c r="F240" s="4">
        <v>384.32</v>
      </c>
      <c r="G240" t="s">
        <v>40</v>
      </c>
      <c r="H240" t="s">
        <v>95</v>
      </c>
      <c r="I240">
        <v>6</v>
      </c>
      <c r="J240" t="s">
        <v>87</v>
      </c>
      <c r="K240" t="s">
        <v>82</v>
      </c>
      <c r="L240" s="4">
        <v>1537.28</v>
      </c>
      <c r="M240" t="str">
        <f>VLOOKUP(D240,tblProduct[],2,FALSE)</f>
        <v>Furniture</v>
      </c>
      <c r="N240" t="str">
        <f>VLOOKUP(D240,tblProduct[],3,FALSE)</f>
        <v>High</v>
      </c>
      <c r="O240">
        <f>VLOOKUP(D240,tblProduct[],4,FALSE)</f>
        <v>75000</v>
      </c>
      <c r="P240">
        <v>1537.28</v>
      </c>
      <c r="Q240" s="19" t="str">
        <f t="shared" si="3"/>
        <v>Dec-2024</v>
      </c>
      <c r="R240" s="26">
        <f>DATE(YEAR(tblEnriched[[#This Row],[Date]]),MONTH(tblEnriched[[#This Row],[Date]]),1)</f>
        <v>45627</v>
      </c>
    </row>
    <row r="241" spans="1:18">
      <c r="A241" t="s">
        <v>968</v>
      </c>
      <c r="B241" s="10">
        <v>45637</v>
      </c>
      <c r="C241" t="s">
        <v>969</v>
      </c>
      <c r="D241" t="s">
        <v>38</v>
      </c>
      <c r="E241">
        <v>3</v>
      </c>
      <c r="F241" s="4">
        <v>538.74</v>
      </c>
      <c r="G241" t="s">
        <v>33</v>
      </c>
      <c r="H241" t="s">
        <v>25</v>
      </c>
      <c r="I241">
        <v>6</v>
      </c>
      <c r="J241" t="s">
        <v>43</v>
      </c>
      <c r="K241" t="s">
        <v>44</v>
      </c>
      <c r="L241" s="4">
        <v>1616.22</v>
      </c>
      <c r="M241" t="str">
        <f>VLOOKUP(D241,tblProduct[],2,FALSE)</f>
        <v>Electronics</v>
      </c>
      <c r="N241" t="str">
        <f>VLOOKUP(D241,tblProduct[],3,FALSE)</f>
        <v>Medium</v>
      </c>
      <c r="O241">
        <f>VLOOKUP(D241,tblProduct[],4,FALSE)</f>
        <v>100000</v>
      </c>
      <c r="P241">
        <v>1616.22</v>
      </c>
      <c r="Q241" s="19" t="str">
        <f t="shared" si="3"/>
        <v>Dec-2024</v>
      </c>
      <c r="R241" s="26">
        <f>DATE(YEAR(tblEnriched[[#This Row],[Date]]),MONTH(tblEnriched[[#This Row],[Date]]),1)</f>
        <v>45627</v>
      </c>
    </row>
    <row r="242" spans="1:18">
      <c r="A242" t="s">
        <v>972</v>
      </c>
      <c r="B242" s="10">
        <v>45119</v>
      </c>
      <c r="C242" t="s">
        <v>973</v>
      </c>
      <c r="D242" t="s">
        <v>38</v>
      </c>
      <c r="E242">
        <v>1</v>
      </c>
      <c r="F242" s="4">
        <v>17.239999999999998</v>
      </c>
      <c r="G242" t="s">
        <v>33</v>
      </c>
      <c r="H242" t="s">
        <v>95</v>
      </c>
      <c r="I242">
        <v>2</v>
      </c>
      <c r="J242" t="s">
        <v>43</v>
      </c>
      <c r="K242" t="s">
        <v>28</v>
      </c>
      <c r="L242" s="4">
        <v>17.239999999999998</v>
      </c>
      <c r="M242" t="str">
        <f>VLOOKUP(D242,tblProduct[],2,FALSE)</f>
        <v>Electronics</v>
      </c>
      <c r="N242" t="str">
        <f>VLOOKUP(D242,tblProduct[],3,FALSE)</f>
        <v>Medium</v>
      </c>
      <c r="O242">
        <f>VLOOKUP(D242,tblProduct[],4,FALSE)</f>
        <v>100000</v>
      </c>
      <c r="P242">
        <v>17.239999999999998</v>
      </c>
      <c r="Q242" s="19" t="str">
        <f t="shared" si="3"/>
        <v>Jul-2023</v>
      </c>
      <c r="R242" s="26">
        <f>DATE(YEAR(tblEnriched[[#This Row],[Date]]),MONTH(tblEnriched[[#This Row],[Date]]),1)</f>
        <v>45108</v>
      </c>
    </row>
    <row r="243" spans="1:18">
      <c r="A243" t="s">
        <v>976</v>
      </c>
      <c r="B243" s="10">
        <v>45062</v>
      </c>
      <c r="C243" t="s">
        <v>977</v>
      </c>
      <c r="D243" t="s">
        <v>47</v>
      </c>
      <c r="E243">
        <v>5</v>
      </c>
      <c r="F243" s="4">
        <v>615.66999999999996</v>
      </c>
      <c r="G243" t="s">
        <v>33</v>
      </c>
      <c r="H243" t="s">
        <v>95</v>
      </c>
      <c r="I243">
        <v>6</v>
      </c>
      <c r="J243" t="s">
        <v>27</v>
      </c>
      <c r="K243" t="s">
        <v>44</v>
      </c>
      <c r="L243" s="4">
        <v>3078.35</v>
      </c>
      <c r="M243" t="str">
        <f>VLOOKUP(D243,tblProduct[],2,FALSE)</f>
        <v>Furniture</v>
      </c>
      <c r="N243" t="str">
        <f>VLOOKUP(D243,tblProduct[],3,FALSE)</f>
        <v>Medium</v>
      </c>
      <c r="O243">
        <f>VLOOKUP(D243,tblProduct[],4,FALSE)</f>
        <v>70000</v>
      </c>
      <c r="P243">
        <v>3078.35</v>
      </c>
      <c r="Q243" s="19" t="str">
        <f t="shared" si="3"/>
        <v>May-2023</v>
      </c>
      <c r="R243" s="26">
        <f>DATE(YEAR(tblEnriched[[#This Row],[Date]]),MONTH(tblEnriched[[#This Row],[Date]]),1)</f>
        <v>45047</v>
      </c>
    </row>
    <row r="244" spans="1:18">
      <c r="A244" t="s">
        <v>980</v>
      </c>
      <c r="B244" s="10">
        <v>45055</v>
      </c>
      <c r="C244" t="s">
        <v>981</v>
      </c>
      <c r="D244" t="s">
        <v>54</v>
      </c>
      <c r="E244">
        <v>2</v>
      </c>
      <c r="F244" s="4">
        <v>219.1</v>
      </c>
      <c r="G244" t="s">
        <v>33</v>
      </c>
      <c r="H244" t="s">
        <v>95</v>
      </c>
      <c r="I244">
        <v>4</v>
      </c>
      <c r="J244" t="s">
        <v>27</v>
      </c>
      <c r="K244" t="s">
        <v>35</v>
      </c>
      <c r="L244" s="4">
        <v>438.2</v>
      </c>
      <c r="M244" t="str">
        <f>VLOOKUP(D244,tblProduct[],2,FALSE)</f>
        <v>Electronics</v>
      </c>
      <c r="N244" t="str">
        <f>VLOOKUP(D244,tblProduct[],3,FALSE)</f>
        <v>Medium</v>
      </c>
      <c r="O244">
        <f>VLOOKUP(D244,tblProduct[],4,FALSE)</f>
        <v>80000</v>
      </c>
      <c r="P244">
        <v>438.2</v>
      </c>
      <c r="Q244" s="19" t="str">
        <f t="shared" si="3"/>
        <v>May-2023</v>
      </c>
      <c r="R244" s="26">
        <f>DATE(YEAR(tblEnriched[[#This Row],[Date]]),MONTH(tblEnriched[[#This Row],[Date]]),1)</f>
        <v>45047</v>
      </c>
    </row>
    <row r="245" spans="1:18">
      <c r="A245" t="s">
        <v>984</v>
      </c>
      <c r="B245" s="10">
        <v>45786</v>
      </c>
      <c r="C245" t="s">
        <v>985</v>
      </c>
      <c r="D245" t="s">
        <v>47</v>
      </c>
      <c r="E245">
        <v>2</v>
      </c>
      <c r="F245" s="4">
        <v>144.66</v>
      </c>
      <c r="G245" t="s">
        <v>33</v>
      </c>
      <c r="H245" t="s">
        <v>41</v>
      </c>
      <c r="I245">
        <v>7</v>
      </c>
      <c r="J245" t="s">
        <v>43</v>
      </c>
      <c r="K245" t="s">
        <v>82</v>
      </c>
      <c r="L245" s="4">
        <v>289.32</v>
      </c>
      <c r="M245" t="str">
        <f>VLOOKUP(D245,tblProduct[],2,FALSE)</f>
        <v>Furniture</v>
      </c>
      <c r="N245" t="str">
        <f>VLOOKUP(D245,tblProduct[],3,FALSE)</f>
        <v>Medium</v>
      </c>
      <c r="O245">
        <f>VLOOKUP(D245,tblProduct[],4,FALSE)</f>
        <v>70000</v>
      </c>
      <c r="P245">
        <v>289.32</v>
      </c>
      <c r="Q245" s="19" t="str">
        <f t="shared" si="3"/>
        <v>May-2025</v>
      </c>
      <c r="R245" s="26">
        <f>DATE(YEAR(tblEnriched[[#This Row],[Date]]),MONTH(tblEnriched[[#This Row],[Date]]),1)</f>
        <v>45778</v>
      </c>
    </row>
    <row r="246" spans="1:18">
      <c r="A246" t="s">
        <v>988</v>
      </c>
      <c r="B246" s="10">
        <v>44973</v>
      </c>
      <c r="C246" t="s">
        <v>989</v>
      </c>
      <c r="D246" t="s">
        <v>79</v>
      </c>
      <c r="E246">
        <v>2</v>
      </c>
      <c r="F246" s="4">
        <v>317.77</v>
      </c>
      <c r="G246" t="s">
        <v>24</v>
      </c>
      <c r="H246" t="s">
        <v>41</v>
      </c>
      <c r="I246">
        <v>4</v>
      </c>
      <c r="J246" t="s">
        <v>87</v>
      </c>
      <c r="K246" t="s">
        <v>51</v>
      </c>
      <c r="L246" s="4">
        <v>635.54</v>
      </c>
      <c r="M246" t="str">
        <f>VLOOKUP(D246,tblProduct[],2,FALSE)</f>
        <v>Furniture</v>
      </c>
      <c r="N246" t="str">
        <f>VLOOKUP(D246,tblProduct[],3,FALSE)</f>
        <v>High</v>
      </c>
      <c r="O246">
        <f>VLOOKUP(D246,tblProduct[],4,FALSE)</f>
        <v>75000</v>
      </c>
      <c r="P246">
        <v>635.54</v>
      </c>
      <c r="Q246" s="19" t="str">
        <f t="shared" si="3"/>
        <v>Feb-2023</v>
      </c>
      <c r="R246" s="26">
        <f>DATE(YEAR(tblEnriched[[#This Row],[Date]]),MONTH(tblEnriched[[#This Row],[Date]]),1)</f>
        <v>44958</v>
      </c>
    </row>
    <row r="247" spans="1:18">
      <c r="A247" t="s">
        <v>992</v>
      </c>
      <c r="B247" s="10">
        <v>45767</v>
      </c>
      <c r="C247" t="s">
        <v>993</v>
      </c>
      <c r="D247" t="s">
        <v>64</v>
      </c>
      <c r="E247">
        <v>1</v>
      </c>
      <c r="F247" s="4">
        <v>223.3</v>
      </c>
      <c r="G247" t="s">
        <v>33</v>
      </c>
      <c r="H247" t="s">
        <v>49</v>
      </c>
      <c r="I247">
        <v>1</v>
      </c>
      <c r="K247" t="s">
        <v>51</v>
      </c>
      <c r="L247" s="4">
        <v>223.3</v>
      </c>
      <c r="M247" t="str">
        <f>VLOOKUP(D247,tblProduct[],2,FALSE)</f>
        <v>Electronics</v>
      </c>
      <c r="N247" t="str">
        <f>VLOOKUP(D247,tblProduct[],3,FALSE)</f>
        <v>High</v>
      </c>
      <c r="O247">
        <f>VLOOKUP(D247,tblProduct[],4,FALSE)</f>
        <v>150000</v>
      </c>
      <c r="P247">
        <v>223.3</v>
      </c>
      <c r="Q247" s="19" t="str">
        <f t="shared" si="3"/>
        <v>Apr-2025</v>
      </c>
      <c r="R247" s="26">
        <f>DATE(YEAR(tblEnriched[[#This Row],[Date]]),MONTH(tblEnriched[[#This Row],[Date]]),1)</f>
        <v>45748</v>
      </c>
    </row>
    <row r="248" spans="1:18">
      <c r="A248" t="s">
        <v>996</v>
      </c>
      <c r="B248" s="10">
        <v>45534</v>
      </c>
      <c r="C248" t="s">
        <v>997</v>
      </c>
      <c r="D248" t="s">
        <v>79</v>
      </c>
      <c r="E248">
        <v>2</v>
      </c>
      <c r="F248" s="4">
        <v>342.11</v>
      </c>
      <c r="G248" t="s">
        <v>66</v>
      </c>
      <c r="H248" t="s">
        <v>25</v>
      </c>
      <c r="I248">
        <v>2</v>
      </c>
      <c r="J248" t="s">
        <v>87</v>
      </c>
      <c r="K248" t="s">
        <v>28</v>
      </c>
      <c r="L248" s="4">
        <v>684.22</v>
      </c>
      <c r="M248" t="str">
        <f>VLOOKUP(D248,tblProduct[],2,FALSE)</f>
        <v>Furniture</v>
      </c>
      <c r="N248" t="str">
        <f>VLOOKUP(D248,tblProduct[],3,FALSE)</f>
        <v>High</v>
      </c>
      <c r="O248">
        <f>VLOOKUP(D248,tblProduct[],4,FALSE)</f>
        <v>75000</v>
      </c>
      <c r="P248">
        <v>684.22</v>
      </c>
      <c r="Q248" s="19" t="str">
        <f t="shared" si="3"/>
        <v>Aug-2024</v>
      </c>
      <c r="R248" s="26">
        <f>DATE(YEAR(tblEnriched[[#This Row],[Date]]),MONTH(tblEnriched[[#This Row],[Date]]),1)</f>
        <v>45505</v>
      </c>
    </row>
    <row r="249" spans="1:18">
      <c r="A249" t="s">
        <v>1000</v>
      </c>
      <c r="B249" s="10">
        <v>45127</v>
      </c>
      <c r="C249" t="s">
        <v>1001</v>
      </c>
      <c r="D249" t="s">
        <v>54</v>
      </c>
      <c r="E249">
        <v>2</v>
      </c>
      <c r="F249" s="4">
        <v>220.9</v>
      </c>
      <c r="G249" t="s">
        <v>66</v>
      </c>
      <c r="H249" t="s">
        <v>25</v>
      </c>
      <c r="I249">
        <v>4</v>
      </c>
      <c r="K249" t="s">
        <v>44</v>
      </c>
      <c r="L249" s="4">
        <v>441.8</v>
      </c>
      <c r="M249" t="str">
        <f>VLOOKUP(D249,tblProduct[],2,FALSE)</f>
        <v>Electronics</v>
      </c>
      <c r="N249" t="str">
        <f>VLOOKUP(D249,tblProduct[],3,FALSE)</f>
        <v>Medium</v>
      </c>
      <c r="O249">
        <f>VLOOKUP(D249,tblProduct[],4,FALSE)</f>
        <v>80000</v>
      </c>
      <c r="P249">
        <v>441.8</v>
      </c>
      <c r="Q249" s="19" t="str">
        <f t="shared" si="3"/>
        <v>Jul-2023</v>
      </c>
      <c r="R249" s="26">
        <f>DATE(YEAR(tblEnriched[[#This Row],[Date]]),MONTH(tblEnriched[[#This Row],[Date]]),1)</f>
        <v>45108</v>
      </c>
    </row>
    <row r="250" spans="1:18">
      <c r="A250" t="s">
        <v>1004</v>
      </c>
      <c r="B250" s="10">
        <v>45109</v>
      </c>
      <c r="C250" t="s">
        <v>1005</v>
      </c>
      <c r="D250" t="s">
        <v>64</v>
      </c>
      <c r="E250">
        <v>1</v>
      </c>
      <c r="F250" s="4">
        <v>670.54</v>
      </c>
      <c r="G250" t="s">
        <v>71</v>
      </c>
      <c r="H250" t="s">
        <v>25</v>
      </c>
      <c r="I250">
        <v>6</v>
      </c>
      <c r="J250" t="s">
        <v>43</v>
      </c>
      <c r="K250" t="s">
        <v>35</v>
      </c>
      <c r="L250" s="4">
        <v>670.54</v>
      </c>
      <c r="M250" t="str">
        <f>VLOOKUP(D250,tblProduct[],2,FALSE)</f>
        <v>Electronics</v>
      </c>
      <c r="N250" t="str">
        <f>VLOOKUP(D250,tblProduct[],3,FALSE)</f>
        <v>High</v>
      </c>
      <c r="O250">
        <f>VLOOKUP(D250,tblProduct[],4,FALSE)</f>
        <v>150000</v>
      </c>
      <c r="P250">
        <v>670.54</v>
      </c>
      <c r="Q250" s="19" t="str">
        <f t="shared" si="3"/>
        <v>Jul-2023</v>
      </c>
      <c r="R250" s="26">
        <f>DATE(YEAR(tblEnriched[[#This Row],[Date]]),MONTH(tblEnriched[[#This Row],[Date]]),1)</f>
        <v>45108</v>
      </c>
    </row>
    <row r="251" spans="1:18">
      <c r="A251" t="s">
        <v>1008</v>
      </c>
      <c r="B251" s="10">
        <v>45329</v>
      </c>
      <c r="C251" t="s">
        <v>1009</v>
      </c>
      <c r="D251" t="s">
        <v>54</v>
      </c>
      <c r="E251">
        <v>1</v>
      </c>
      <c r="F251" s="4">
        <v>546.19000000000005</v>
      </c>
      <c r="G251" t="s">
        <v>71</v>
      </c>
      <c r="H251" t="s">
        <v>95</v>
      </c>
      <c r="I251">
        <v>5</v>
      </c>
      <c r="J251" t="s">
        <v>43</v>
      </c>
      <c r="K251" t="s">
        <v>35</v>
      </c>
      <c r="L251" s="4">
        <v>546.19000000000005</v>
      </c>
      <c r="M251" t="str">
        <f>VLOOKUP(D251,tblProduct[],2,FALSE)</f>
        <v>Electronics</v>
      </c>
      <c r="N251" t="str">
        <f>VLOOKUP(D251,tblProduct[],3,FALSE)</f>
        <v>Medium</v>
      </c>
      <c r="O251">
        <f>VLOOKUP(D251,tblProduct[],4,FALSE)</f>
        <v>80000</v>
      </c>
      <c r="P251">
        <v>546.19000000000005</v>
      </c>
      <c r="Q251" s="19" t="str">
        <f t="shared" si="3"/>
        <v>Feb-2024</v>
      </c>
      <c r="R251" s="26">
        <f>DATE(YEAR(tblEnriched[[#This Row],[Date]]),MONTH(tblEnriched[[#This Row],[Date]]),1)</f>
        <v>45323</v>
      </c>
    </row>
    <row r="252" spans="1:18">
      <c r="A252" t="s">
        <v>1012</v>
      </c>
      <c r="B252" s="10">
        <v>45021</v>
      </c>
      <c r="C252" t="s">
        <v>1013</v>
      </c>
      <c r="D252" t="s">
        <v>79</v>
      </c>
      <c r="E252">
        <v>3</v>
      </c>
      <c r="F252" s="4">
        <v>42.95</v>
      </c>
      <c r="G252" t="s">
        <v>66</v>
      </c>
      <c r="H252" t="s">
        <v>49</v>
      </c>
      <c r="I252">
        <v>8</v>
      </c>
      <c r="J252" t="s">
        <v>27</v>
      </c>
      <c r="K252" t="s">
        <v>44</v>
      </c>
      <c r="L252" s="4">
        <v>128.85</v>
      </c>
      <c r="M252" t="str">
        <f>VLOOKUP(D252,tblProduct[],2,FALSE)</f>
        <v>Furniture</v>
      </c>
      <c r="N252" t="str">
        <f>VLOOKUP(D252,tblProduct[],3,FALSE)</f>
        <v>High</v>
      </c>
      <c r="O252">
        <f>VLOOKUP(D252,tblProduct[],4,FALSE)</f>
        <v>75000</v>
      </c>
      <c r="P252">
        <v>128.85</v>
      </c>
      <c r="Q252" s="19" t="str">
        <f t="shared" si="3"/>
        <v>Apr-2023</v>
      </c>
      <c r="R252" s="26">
        <f>DATE(YEAR(tblEnriched[[#This Row],[Date]]),MONTH(tblEnriched[[#This Row],[Date]]),1)</f>
        <v>45017</v>
      </c>
    </row>
    <row r="253" spans="1:18">
      <c r="A253" t="s">
        <v>1015</v>
      </c>
      <c r="B253" s="10">
        <v>45792</v>
      </c>
      <c r="C253" t="s">
        <v>1016</v>
      </c>
      <c r="D253" t="s">
        <v>22</v>
      </c>
      <c r="E253">
        <v>4</v>
      </c>
      <c r="F253" s="4">
        <v>14.69</v>
      </c>
      <c r="G253" t="s">
        <v>71</v>
      </c>
      <c r="H253" t="s">
        <v>41</v>
      </c>
      <c r="I253">
        <v>9</v>
      </c>
      <c r="K253" t="s">
        <v>44</v>
      </c>
      <c r="L253" s="4">
        <v>58.76</v>
      </c>
      <c r="M253" t="str">
        <f>VLOOKUP(D253,tblProduct[],2,FALSE)</f>
        <v>Electronics</v>
      </c>
      <c r="N253" t="str">
        <f>VLOOKUP(D253,tblProduct[],3,FALSE)</f>
        <v>Medium</v>
      </c>
      <c r="O253">
        <f>VLOOKUP(D253,tblProduct[],4,FALSE)</f>
        <v>90000</v>
      </c>
      <c r="P253">
        <v>58.76</v>
      </c>
      <c r="Q253" s="19" t="str">
        <f t="shared" si="3"/>
        <v>May-2025</v>
      </c>
      <c r="R253" s="26">
        <f>DATE(YEAR(tblEnriched[[#This Row],[Date]]),MONTH(tblEnriched[[#This Row],[Date]]),1)</f>
        <v>45778</v>
      </c>
    </row>
    <row r="254" spans="1:18">
      <c r="A254" t="s">
        <v>1019</v>
      </c>
      <c r="B254" s="10">
        <v>45555</v>
      </c>
      <c r="C254" t="s">
        <v>1020</v>
      </c>
      <c r="D254" t="s">
        <v>31</v>
      </c>
      <c r="E254">
        <v>4</v>
      </c>
      <c r="F254" s="4">
        <v>668.36</v>
      </c>
      <c r="G254" t="s">
        <v>66</v>
      </c>
      <c r="H254" t="s">
        <v>41</v>
      </c>
      <c r="I254">
        <v>5</v>
      </c>
      <c r="J254" t="s">
        <v>43</v>
      </c>
      <c r="K254" t="s">
        <v>51</v>
      </c>
      <c r="L254" s="4">
        <v>2673.44</v>
      </c>
      <c r="M254" t="str">
        <f>VLOOKUP(D254,tblProduct[],2,FALSE)</f>
        <v>Electronics</v>
      </c>
      <c r="N254" t="str">
        <f>VLOOKUP(D254,tblProduct[],3,FALSE)</f>
        <v>High</v>
      </c>
      <c r="O254">
        <f>VLOOKUP(D254,tblProduct[],4,FALSE)</f>
        <v>120000</v>
      </c>
      <c r="P254">
        <v>2673.44</v>
      </c>
      <c r="Q254" s="19" t="str">
        <f t="shared" si="3"/>
        <v>Sep-2024</v>
      </c>
      <c r="R254" s="26">
        <f>DATE(YEAR(tblEnriched[[#This Row],[Date]]),MONTH(tblEnriched[[#This Row],[Date]]),1)</f>
        <v>45536</v>
      </c>
    </row>
    <row r="255" spans="1:18">
      <c r="A255" t="s">
        <v>1023</v>
      </c>
      <c r="B255" s="10">
        <v>45374</v>
      </c>
      <c r="C255" t="s">
        <v>1024</v>
      </c>
      <c r="D255" t="s">
        <v>47</v>
      </c>
      <c r="E255">
        <v>4</v>
      </c>
      <c r="F255" s="4">
        <v>413.74</v>
      </c>
      <c r="G255" t="s">
        <v>66</v>
      </c>
      <c r="H255" t="s">
        <v>49</v>
      </c>
      <c r="I255">
        <v>7</v>
      </c>
      <c r="J255" t="s">
        <v>43</v>
      </c>
      <c r="K255" t="s">
        <v>28</v>
      </c>
      <c r="L255" s="4">
        <v>1654.96</v>
      </c>
      <c r="M255" t="str">
        <f>VLOOKUP(D255,tblProduct[],2,FALSE)</f>
        <v>Furniture</v>
      </c>
      <c r="N255" t="str">
        <f>VLOOKUP(D255,tblProduct[],3,FALSE)</f>
        <v>Medium</v>
      </c>
      <c r="O255">
        <f>VLOOKUP(D255,tblProduct[],4,FALSE)</f>
        <v>70000</v>
      </c>
      <c r="P255">
        <v>1654.96</v>
      </c>
      <c r="Q255" s="19" t="str">
        <f t="shared" si="3"/>
        <v>Mar-2024</v>
      </c>
      <c r="R255" s="26">
        <f>DATE(YEAR(tblEnriched[[#This Row],[Date]]),MONTH(tblEnriched[[#This Row],[Date]]),1)</f>
        <v>45352</v>
      </c>
    </row>
    <row r="256" spans="1:18">
      <c r="A256" t="s">
        <v>1026</v>
      </c>
      <c r="B256" s="10">
        <v>45286</v>
      </c>
      <c r="C256" t="s">
        <v>1027</v>
      </c>
      <c r="D256" t="s">
        <v>22</v>
      </c>
      <c r="E256">
        <v>3</v>
      </c>
      <c r="F256" s="4">
        <v>263.19</v>
      </c>
      <c r="G256" t="s">
        <v>33</v>
      </c>
      <c r="H256" t="s">
        <v>56</v>
      </c>
      <c r="I256">
        <v>5</v>
      </c>
      <c r="K256" t="s">
        <v>28</v>
      </c>
      <c r="L256" s="4">
        <v>789.56999999999994</v>
      </c>
      <c r="M256" t="str">
        <f>VLOOKUP(D256,tblProduct[],2,FALSE)</f>
        <v>Electronics</v>
      </c>
      <c r="N256" t="str">
        <f>VLOOKUP(D256,tblProduct[],3,FALSE)</f>
        <v>Medium</v>
      </c>
      <c r="O256">
        <f>VLOOKUP(D256,tblProduct[],4,FALSE)</f>
        <v>90000</v>
      </c>
      <c r="P256">
        <v>789.56999999999994</v>
      </c>
      <c r="Q256" s="19" t="str">
        <f t="shared" si="3"/>
        <v>Dec-2023</v>
      </c>
      <c r="R256" s="26">
        <f>DATE(YEAR(tblEnriched[[#This Row],[Date]]),MONTH(tblEnriched[[#This Row],[Date]]),1)</f>
        <v>45261</v>
      </c>
    </row>
    <row r="257" spans="1:18">
      <c r="A257" t="s">
        <v>1029</v>
      </c>
      <c r="B257" s="10">
        <v>45425</v>
      </c>
      <c r="C257" t="s">
        <v>1030</v>
      </c>
      <c r="D257" t="s">
        <v>22</v>
      </c>
      <c r="E257">
        <v>1</v>
      </c>
      <c r="F257" s="4">
        <v>263.95999999999998</v>
      </c>
      <c r="G257" t="s">
        <v>66</v>
      </c>
      <c r="H257" t="s">
        <v>49</v>
      </c>
      <c r="I257">
        <v>2</v>
      </c>
      <c r="J257" t="s">
        <v>27</v>
      </c>
      <c r="K257" t="s">
        <v>82</v>
      </c>
      <c r="L257" s="4">
        <v>263.95999999999998</v>
      </c>
      <c r="M257" t="str">
        <f>VLOOKUP(D257,tblProduct[],2,FALSE)</f>
        <v>Electronics</v>
      </c>
      <c r="N257" t="str">
        <f>VLOOKUP(D257,tblProduct[],3,FALSE)</f>
        <v>Medium</v>
      </c>
      <c r="O257">
        <f>VLOOKUP(D257,tblProduct[],4,FALSE)</f>
        <v>90000</v>
      </c>
      <c r="P257">
        <v>263.95999999999998</v>
      </c>
      <c r="Q257" s="19" t="str">
        <f t="shared" si="3"/>
        <v>May-2024</v>
      </c>
      <c r="R257" s="26">
        <f>DATE(YEAR(tblEnriched[[#This Row],[Date]]),MONTH(tblEnriched[[#This Row],[Date]]),1)</f>
        <v>45413</v>
      </c>
    </row>
    <row r="258" spans="1:18">
      <c r="A258" t="s">
        <v>1032</v>
      </c>
      <c r="B258" s="10">
        <v>45838</v>
      </c>
      <c r="C258" t="s">
        <v>1033</v>
      </c>
      <c r="D258" t="s">
        <v>47</v>
      </c>
      <c r="E258">
        <v>5</v>
      </c>
      <c r="F258" s="4">
        <v>75.81</v>
      </c>
      <c r="G258" t="s">
        <v>66</v>
      </c>
      <c r="H258" t="s">
        <v>49</v>
      </c>
      <c r="I258">
        <v>10</v>
      </c>
      <c r="J258" t="s">
        <v>87</v>
      </c>
      <c r="K258" t="s">
        <v>28</v>
      </c>
      <c r="L258" s="4">
        <v>379.05</v>
      </c>
      <c r="M258" t="str">
        <f>VLOOKUP(D258,tblProduct[],2,FALSE)</f>
        <v>Furniture</v>
      </c>
      <c r="N258" t="str">
        <f>VLOOKUP(D258,tblProduct[],3,FALSE)</f>
        <v>Medium</v>
      </c>
      <c r="O258">
        <f>VLOOKUP(D258,tblProduct[],4,FALSE)</f>
        <v>70000</v>
      </c>
      <c r="P258">
        <v>379.05</v>
      </c>
      <c r="Q258" s="19" t="str">
        <f t="shared" ref="Q258:Q321" si="4">TEXT(B258,"mmm-yyyy")</f>
        <v>Jun-2025</v>
      </c>
      <c r="R258" s="26">
        <f>DATE(YEAR(tblEnriched[[#This Row],[Date]]),MONTH(tblEnriched[[#This Row],[Date]]),1)</f>
        <v>45809</v>
      </c>
    </row>
    <row r="259" spans="1:18">
      <c r="A259" t="s">
        <v>1036</v>
      </c>
      <c r="B259" s="10">
        <v>45405</v>
      </c>
      <c r="C259" t="s">
        <v>1037</v>
      </c>
      <c r="D259" t="s">
        <v>31</v>
      </c>
      <c r="E259">
        <v>1</v>
      </c>
      <c r="F259" s="4">
        <v>406.22</v>
      </c>
      <c r="G259" t="s">
        <v>40</v>
      </c>
      <c r="H259" t="s">
        <v>41</v>
      </c>
      <c r="I259">
        <v>5</v>
      </c>
      <c r="J259" t="s">
        <v>27</v>
      </c>
      <c r="K259" t="s">
        <v>35</v>
      </c>
      <c r="L259" s="4">
        <v>406.22</v>
      </c>
      <c r="M259" t="str">
        <f>VLOOKUP(D259,tblProduct[],2,FALSE)</f>
        <v>Electronics</v>
      </c>
      <c r="N259" t="str">
        <f>VLOOKUP(D259,tblProduct[],3,FALSE)</f>
        <v>High</v>
      </c>
      <c r="O259">
        <f>VLOOKUP(D259,tblProduct[],4,FALSE)</f>
        <v>120000</v>
      </c>
      <c r="P259">
        <v>406.22</v>
      </c>
      <c r="Q259" s="19" t="str">
        <f t="shared" si="4"/>
        <v>Apr-2024</v>
      </c>
      <c r="R259" s="26">
        <f>DATE(YEAR(tblEnriched[[#This Row],[Date]]),MONTH(tblEnriched[[#This Row],[Date]]),1)</f>
        <v>45383</v>
      </c>
    </row>
    <row r="260" spans="1:18">
      <c r="A260" t="s">
        <v>1040</v>
      </c>
      <c r="B260" s="10">
        <v>45348</v>
      </c>
      <c r="C260" t="s">
        <v>1041</v>
      </c>
      <c r="D260" t="s">
        <v>38</v>
      </c>
      <c r="E260">
        <v>2</v>
      </c>
      <c r="F260" s="4">
        <v>103.41</v>
      </c>
      <c r="G260" t="s">
        <v>33</v>
      </c>
      <c r="H260" t="s">
        <v>25</v>
      </c>
      <c r="I260">
        <v>2</v>
      </c>
      <c r="J260" t="s">
        <v>43</v>
      </c>
      <c r="K260" t="s">
        <v>35</v>
      </c>
      <c r="L260" s="4">
        <v>206.82</v>
      </c>
      <c r="M260" t="str">
        <f>VLOOKUP(D260,tblProduct[],2,FALSE)</f>
        <v>Electronics</v>
      </c>
      <c r="N260" t="str">
        <f>VLOOKUP(D260,tblProduct[],3,FALSE)</f>
        <v>Medium</v>
      </c>
      <c r="O260">
        <f>VLOOKUP(D260,tblProduct[],4,FALSE)</f>
        <v>100000</v>
      </c>
      <c r="P260">
        <v>206.82</v>
      </c>
      <c r="Q260" s="19" t="str">
        <f t="shared" si="4"/>
        <v>Feb-2024</v>
      </c>
      <c r="R260" s="26">
        <f>DATE(YEAR(tblEnriched[[#This Row],[Date]]),MONTH(tblEnriched[[#This Row],[Date]]),1)</f>
        <v>45323</v>
      </c>
    </row>
    <row r="261" spans="1:18">
      <c r="A261" t="s">
        <v>1044</v>
      </c>
      <c r="B261" s="10">
        <v>45088</v>
      </c>
      <c r="C261" t="s">
        <v>1045</v>
      </c>
      <c r="D261" t="s">
        <v>47</v>
      </c>
      <c r="E261">
        <v>4</v>
      </c>
      <c r="F261" s="4">
        <v>435.12</v>
      </c>
      <c r="G261" t="s">
        <v>40</v>
      </c>
      <c r="H261" t="s">
        <v>56</v>
      </c>
      <c r="I261">
        <v>9</v>
      </c>
      <c r="J261" t="s">
        <v>27</v>
      </c>
      <c r="K261" t="s">
        <v>28</v>
      </c>
      <c r="L261" s="4">
        <v>1740.48</v>
      </c>
      <c r="M261" t="str">
        <f>VLOOKUP(D261,tblProduct[],2,FALSE)</f>
        <v>Furniture</v>
      </c>
      <c r="N261" t="str">
        <f>VLOOKUP(D261,tblProduct[],3,FALSE)</f>
        <v>Medium</v>
      </c>
      <c r="O261">
        <f>VLOOKUP(D261,tblProduct[],4,FALSE)</f>
        <v>70000</v>
      </c>
      <c r="P261">
        <v>1740.48</v>
      </c>
      <c r="Q261" s="19" t="str">
        <f t="shared" si="4"/>
        <v>Jun-2023</v>
      </c>
      <c r="R261" s="26">
        <f>DATE(YEAR(tblEnriched[[#This Row],[Date]]),MONTH(tblEnriched[[#This Row],[Date]]),1)</f>
        <v>45078</v>
      </c>
    </row>
    <row r="262" spans="1:18">
      <c r="A262" t="s">
        <v>1047</v>
      </c>
      <c r="B262" s="10">
        <v>45063</v>
      </c>
      <c r="C262" t="s">
        <v>1048</v>
      </c>
      <c r="D262" t="s">
        <v>22</v>
      </c>
      <c r="E262">
        <v>2</v>
      </c>
      <c r="F262" s="4">
        <v>407.79</v>
      </c>
      <c r="G262" t="s">
        <v>24</v>
      </c>
      <c r="H262" t="s">
        <v>25</v>
      </c>
      <c r="I262">
        <v>3</v>
      </c>
      <c r="K262" t="s">
        <v>82</v>
      </c>
      <c r="L262" s="4">
        <v>815.58</v>
      </c>
      <c r="M262" t="str">
        <f>VLOOKUP(D262,tblProduct[],2,FALSE)</f>
        <v>Electronics</v>
      </c>
      <c r="N262" t="str">
        <f>VLOOKUP(D262,tblProduct[],3,FALSE)</f>
        <v>Medium</v>
      </c>
      <c r="O262">
        <f>VLOOKUP(D262,tblProduct[],4,FALSE)</f>
        <v>90000</v>
      </c>
      <c r="P262">
        <v>815.58</v>
      </c>
      <c r="Q262" s="19" t="str">
        <f t="shared" si="4"/>
        <v>May-2023</v>
      </c>
      <c r="R262" s="26">
        <f>DATE(YEAR(tblEnriched[[#This Row],[Date]]),MONTH(tblEnriched[[#This Row],[Date]]),1)</f>
        <v>45047</v>
      </c>
    </row>
    <row r="263" spans="1:18">
      <c r="A263" t="s">
        <v>1051</v>
      </c>
      <c r="B263" s="10">
        <v>45805</v>
      </c>
      <c r="C263" t="s">
        <v>1052</v>
      </c>
      <c r="D263" t="s">
        <v>31</v>
      </c>
      <c r="E263">
        <v>5</v>
      </c>
      <c r="F263" s="4">
        <v>173.65</v>
      </c>
      <c r="G263" t="s">
        <v>66</v>
      </c>
      <c r="H263" t="s">
        <v>56</v>
      </c>
      <c r="I263">
        <v>9</v>
      </c>
      <c r="J263" t="s">
        <v>27</v>
      </c>
      <c r="K263" t="s">
        <v>44</v>
      </c>
      <c r="L263" s="4">
        <v>868.25</v>
      </c>
      <c r="M263" t="str">
        <f>VLOOKUP(D263,tblProduct[],2,FALSE)</f>
        <v>Electronics</v>
      </c>
      <c r="N263" t="str">
        <f>VLOOKUP(D263,tblProduct[],3,FALSE)</f>
        <v>High</v>
      </c>
      <c r="O263">
        <f>VLOOKUP(D263,tblProduct[],4,FALSE)</f>
        <v>120000</v>
      </c>
      <c r="P263">
        <v>868.25</v>
      </c>
      <c r="Q263" s="19" t="str">
        <f t="shared" si="4"/>
        <v>May-2025</v>
      </c>
      <c r="R263" s="26">
        <f>DATE(YEAR(tblEnriched[[#This Row],[Date]]),MONTH(tblEnriched[[#This Row],[Date]]),1)</f>
        <v>45778</v>
      </c>
    </row>
    <row r="264" spans="1:18">
      <c r="A264" t="s">
        <v>1055</v>
      </c>
      <c r="B264" s="10">
        <v>44936</v>
      </c>
      <c r="C264" t="s">
        <v>1056</v>
      </c>
      <c r="D264" t="s">
        <v>31</v>
      </c>
      <c r="E264">
        <v>4</v>
      </c>
      <c r="F264" s="4">
        <v>249.07</v>
      </c>
      <c r="G264" t="s">
        <v>40</v>
      </c>
      <c r="H264" t="s">
        <v>49</v>
      </c>
      <c r="I264">
        <v>5</v>
      </c>
      <c r="J264" t="s">
        <v>87</v>
      </c>
      <c r="K264" t="s">
        <v>35</v>
      </c>
      <c r="L264" s="4">
        <v>996.28</v>
      </c>
      <c r="M264" t="str">
        <f>VLOOKUP(D264,tblProduct[],2,FALSE)</f>
        <v>Electronics</v>
      </c>
      <c r="N264" t="str">
        <f>VLOOKUP(D264,tblProduct[],3,FALSE)</f>
        <v>High</v>
      </c>
      <c r="O264">
        <f>VLOOKUP(D264,tblProduct[],4,FALSE)</f>
        <v>120000</v>
      </c>
      <c r="P264">
        <v>996.28</v>
      </c>
      <c r="Q264" s="19" t="str">
        <f t="shared" si="4"/>
        <v>Jan-2023</v>
      </c>
      <c r="R264" s="26">
        <f>DATE(YEAR(tblEnriched[[#This Row],[Date]]),MONTH(tblEnriched[[#This Row],[Date]]),1)</f>
        <v>44927</v>
      </c>
    </row>
    <row r="265" spans="1:18">
      <c r="A265" t="s">
        <v>1058</v>
      </c>
      <c r="B265" s="10">
        <v>45010</v>
      </c>
      <c r="C265" t="s">
        <v>1059</v>
      </c>
      <c r="D265" t="s">
        <v>31</v>
      </c>
      <c r="E265">
        <v>4</v>
      </c>
      <c r="F265" s="4">
        <v>434.85</v>
      </c>
      <c r="G265" t="s">
        <v>40</v>
      </c>
      <c r="H265" t="s">
        <v>95</v>
      </c>
      <c r="I265">
        <v>4</v>
      </c>
      <c r="J265" t="s">
        <v>87</v>
      </c>
      <c r="K265" t="s">
        <v>82</v>
      </c>
      <c r="L265" s="4">
        <v>1739.4</v>
      </c>
      <c r="M265" t="str">
        <f>VLOOKUP(D265,tblProduct[],2,FALSE)</f>
        <v>Electronics</v>
      </c>
      <c r="N265" t="str">
        <f>VLOOKUP(D265,tblProduct[],3,FALSE)</f>
        <v>High</v>
      </c>
      <c r="O265">
        <f>VLOOKUP(D265,tblProduct[],4,FALSE)</f>
        <v>120000</v>
      </c>
      <c r="P265">
        <v>1739.4</v>
      </c>
      <c r="Q265" s="19" t="str">
        <f t="shared" si="4"/>
        <v>Mar-2023</v>
      </c>
      <c r="R265" s="26">
        <f>DATE(YEAR(tblEnriched[[#This Row],[Date]]),MONTH(tblEnriched[[#This Row],[Date]]),1)</f>
        <v>44986</v>
      </c>
    </row>
    <row r="266" spans="1:18">
      <c r="A266" t="s">
        <v>1062</v>
      </c>
      <c r="B266" s="10">
        <v>45507</v>
      </c>
      <c r="C266" t="s">
        <v>1063</v>
      </c>
      <c r="D266" t="s">
        <v>38</v>
      </c>
      <c r="E266">
        <v>1</v>
      </c>
      <c r="F266" s="4">
        <v>436.77</v>
      </c>
      <c r="G266" t="s">
        <v>71</v>
      </c>
      <c r="H266" t="s">
        <v>49</v>
      </c>
      <c r="I266">
        <v>5</v>
      </c>
      <c r="J266" t="s">
        <v>43</v>
      </c>
      <c r="K266" t="s">
        <v>82</v>
      </c>
      <c r="L266" s="4">
        <v>436.77</v>
      </c>
      <c r="M266" t="str">
        <f>VLOOKUP(D266,tblProduct[],2,FALSE)</f>
        <v>Electronics</v>
      </c>
      <c r="N266" t="str">
        <f>VLOOKUP(D266,tblProduct[],3,FALSE)</f>
        <v>Medium</v>
      </c>
      <c r="O266">
        <f>VLOOKUP(D266,tblProduct[],4,FALSE)</f>
        <v>100000</v>
      </c>
      <c r="P266">
        <v>436.77</v>
      </c>
      <c r="Q266" s="19" t="str">
        <f t="shared" si="4"/>
        <v>Aug-2024</v>
      </c>
      <c r="R266" s="26">
        <f>DATE(YEAR(tblEnriched[[#This Row],[Date]]),MONTH(tblEnriched[[#This Row],[Date]]),1)</f>
        <v>45505</v>
      </c>
    </row>
    <row r="267" spans="1:18">
      <c r="A267" t="s">
        <v>1066</v>
      </c>
      <c r="B267" s="10">
        <v>45282</v>
      </c>
      <c r="C267" t="s">
        <v>1067</v>
      </c>
      <c r="D267" t="s">
        <v>54</v>
      </c>
      <c r="E267">
        <v>1</v>
      </c>
      <c r="F267" s="4">
        <v>572.13</v>
      </c>
      <c r="G267" t="s">
        <v>24</v>
      </c>
      <c r="H267" t="s">
        <v>41</v>
      </c>
      <c r="I267">
        <v>4</v>
      </c>
      <c r="J267" t="s">
        <v>27</v>
      </c>
      <c r="K267" t="s">
        <v>82</v>
      </c>
      <c r="L267" s="4">
        <v>572.13</v>
      </c>
      <c r="M267" t="str">
        <f>VLOOKUP(D267,tblProduct[],2,FALSE)</f>
        <v>Electronics</v>
      </c>
      <c r="N267" t="str">
        <f>VLOOKUP(D267,tblProduct[],3,FALSE)</f>
        <v>Medium</v>
      </c>
      <c r="O267">
        <f>VLOOKUP(D267,tblProduct[],4,FALSE)</f>
        <v>80000</v>
      </c>
      <c r="P267">
        <v>572.13</v>
      </c>
      <c r="Q267" s="19" t="str">
        <f t="shared" si="4"/>
        <v>Dec-2023</v>
      </c>
      <c r="R267" s="26">
        <f>DATE(YEAR(tblEnriched[[#This Row],[Date]]),MONTH(tblEnriched[[#This Row],[Date]]),1)</f>
        <v>45261</v>
      </c>
    </row>
    <row r="268" spans="1:18">
      <c r="A268" t="s">
        <v>1070</v>
      </c>
      <c r="B268" s="10">
        <v>45451</v>
      </c>
      <c r="C268" t="s">
        <v>1071</v>
      </c>
      <c r="D268" t="s">
        <v>47</v>
      </c>
      <c r="E268">
        <v>4</v>
      </c>
      <c r="F268" s="4">
        <v>583.07000000000005</v>
      </c>
      <c r="G268" t="s">
        <v>40</v>
      </c>
      <c r="H268" t="s">
        <v>41</v>
      </c>
      <c r="I268">
        <v>6</v>
      </c>
      <c r="J268" t="s">
        <v>43</v>
      </c>
      <c r="K268" t="s">
        <v>35</v>
      </c>
      <c r="L268" s="4">
        <v>2332.2800000000002</v>
      </c>
      <c r="M268" t="str">
        <f>VLOOKUP(D268,tblProduct[],2,FALSE)</f>
        <v>Furniture</v>
      </c>
      <c r="N268" t="str">
        <f>VLOOKUP(D268,tblProduct[],3,FALSE)</f>
        <v>Medium</v>
      </c>
      <c r="O268">
        <f>VLOOKUP(D268,tblProduct[],4,FALSE)</f>
        <v>70000</v>
      </c>
      <c r="P268">
        <v>2332.2800000000002</v>
      </c>
      <c r="Q268" s="19" t="str">
        <f t="shared" si="4"/>
        <v>Jun-2024</v>
      </c>
      <c r="R268" s="26">
        <f>DATE(YEAR(tblEnriched[[#This Row],[Date]]),MONTH(tblEnriched[[#This Row],[Date]]),1)</f>
        <v>45444</v>
      </c>
    </row>
    <row r="269" spans="1:18">
      <c r="A269" t="s">
        <v>1074</v>
      </c>
      <c r="B269" s="10">
        <v>45764</v>
      </c>
      <c r="C269" t="s">
        <v>1075</v>
      </c>
      <c r="D269" t="s">
        <v>47</v>
      </c>
      <c r="E269">
        <v>5</v>
      </c>
      <c r="F269" s="4">
        <v>468.51</v>
      </c>
      <c r="G269" t="s">
        <v>24</v>
      </c>
      <c r="H269" t="s">
        <v>56</v>
      </c>
      <c r="I269">
        <v>9</v>
      </c>
      <c r="K269" t="s">
        <v>51</v>
      </c>
      <c r="L269" s="4">
        <v>2342.5500000000002</v>
      </c>
      <c r="M269" t="str">
        <f>VLOOKUP(D269,tblProduct[],2,FALSE)</f>
        <v>Furniture</v>
      </c>
      <c r="N269" t="str">
        <f>VLOOKUP(D269,tblProduct[],3,FALSE)</f>
        <v>Medium</v>
      </c>
      <c r="O269">
        <f>VLOOKUP(D269,tblProduct[],4,FALSE)</f>
        <v>70000</v>
      </c>
      <c r="P269">
        <v>2342.5500000000002</v>
      </c>
      <c r="Q269" s="19" t="str">
        <f t="shared" si="4"/>
        <v>Apr-2025</v>
      </c>
      <c r="R269" s="26">
        <f>DATE(YEAR(tblEnriched[[#This Row],[Date]]),MONTH(tblEnriched[[#This Row],[Date]]),1)</f>
        <v>45748</v>
      </c>
    </row>
    <row r="270" spans="1:18">
      <c r="A270" t="s">
        <v>1078</v>
      </c>
      <c r="B270" s="10">
        <v>45149</v>
      </c>
      <c r="C270" t="s">
        <v>1079</v>
      </c>
      <c r="D270" t="s">
        <v>31</v>
      </c>
      <c r="E270">
        <v>2</v>
      </c>
      <c r="F270" s="4">
        <v>423.88</v>
      </c>
      <c r="G270" t="s">
        <v>24</v>
      </c>
      <c r="H270" t="s">
        <v>56</v>
      </c>
      <c r="I270">
        <v>7</v>
      </c>
      <c r="J270" t="s">
        <v>27</v>
      </c>
      <c r="K270" t="s">
        <v>35</v>
      </c>
      <c r="L270" s="4">
        <v>847.76</v>
      </c>
      <c r="M270" t="str">
        <f>VLOOKUP(D270,tblProduct[],2,FALSE)</f>
        <v>Electronics</v>
      </c>
      <c r="N270" t="str">
        <f>VLOOKUP(D270,tblProduct[],3,FALSE)</f>
        <v>High</v>
      </c>
      <c r="O270">
        <f>VLOOKUP(D270,tblProduct[],4,FALSE)</f>
        <v>120000</v>
      </c>
      <c r="P270">
        <v>847.76</v>
      </c>
      <c r="Q270" s="19" t="str">
        <f t="shared" si="4"/>
        <v>Aug-2023</v>
      </c>
      <c r="R270" s="26">
        <f>DATE(YEAR(tblEnriched[[#This Row],[Date]]),MONTH(tblEnriched[[#This Row],[Date]]),1)</f>
        <v>45139</v>
      </c>
    </row>
    <row r="271" spans="1:18">
      <c r="A271" t="s">
        <v>1082</v>
      </c>
      <c r="B271" s="10">
        <v>45255</v>
      </c>
      <c r="C271" t="s">
        <v>1083</v>
      </c>
      <c r="D271" t="s">
        <v>38</v>
      </c>
      <c r="E271">
        <v>4</v>
      </c>
      <c r="F271" s="4">
        <v>663.67</v>
      </c>
      <c r="G271" t="s">
        <v>40</v>
      </c>
      <c r="H271" t="s">
        <v>95</v>
      </c>
      <c r="I271">
        <v>7</v>
      </c>
      <c r="J271" t="s">
        <v>43</v>
      </c>
      <c r="K271" t="s">
        <v>82</v>
      </c>
      <c r="L271" s="4">
        <v>2654.68</v>
      </c>
      <c r="M271" t="str">
        <f>VLOOKUP(D271,tblProduct[],2,FALSE)</f>
        <v>Electronics</v>
      </c>
      <c r="N271" t="str">
        <f>VLOOKUP(D271,tblProduct[],3,FALSE)</f>
        <v>Medium</v>
      </c>
      <c r="O271">
        <f>VLOOKUP(D271,tblProduct[],4,FALSE)</f>
        <v>100000</v>
      </c>
      <c r="P271">
        <v>2654.68</v>
      </c>
      <c r="Q271" s="19" t="str">
        <f t="shared" si="4"/>
        <v>Nov-2023</v>
      </c>
      <c r="R271" s="26">
        <f>DATE(YEAR(tblEnriched[[#This Row],[Date]]),MONTH(tblEnriched[[#This Row],[Date]]),1)</f>
        <v>45231</v>
      </c>
    </row>
    <row r="272" spans="1:18">
      <c r="A272" t="s">
        <v>1085</v>
      </c>
      <c r="B272" s="10">
        <v>45081</v>
      </c>
      <c r="C272" t="s">
        <v>1086</v>
      </c>
      <c r="D272" t="s">
        <v>54</v>
      </c>
      <c r="E272">
        <v>4</v>
      </c>
      <c r="F272" s="4">
        <v>309.91000000000003</v>
      </c>
      <c r="G272" t="s">
        <v>24</v>
      </c>
      <c r="H272" t="s">
        <v>25</v>
      </c>
      <c r="I272">
        <v>5</v>
      </c>
      <c r="J272" t="s">
        <v>87</v>
      </c>
      <c r="K272" t="s">
        <v>82</v>
      </c>
      <c r="L272" s="4">
        <v>1239.6400000000001</v>
      </c>
      <c r="M272" t="str">
        <f>VLOOKUP(D272,tblProduct[],2,FALSE)</f>
        <v>Electronics</v>
      </c>
      <c r="N272" t="str">
        <f>VLOOKUP(D272,tblProduct[],3,FALSE)</f>
        <v>Medium</v>
      </c>
      <c r="O272">
        <f>VLOOKUP(D272,tblProduct[],4,FALSE)</f>
        <v>80000</v>
      </c>
      <c r="P272">
        <v>1239.6400000000001</v>
      </c>
      <c r="Q272" s="19" t="str">
        <f t="shared" si="4"/>
        <v>Jun-2023</v>
      </c>
      <c r="R272" s="26">
        <f>DATE(YEAR(tblEnriched[[#This Row],[Date]]),MONTH(tblEnriched[[#This Row],[Date]]),1)</f>
        <v>45078</v>
      </c>
    </row>
    <row r="273" spans="1:18">
      <c r="A273" t="s">
        <v>1089</v>
      </c>
      <c r="B273" s="10">
        <v>45013</v>
      </c>
      <c r="C273" t="s">
        <v>1090</v>
      </c>
      <c r="D273" t="s">
        <v>22</v>
      </c>
      <c r="E273">
        <v>1</v>
      </c>
      <c r="F273" s="4">
        <v>542.07000000000005</v>
      </c>
      <c r="G273" t="s">
        <v>71</v>
      </c>
      <c r="H273" t="s">
        <v>25</v>
      </c>
      <c r="I273">
        <v>6</v>
      </c>
      <c r="J273" t="s">
        <v>87</v>
      </c>
      <c r="K273" t="s">
        <v>35</v>
      </c>
      <c r="L273" s="4">
        <v>542.07000000000005</v>
      </c>
      <c r="M273" t="str">
        <f>VLOOKUP(D273,tblProduct[],2,FALSE)</f>
        <v>Electronics</v>
      </c>
      <c r="N273" t="str">
        <f>VLOOKUP(D273,tblProduct[],3,FALSE)</f>
        <v>Medium</v>
      </c>
      <c r="O273">
        <f>VLOOKUP(D273,tblProduct[],4,FALSE)</f>
        <v>90000</v>
      </c>
      <c r="P273">
        <v>542.07000000000005</v>
      </c>
      <c r="Q273" s="19" t="str">
        <f t="shared" si="4"/>
        <v>Mar-2023</v>
      </c>
      <c r="R273" s="26">
        <f>DATE(YEAR(tblEnriched[[#This Row],[Date]]),MONTH(tblEnriched[[#This Row],[Date]]),1)</f>
        <v>44986</v>
      </c>
    </row>
    <row r="274" spans="1:18">
      <c r="A274" t="s">
        <v>1093</v>
      </c>
      <c r="B274" s="10">
        <v>45188</v>
      </c>
      <c r="C274" t="s">
        <v>1094</v>
      </c>
      <c r="D274" t="s">
        <v>47</v>
      </c>
      <c r="E274">
        <v>2</v>
      </c>
      <c r="F274" s="4">
        <v>399.32</v>
      </c>
      <c r="G274" t="s">
        <v>33</v>
      </c>
      <c r="H274" t="s">
        <v>95</v>
      </c>
      <c r="I274">
        <v>6</v>
      </c>
      <c r="J274" t="s">
        <v>87</v>
      </c>
      <c r="K274" t="s">
        <v>28</v>
      </c>
      <c r="L274" s="4">
        <v>798.64</v>
      </c>
      <c r="M274" t="str">
        <f>VLOOKUP(D274,tblProduct[],2,FALSE)</f>
        <v>Furniture</v>
      </c>
      <c r="N274" t="str">
        <f>VLOOKUP(D274,tblProduct[],3,FALSE)</f>
        <v>Medium</v>
      </c>
      <c r="O274">
        <f>VLOOKUP(D274,tblProduct[],4,FALSE)</f>
        <v>70000</v>
      </c>
      <c r="P274">
        <v>798.64</v>
      </c>
      <c r="Q274" s="19" t="str">
        <f t="shared" si="4"/>
        <v>Sep-2023</v>
      </c>
      <c r="R274" s="26">
        <f>DATE(YEAR(tblEnriched[[#This Row],[Date]]),MONTH(tblEnriched[[#This Row],[Date]]),1)</f>
        <v>45170</v>
      </c>
    </row>
    <row r="275" spans="1:18">
      <c r="A275" t="s">
        <v>1097</v>
      </c>
      <c r="B275" s="10">
        <v>45592</v>
      </c>
      <c r="C275" t="s">
        <v>1098</v>
      </c>
      <c r="D275" t="s">
        <v>38</v>
      </c>
      <c r="E275">
        <v>2</v>
      </c>
      <c r="F275" s="4">
        <v>238.25</v>
      </c>
      <c r="G275" t="s">
        <v>33</v>
      </c>
      <c r="H275" t="s">
        <v>41</v>
      </c>
      <c r="I275">
        <v>7</v>
      </c>
      <c r="J275" t="s">
        <v>43</v>
      </c>
      <c r="K275" t="s">
        <v>44</v>
      </c>
      <c r="L275" s="4">
        <v>476.5</v>
      </c>
      <c r="M275" t="str">
        <f>VLOOKUP(D275,tblProduct[],2,FALSE)</f>
        <v>Electronics</v>
      </c>
      <c r="N275" t="str">
        <f>VLOOKUP(D275,tblProduct[],3,FALSE)</f>
        <v>Medium</v>
      </c>
      <c r="O275">
        <f>VLOOKUP(D275,tblProduct[],4,FALSE)</f>
        <v>100000</v>
      </c>
      <c r="P275">
        <v>476.5</v>
      </c>
      <c r="Q275" s="19" t="str">
        <f t="shared" si="4"/>
        <v>Oct-2024</v>
      </c>
      <c r="R275" s="26">
        <f>DATE(YEAR(tblEnriched[[#This Row],[Date]]),MONTH(tblEnriched[[#This Row],[Date]]),1)</f>
        <v>45566</v>
      </c>
    </row>
    <row r="276" spans="1:18">
      <c r="A276" t="s">
        <v>1101</v>
      </c>
      <c r="B276" s="10">
        <v>44961</v>
      </c>
      <c r="C276" t="s">
        <v>1102</v>
      </c>
      <c r="D276" t="s">
        <v>31</v>
      </c>
      <c r="E276">
        <v>2</v>
      </c>
      <c r="F276" s="4">
        <v>182.4</v>
      </c>
      <c r="G276" t="s">
        <v>66</v>
      </c>
      <c r="H276" t="s">
        <v>41</v>
      </c>
      <c r="I276">
        <v>5</v>
      </c>
      <c r="J276" t="s">
        <v>27</v>
      </c>
      <c r="K276" t="s">
        <v>35</v>
      </c>
      <c r="L276" s="4">
        <v>364.8</v>
      </c>
      <c r="M276" t="str">
        <f>VLOOKUP(D276,tblProduct[],2,FALSE)</f>
        <v>Electronics</v>
      </c>
      <c r="N276" t="str">
        <f>VLOOKUP(D276,tblProduct[],3,FALSE)</f>
        <v>High</v>
      </c>
      <c r="O276">
        <f>VLOOKUP(D276,tblProduct[],4,FALSE)</f>
        <v>120000</v>
      </c>
      <c r="P276">
        <v>364.8</v>
      </c>
      <c r="Q276" s="19" t="str">
        <f t="shared" si="4"/>
        <v>Feb-2023</v>
      </c>
      <c r="R276" s="26">
        <f>DATE(YEAR(tblEnriched[[#This Row],[Date]]),MONTH(tblEnriched[[#This Row],[Date]]),1)</f>
        <v>44958</v>
      </c>
    </row>
    <row r="277" spans="1:18">
      <c r="A277" t="s">
        <v>1105</v>
      </c>
      <c r="B277" s="10">
        <v>45234</v>
      </c>
      <c r="C277" t="s">
        <v>1106</v>
      </c>
      <c r="D277" t="s">
        <v>47</v>
      </c>
      <c r="E277">
        <v>2</v>
      </c>
      <c r="F277" s="4">
        <v>65.069999999999993</v>
      </c>
      <c r="G277" t="s">
        <v>40</v>
      </c>
      <c r="H277" t="s">
        <v>41</v>
      </c>
      <c r="I277">
        <v>4</v>
      </c>
      <c r="J277" t="s">
        <v>27</v>
      </c>
      <c r="K277" t="s">
        <v>82</v>
      </c>
      <c r="L277" s="4">
        <v>130.13999999999999</v>
      </c>
      <c r="M277" t="str">
        <f>VLOOKUP(D277,tblProduct[],2,FALSE)</f>
        <v>Furniture</v>
      </c>
      <c r="N277" t="str">
        <f>VLOOKUP(D277,tblProduct[],3,FALSE)</f>
        <v>Medium</v>
      </c>
      <c r="O277">
        <f>VLOOKUP(D277,tblProduct[],4,FALSE)</f>
        <v>70000</v>
      </c>
      <c r="P277">
        <v>130.13999999999999</v>
      </c>
      <c r="Q277" s="19" t="str">
        <f t="shared" si="4"/>
        <v>Nov-2023</v>
      </c>
      <c r="R277" s="26">
        <f>DATE(YEAR(tblEnriched[[#This Row],[Date]]),MONTH(tblEnriched[[#This Row],[Date]]),1)</f>
        <v>45231</v>
      </c>
    </row>
    <row r="278" spans="1:18">
      <c r="A278" t="s">
        <v>1109</v>
      </c>
      <c r="B278" s="10">
        <v>45745</v>
      </c>
      <c r="C278" t="s">
        <v>1110</v>
      </c>
      <c r="D278" t="s">
        <v>54</v>
      </c>
      <c r="E278">
        <v>2</v>
      </c>
      <c r="F278" s="4">
        <v>600.57000000000005</v>
      </c>
      <c r="G278" t="s">
        <v>24</v>
      </c>
      <c r="H278" t="s">
        <v>49</v>
      </c>
      <c r="I278">
        <v>3</v>
      </c>
      <c r="J278" t="s">
        <v>87</v>
      </c>
      <c r="K278" t="s">
        <v>28</v>
      </c>
      <c r="L278" s="4">
        <v>1201.1400000000001</v>
      </c>
      <c r="M278" t="str">
        <f>VLOOKUP(D278,tblProduct[],2,FALSE)</f>
        <v>Electronics</v>
      </c>
      <c r="N278" t="str">
        <f>VLOOKUP(D278,tblProduct[],3,FALSE)</f>
        <v>Medium</v>
      </c>
      <c r="O278">
        <f>VLOOKUP(D278,tblProduct[],4,FALSE)</f>
        <v>80000</v>
      </c>
      <c r="P278">
        <v>1201.1400000000001</v>
      </c>
      <c r="Q278" s="19" t="str">
        <f t="shared" si="4"/>
        <v>Mar-2025</v>
      </c>
      <c r="R278" s="26">
        <f>DATE(YEAR(tblEnriched[[#This Row],[Date]]),MONTH(tblEnriched[[#This Row],[Date]]),1)</f>
        <v>45717</v>
      </c>
    </row>
    <row r="279" spans="1:18">
      <c r="A279" t="s">
        <v>1113</v>
      </c>
      <c r="B279" s="10">
        <v>45544</v>
      </c>
      <c r="C279" t="s">
        <v>1114</v>
      </c>
      <c r="D279" t="s">
        <v>47</v>
      </c>
      <c r="E279">
        <v>5</v>
      </c>
      <c r="F279" s="4">
        <v>90.92</v>
      </c>
      <c r="G279" t="s">
        <v>40</v>
      </c>
      <c r="H279" t="s">
        <v>56</v>
      </c>
      <c r="I279">
        <v>9</v>
      </c>
      <c r="J279" t="s">
        <v>27</v>
      </c>
      <c r="K279" t="s">
        <v>51</v>
      </c>
      <c r="L279" s="4">
        <v>454.6</v>
      </c>
      <c r="M279" t="str">
        <f>VLOOKUP(D279,tblProduct[],2,FALSE)</f>
        <v>Furniture</v>
      </c>
      <c r="N279" t="str">
        <f>VLOOKUP(D279,tblProduct[],3,FALSE)</f>
        <v>Medium</v>
      </c>
      <c r="O279">
        <f>VLOOKUP(D279,tblProduct[],4,FALSE)</f>
        <v>70000</v>
      </c>
      <c r="P279">
        <v>454.6</v>
      </c>
      <c r="Q279" s="19" t="str">
        <f t="shared" si="4"/>
        <v>Sep-2024</v>
      </c>
      <c r="R279" s="26">
        <f>DATE(YEAR(tblEnriched[[#This Row],[Date]]),MONTH(tblEnriched[[#This Row],[Date]]),1)</f>
        <v>45536</v>
      </c>
    </row>
    <row r="280" spans="1:18">
      <c r="A280" t="s">
        <v>1117</v>
      </c>
      <c r="B280" s="10">
        <v>45614</v>
      </c>
      <c r="C280" t="s">
        <v>1118</v>
      </c>
      <c r="D280" t="s">
        <v>64</v>
      </c>
      <c r="E280">
        <v>5</v>
      </c>
      <c r="F280" s="4">
        <v>362.46</v>
      </c>
      <c r="G280" t="s">
        <v>71</v>
      </c>
      <c r="H280" t="s">
        <v>56</v>
      </c>
      <c r="I280">
        <v>6</v>
      </c>
      <c r="J280" t="s">
        <v>43</v>
      </c>
      <c r="K280" t="s">
        <v>28</v>
      </c>
      <c r="L280" s="4">
        <v>1812.3</v>
      </c>
      <c r="M280" t="str">
        <f>VLOOKUP(D280,tblProduct[],2,FALSE)</f>
        <v>Electronics</v>
      </c>
      <c r="N280" t="str">
        <f>VLOOKUP(D280,tblProduct[],3,FALSE)</f>
        <v>High</v>
      </c>
      <c r="O280">
        <f>VLOOKUP(D280,tblProduct[],4,FALSE)</f>
        <v>150000</v>
      </c>
      <c r="P280">
        <v>1812.3</v>
      </c>
      <c r="Q280" s="19" t="str">
        <f t="shared" si="4"/>
        <v>Nov-2024</v>
      </c>
      <c r="R280" s="26">
        <f>DATE(YEAR(tblEnriched[[#This Row],[Date]]),MONTH(tblEnriched[[#This Row],[Date]]),1)</f>
        <v>45597</v>
      </c>
    </row>
    <row r="281" spans="1:18">
      <c r="A281" t="s">
        <v>1121</v>
      </c>
      <c r="B281" s="10">
        <v>45219</v>
      </c>
      <c r="C281" t="s">
        <v>1122</v>
      </c>
      <c r="D281" t="s">
        <v>47</v>
      </c>
      <c r="E281">
        <v>3</v>
      </c>
      <c r="F281" s="4">
        <v>55.01</v>
      </c>
      <c r="G281" t="s">
        <v>33</v>
      </c>
      <c r="H281" t="s">
        <v>95</v>
      </c>
      <c r="I281">
        <v>7</v>
      </c>
      <c r="J281" t="s">
        <v>87</v>
      </c>
      <c r="K281" t="s">
        <v>44</v>
      </c>
      <c r="L281" s="4">
        <v>165.03</v>
      </c>
      <c r="M281" t="str">
        <f>VLOOKUP(D281,tblProduct[],2,FALSE)</f>
        <v>Furniture</v>
      </c>
      <c r="N281" t="str">
        <f>VLOOKUP(D281,tblProduct[],3,FALSE)</f>
        <v>Medium</v>
      </c>
      <c r="O281">
        <f>VLOOKUP(D281,tblProduct[],4,FALSE)</f>
        <v>70000</v>
      </c>
      <c r="P281">
        <v>165.03</v>
      </c>
      <c r="Q281" s="19" t="str">
        <f t="shared" si="4"/>
        <v>Oct-2023</v>
      </c>
      <c r="R281" s="26">
        <f>DATE(YEAR(tblEnriched[[#This Row],[Date]]),MONTH(tblEnriched[[#This Row],[Date]]),1)</f>
        <v>45200</v>
      </c>
    </row>
    <row r="282" spans="1:18">
      <c r="A282" t="s">
        <v>1125</v>
      </c>
      <c r="B282" s="10">
        <v>45012</v>
      </c>
      <c r="C282" t="s">
        <v>1126</v>
      </c>
      <c r="D282" t="s">
        <v>38</v>
      </c>
      <c r="E282">
        <v>3</v>
      </c>
      <c r="F282" s="4">
        <v>404.62</v>
      </c>
      <c r="G282" t="s">
        <v>66</v>
      </c>
      <c r="H282" t="s">
        <v>56</v>
      </c>
      <c r="I282">
        <v>6</v>
      </c>
      <c r="J282" t="s">
        <v>43</v>
      </c>
      <c r="K282" t="s">
        <v>28</v>
      </c>
      <c r="L282" s="4">
        <v>1213.8599999999999</v>
      </c>
      <c r="M282" t="str">
        <f>VLOOKUP(D282,tblProduct[],2,FALSE)</f>
        <v>Electronics</v>
      </c>
      <c r="N282" t="str">
        <f>VLOOKUP(D282,tblProduct[],3,FALSE)</f>
        <v>Medium</v>
      </c>
      <c r="O282">
        <f>VLOOKUP(D282,tblProduct[],4,FALSE)</f>
        <v>100000</v>
      </c>
      <c r="P282">
        <v>1213.8599999999999</v>
      </c>
      <c r="Q282" s="19" t="str">
        <f t="shared" si="4"/>
        <v>Mar-2023</v>
      </c>
      <c r="R282" s="26">
        <f>DATE(YEAR(tblEnriched[[#This Row],[Date]]),MONTH(tblEnriched[[#This Row],[Date]]),1)</f>
        <v>44986</v>
      </c>
    </row>
    <row r="283" spans="1:18">
      <c r="A283" t="s">
        <v>1129</v>
      </c>
      <c r="B283" s="10">
        <v>45134</v>
      </c>
      <c r="C283" t="s">
        <v>1130</v>
      </c>
      <c r="D283" t="s">
        <v>79</v>
      </c>
      <c r="E283">
        <v>4</v>
      </c>
      <c r="F283" s="4">
        <v>654.79</v>
      </c>
      <c r="G283" t="s">
        <v>71</v>
      </c>
      <c r="H283" t="s">
        <v>95</v>
      </c>
      <c r="I283">
        <v>9</v>
      </c>
      <c r="K283" t="s">
        <v>35</v>
      </c>
      <c r="L283" s="4">
        <v>2619.16</v>
      </c>
      <c r="M283" t="str">
        <f>VLOOKUP(D283,tblProduct[],2,FALSE)</f>
        <v>Furniture</v>
      </c>
      <c r="N283" t="str">
        <f>VLOOKUP(D283,tblProduct[],3,FALSE)</f>
        <v>High</v>
      </c>
      <c r="O283">
        <f>VLOOKUP(D283,tblProduct[],4,FALSE)</f>
        <v>75000</v>
      </c>
      <c r="P283">
        <v>2619.16</v>
      </c>
      <c r="Q283" s="19" t="str">
        <f t="shared" si="4"/>
        <v>Jul-2023</v>
      </c>
      <c r="R283" s="26">
        <f>DATE(YEAR(tblEnriched[[#This Row],[Date]]),MONTH(tblEnriched[[#This Row],[Date]]),1)</f>
        <v>45108</v>
      </c>
    </row>
    <row r="284" spans="1:18">
      <c r="A284" t="s">
        <v>1133</v>
      </c>
      <c r="B284" s="10">
        <v>45769</v>
      </c>
      <c r="C284" t="s">
        <v>1134</v>
      </c>
      <c r="D284" t="s">
        <v>54</v>
      </c>
      <c r="E284">
        <v>4</v>
      </c>
      <c r="F284" s="4">
        <v>637.79</v>
      </c>
      <c r="G284" t="s">
        <v>66</v>
      </c>
      <c r="H284" t="s">
        <v>41</v>
      </c>
      <c r="I284">
        <v>9</v>
      </c>
      <c r="J284" t="s">
        <v>43</v>
      </c>
      <c r="K284" t="s">
        <v>82</v>
      </c>
      <c r="L284" s="4">
        <v>2551.16</v>
      </c>
      <c r="M284" t="str">
        <f>VLOOKUP(D284,tblProduct[],2,FALSE)</f>
        <v>Electronics</v>
      </c>
      <c r="N284" t="str">
        <f>VLOOKUP(D284,tblProduct[],3,FALSE)</f>
        <v>Medium</v>
      </c>
      <c r="O284">
        <f>VLOOKUP(D284,tblProduct[],4,FALSE)</f>
        <v>80000</v>
      </c>
      <c r="P284">
        <v>2551.16</v>
      </c>
      <c r="Q284" s="19" t="str">
        <f t="shared" si="4"/>
        <v>Apr-2025</v>
      </c>
      <c r="R284" s="26">
        <f>DATE(YEAR(tblEnriched[[#This Row],[Date]]),MONTH(tblEnriched[[#This Row],[Date]]),1)</f>
        <v>45748</v>
      </c>
    </row>
    <row r="285" spans="1:18">
      <c r="A285" t="s">
        <v>1137</v>
      </c>
      <c r="B285" s="10">
        <v>45716</v>
      </c>
      <c r="C285" t="s">
        <v>1138</v>
      </c>
      <c r="D285" t="s">
        <v>64</v>
      </c>
      <c r="E285">
        <v>4</v>
      </c>
      <c r="F285" s="4">
        <v>540.33000000000004</v>
      </c>
      <c r="G285" t="s">
        <v>71</v>
      </c>
      <c r="H285" t="s">
        <v>25</v>
      </c>
      <c r="I285">
        <v>6</v>
      </c>
      <c r="K285" t="s">
        <v>82</v>
      </c>
      <c r="L285" s="4">
        <v>2161.3200000000002</v>
      </c>
      <c r="M285" t="str">
        <f>VLOOKUP(D285,tblProduct[],2,FALSE)</f>
        <v>Electronics</v>
      </c>
      <c r="N285" t="str">
        <f>VLOOKUP(D285,tblProduct[],3,FALSE)</f>
        <v>High</v>
      </c>
      <c r="O285">
        <f>VLOOKUP(D285,tblProduct[],4,FALSE)</f>
        <v>150000</v>
      </c>
      <c r="P285">
        <v>2161.3200000000002</v>
      </c>
      <c r="Q285" s="19" t="str">
        <f t="shared" si="4"/>
        <v>Feb-2025</v>
      </c>
      <c r="R285" s="26">
        <f>DATE(YEAR(tblEnriched[[#This Row],[Date]]),MONTH(tblEnriched[[#This Row],[Date]]),1)</f>
        <v>45689</v>
      </c>
    </row>
    <row r="286" spans="1:18">
      <c r="A286" t="s">
        <v>1141</v>
      </c>
      <c r="B286" s="10">
        <v>44973</v>
      </c>
      <c r="C286" t="s">
        <v>1142</v>
      </c>
      <c r="D286" t="s">
        <v>64</v>
      </c>
      <c r="E286">
        <v>5</v>
      </c>
      <c r="F286" s="4">
        <v>208.17</v>
      </c>
      <c r="G286" t="s">
        <v>40</v>
      </c>
      <c r="H286" t="s">
        <v>49</v>
      </c>
      <c r="I286">
        <v>6</v>
      </c>
      <c r="J286" t="s">
        <v>27</v>
      </c>
      <c r="K286" t="s">
        <v>51</v>
      </c>
      <c r="L286" s="4">
        <v>1040.8499999999999</v>
      </c>
      <c r="M286" t="str">
        <f>VLOOKUP(D286,tblProduct[],2,FALSE)</f>
        <v>Electronics</v>
      </c>
      <c r="N286" t="str">
        <f>VLOOKUP(D286,tblProduct[],3,FALSE)</f>
        <v>High</v>
      </c>
      <c r="O286">
        <f>VLOOKUP(D286,tblProduct[],4,FALSE)</f>
        <v>150000</v>
      </c>
      <c r="P286">
        <v>1040.8499999999999</v>
      </c>
      <c r="Q286" s="19" t="str">
        <f t="shared" si="4"/>
        <v>Feb-2023</v>
      </c>
      <c r="R286" s="26">
        <f>DATE(YEAR(tblEnriched[[#This Row],[Date]]),MONTH(tblEnriched[[#This Row],[Date]]),1)</f>
        <v>44958</v>
      </c>
    </row>
    <row r="287" spans="1:18">
      <c r="A287" t="s">
        <v>1145</v>
      </c>
      <c r="B287" s="10">
        <v>45818</v>
      </c>
      <c r="C287" t="s">
        <v>1146</v>
      </c>
      <c r="D287" t="s">
        <v>31</v>
      </c>
      <c r="E287">
        <v>1</v>
      </c>
      <c r="F287" s="4">
        <v>338.31</v>
      </c>
      <c r="G287" t="s">
        <v>33</v>
      </c>
      <c r="H287" t="s">
        <v>56</v>
      </c>
      <c r="I287">
        <v>3</v>
      </c>
      <c r="K287" t="s">
        <v>82</v>
      </c>
      <c r="L287" s="4">
        <v>338.31</v>
      </c>
      <c r="M287" t="str">
        <f>VLOOKUP(D287,tblProduct[],2,FALSE)</f>
        <v>Electronics</v>
      </c>
      <c r="N287" t="str">
        <f>VLOOKUP(D287,tblProduct[],3,FALSE)</f>
        <v>High</v>
      </c>
      <c r="O287">
        <f>VLOOKUP(D287,tblProduct[],4,FALSE)</f>
        <v>120000</v>
      </c>
      <c r="P287">
        <v>338.31</v>
      </c>
      <c r="Q287" s="19" t="str">
        <f t="shared" si="4"/>
        <v>Jun-2025</v>
      </c>
      <c r="R287" s="26">
        <f>DATE(YEAR(tblEnriched[[#This Row],[Date]]),MONTH(tblEnriched[[#This Row],[Date]]),1)</f>
        <v>45809</v>
      </c>
    </row>
    <row r="288" spans="1:18">
      <c r="A288" t="s">
        <v>1148</v>
      </c>
      <c r="B288" s="10">
        <v>45754</v>
      </c>
      <c r="C288" t="s">
        <v>1149</v>
      </c>
      <c r="D288" t="s">
        <v>22</v>
      </c>
      <c r="E288">
        <v>3</v>
      </c>
      <c r="F288" s="4">
        <v>139.44999999999999</v>
      </c>
      <c r="G288" t="s">
        <v>66</v>
      </c>
      <c r="H288" t="s">
        <v>49</v>
      </c>
      <c r="I288">
        <v>8</v>
      </c>
      <c r="J288" t="s">
        <v>87</v>
      </c>
      <c r="K288" t="s">
        <v>82</v>
      </c>
      <c r="L288" s="4">
        <v>418.35</v>
      </c>
      <c r="M288" t="str">
        <f>VLOOKUP(D288,tblProduct[],2,FALSE)</f>
        <v>Electronics</v>
      </c>
      <c r="N288" t="str">
        <f>VLOOKUP(D288,tblProduct[],3,FALSE)</f>
        <v>Medium</v>
      </c>
      <c r="O288">
        <f>VLOOKUP(D288,tblProduct[],4,FALSE)</f>
        <v>90000</v>
      </c>
      <c r="P288">
        <v>418.35</v>
      </c>
      <c r="Q288" s="19" t="str">
        <f t="shared" si="4"/>
        <v>Apr-2025</v>
      </c>
      <c r="R288" s="26">
        <f>DATE(YEAR(tblEnriched[[#This Row],[Date]]),MONTH(tblEnriched[[#This Row],[Date]]),1)</f>
        <v>45748</v>
      </c>
    </row>
    <row r="289" spans="1:18">
      <c r="A289" t="s">
        <v>1151</v>
      </c>
      <c r="B289" s="10">
        <v>45254</v>
      </c>
      <c r="C289" t="s">
        <v>1152</v>
      </c>
      <c r="D289" t="s">
        <v>47</v>
      </c>
      <c r="E289">
        <v>4</v>
      </c>
      <c r="F289" s="4">
        <v>655.17999999999995</v>
      </c>
      <c r="G289" t="s">
        <v>33</v>
      </c>
      <c r="H289" t="s">
        <v>25</v>
      </c>
      <c r="I289">
        <v>5</v>
      </c>
      <c r="K289" t="s">
        <v>51</v>
      </c>
      <c r="L289" s="4">
        <v>2620.7199999999998</v>
      </c>
      <c r="M289" t="str">
        <f>VLOOKUP(D289,tblProduct[],2,FALSE)</f>
        <v>Furniture</v>
      </c>
      <c r="N289" t="str">
        <f>VLOOKUP(D289,tblProduct[],3,FALSE)</f>
        <v>Medium</v>
      </c>
      <c r="O289">
        <f>VLOOKUP(D289,tblProduct[],4,FALSE)</f>
        <v>70000</v>
      </c>
      <c r="P289">
        <v>2620.7199999999998</v>
      </c>
      <c r="Q289" s="19" t="str">
        <f t="shared" si="4"/>
        <v>Nov-2023</v>
      </c>
      <c r="R289" s="26">
        <f>DATE(YEAR(tblEnriched[[#This Row],[Date]]),MONTH(tblEnriched[[#This Row],[Date]]),1)</f>
        <v>45231</v>
      </c>
    </row>
    <row r="290" spans="1:18">
      <c r="A290" t="s">
        <v>1155</v>
      </c>
      <c r="B290" s="10">
        <v>44997</v>
      </c>
      <c r="C290" t="s">
        <v>1156</v>
      </c>
      <c r="D290" t="s">
        <v>64</v>
      </c>
      <c r="E290">
        <v>4</v>
      </c>
      <c r="F290" s="4">
        <v>512.75</v>
      </c>
      <c r="G290" t="s">
        <v>24</v>
      </c>
      <c r="H290" t="s">
        <v>49</v>
      </c>
      <c r="I290">
        <v>8</v>
      </c>
      <c r="J290" t="s">
        <v>87</v>
      </c>
      <c r="K290" t="s">
        <v>82</v>
      </c>
      <c r="L290" s="4">
        <v>2051</v>
      </c>
      <c r="M290" t="str">
        <f>VLOOKUP(D290,tblProduct[],2,FALSE)</f>
        <v>Electronics</v>
      </c>
      <c r="N290" t="str">
        <f>VLOOKUP(D290,tblProduct[],3,FALSE)</f>
        <v>High</v>
      </c>
      <c r="O290">
        <f>VLOOKUP(D290,tblProduct[],4,FALSE)</f>
        <v>150000</v>
      </c>
      <c r="P290">
        <v>2051</v>
      </c>
      <c r="Q290" s="19" t="str">
        <f t="shared" si="4"/>
        <v>Mar-2023</v>
      </c>
      <c r="R290" s="26">
        <f>DATE(YEAR(tblEnriched[[#This Row],[Date]]),MONTH(tblEnriched[[#This Row],[Date]]),1)</f>
        <v>44986</v>
      </c>
    </row>
    <row r="291" spans="1:18">
      <c r="A291" t="s">
        <v>1159</v>
      </c>
      <c r="B291" s="10">
        <v>45133</v>
      </c>
      <c r="C291" t="s">
        <v>1160</v>
      </c>
      <c r="D291" t="s">
        <v>47</v>
      </c>
      <c r="E291">
        <v>4</v>
      </c>
      <c r="F291" s="4">
        <v>160.49</v>
      </c>
      <c r="G291" t="s">
        <v>40</v>
      </c>
      <c r="H291" t="s">
        <v>25</v>
      </c>
      <c r="I291">
        <v>8</v>
      </c>
      <c r="J291" t="s">
        <v>87</v>
      </c>
      <c r="K291" t="s">
        <v>35</v>
      </c>
      <c r="L291" s="4">
        <v>641.96</v>
      </c>
      <c r="M291" t="str">
        <f>VLOOKUP(D291,tblProduct[],2,FALSE)</f>
        <v>Furniture</v>
      </c>
      <c r="N291" t="str">
        <f>VLOOKUP(D291,tblProduct[],3,FALSE)</f>
        <v>Medium</v>
      </c>
      <c r="O291">
        <f>VLOOKUP(D291,tblProduct[],4,FALSE)</f>
        <v>70000</v>
      </c>
      <c r="P291">
        <v>641.96</v>
      </c>
      <c r="Q291" s="19" t="str">
        <f t="shared" si="4"/>
        <v>Jul-2023</v>
      </c>
      <c r="R291" s="26">
        <f>DATE(YEAR(tblEnriched[[#This Row],[Date]]),MONTH(tblEnriched[[#This Row],[Date]]),1)</f>
        <v>45108</v>
      </c>
    </row>
    <row r="292" spans="1:18">
      <c r="A292" t="s">
        <v>1162</v>
      </c>
      <c r="B292" s="10">
        <v>45051</v>
      </c>
      <c r="C292" t="s">
        <v>1163</v>
      </c>
      <c r="D292" t="s">
        <v>47</v>
      </c>
      <c r="E292">
        <v>3</v>
      </c>
      <c r="F292" s="4">
        <v>99.9</v>
      </c>
      <c r="G292" t="s">
        <v>71</v>
      </c>
      <c r="H292" t="s">
        <v>56</v>
      </c>
      <c r="I292">
        <v>8</v>
      </c>
      <c r="J292" t="s">
        <v>43</v>
      </c>
      <c r="K292" t="s">
        <v>51</v>
      </c>
      <c r="L292" s="4">
        <v>299.7</v>
      </c>
      <c r="M292" t="str">
        <f>VLOOKUP(D292,tblProduct[],2,FALSE)</f>
        <v>Furniture</v>
      </c>
      <c r="N292" t="str">
        <f>VLOOKUP(D292,tblProduct[],3,FALSE)</f>
        <v>Medium</v>
      </c>
      <c r="O292">
        <f>VLOOKUP(D292,tblProduct[],4,FALSE)</f>
        <v>70000</v>
      </c>
      <c r="P292">
        <v>299.7</v>
      </c>
      <c r="Q292" s="19" t="str">
        <f t="shared" si="4"/>
        <v>May-2023</v>
      </c>
      <c r="R292" s="26">
        <f>DATE(YEAR(tblEnriched[[#This Row],[Date]]),MONTH(tblEnriched[[#This Row],[Date]]),1)</f>
        <v>45047</v>
      </c>
    </row>
    <row r="293" spans="1:18">
      <c r="A293" t="s">
        <v>1165</v>
      </c>
      <c r="B293" s="10">
        <v>45424</v>
      </c>
      <c r="C293" t="s">
        <v>1166</v>
      </c>
      <c r="D293" t="s">
        <v>31</v>
      </c>
      <c r="E293">
        <v>2</v>
      </c>
      <c r="F293" s="4">
        <v>345.01</v>
      </c>
      <c r="G293" t="s">
        <v>40</v>
      </c>
      <c r="H293" t="s">
        <v>56</v>
      </c>
      <c r="I293">
        <v>6</v>
      </c>
      <c r="J293" t="s">
        <v>43</v>
      </c>
      <c r="K293" t="s">
        <v>82</v>
      </c>
      <c r="L293" s="4">
        <v>690.02</v>
      </c>
      <c r="M293" t="str">
        <f>VLOOKUP(D293,tblProduct[],2,FALSE)</f>
        <v>Electronics</v>
      </c>
      <c r="N293" t="str">
        <f>VLOOKUP(D293,tblProduct[],3,FALSE)</f>
        <v>High</v>
      </c>
      <c r="O293">
        <f>VLOOKUP(D293,tblProduct[],4,FALSE)</f>
        <v>120000</v>
      </c>
      <c r="P293">
        <v>690.02</v>
      </c>
      <c r="Q293" s="19" t="str">
        <f t="shared" si="4"/>
        <v>May-2024</v>
      </c>
      <c r="R293" s="26">
        <f>DATE(YEAR(tblEnriched[[#This Row],[Date]]),MONTH(tblEnriched[[#This Row],[Date]]),1)</f>
        <v>45413</v>
      </c>
    </row>
    <row r="294" spans="1:18">
      <c r="A294" t="s">
        <v>1169</v>
      </c>
      <c r="B294" s="10">
        <v>45672</v>
      </c>
      <c r="C294" t="s">
        <v>1170</v>
      </c>
      <c r="D294" t="s">
        <v>22</v>
      </c>
      <c r="E294">
        <v>1</v>
      </c>
      <c r="F294" s="4">
        <v>65.95</v>
      </c>
      <c r="G294" t="s">
        <v>40</v>
      </c>
      <c r="H294" t="s">
        <v>56</v>
      </c>
      <c r="I294">
        <v>5</v>
      </c>
      <c r="K294" t="s">
        <v>51</v>
      </c>
      <c r="L294" s="4">
        <v>65.95</v>
      </c>
      <c r="M294" t="str">
        <f>VLOOKUP(D294,tblProduct[],2,FALSE)</f>
        <v>Electronics</v>
      </c>
      <c r="N294" t="str">
        <f>VLOOKUP(D294,tblProduct[],3,FALSE)</f>
        <v>Medium</v>
      </c>
      <c r="O294">
        <f>VLOOKUP(D294,tblProduct[],4,FALSE)</f>
        <v>90000</v>
      </c>
      <c r="P294">
        <v>65.95</v>
      </c>
      <c r="Q294" s="19" t="str">
        <f t="shared" si="4"/>
        <v>Jan-2025</v>
      </c>
      <c r="R294" s="26">
        <f>DATE(YEAR(tblEnriched[[#This Row],[Date]]),MONTH(tblEnriched[[#This Row],[Date]]),1)</f>
        <v>45658</v>
      </c>
    </row>
    <row r="295" spans="1:18">
      <c r="A295" t="s">
        <v>1172</v>
      </c>
      <c r="B295" s="10">
        <v>44973</v>
      </c>
      <c r="C295" t="s">
        <v>1173</v>
      </c>
      <c r="D295" t="s">
        <v>38</v>
      </c>
      <c r="E295">
        <v>4</v>
      </c>
      <c r="F295" s="4">
        <v>463.04</v>
      </c>
      <c r="G295" t="s">
        <v>66</v>
      </c>
      <c r="H295" t="s">
        <v>49</v>
      </c>
      <c r="I295">
        <v>9</v>
      </c>
      <c r="K295" t="s">
        <v>28</v>
      </c>
      <c r="L295" s="4">
        <v>1852.16</v>
      </c>
      <c r="M295" t="str">
        <f>VLOOKUP(D295,tblProduct[],2,FALSE)</f>
        <v>Electronics</v>
      </c>
      <c r="N295" t="str">
        <f>VLOOKUP(D295,tblProduct[],3,FALSE)</f>
        <v>Medium</v>
      </c>
      <c r="O295">
        <f>VLOOKUP(D295,tblProduct[],4,FALSE)</f>
        <v>100000</v>
      </c>
      <c r="P295">
        <v>1852.16</v>
      </c>
      <c r="Q295" s="19" t="str">
        <f t="shared" si="4"/>
        <v>Feb-2023</v>
      </c>
      <c r="R295" s="26">
        <f>DATE(YEAR(tblEnriched[[#This Row],[Date]]),MONTH(tblEnriched[[#This Row],[Date]]),1)</f>
        <v>44958</v>
      </c>
    </row>
    <row r="296" spans="1:18">
      <c r="A296" t="s">
        <v>1176</v>
      </c>
      <c r="B296" s="10">
        <v>45748</v>
      </c>
      <c r="C296" t="s">
        <v>1177</v>
      </c>
      <c r="D296" t="s">
        <v>31</v>
      </c>
      <c r="E296">
        <v>2</v>
      </c>
      <c r="F296" s="4">
        <v>297.70999999999998</v>
      </c>
      <c r="G296" t="s">
        <v>33</v>
      </c>
      <c r="H296" t="s">
        <v>25</v>
      </c>
      <c r="I296">
        <v>7</v>
      </c>
      <c r="J296" t="s">
        <v>27</v>
      </c>
      <c r="K296" t="s">
        <v>35</v>
      </c>
      <c r="L296" s="4">
        <v>595.41999999999996</v>
      </c>
      <c r="M296" t="str">
        <f>VLOOKUP(D296,tblProduct[],2,FALSE)</f>
        <v>Electronics</v>
      </c>
      <c r="N296" t="str">
        <f>VLOOKUP(D296,tblProduct[],3,FALSE)</f>
        <v>High</v>
      </c>
      <c r="O296">
        <f>VLOOKUP(D296,tblProduct[],4,FALSE)</f>
        <v>120000</v>
      </c>
      <c r="P296">
        <v>595.41999999999996</v>
      </c>
      <c r="Q296" s="19" t="str">
        <f t="shared" si="4"/>
        <v>Apr-2025</v>
      </c>
      <c r="R296" s="26">
        <f>DATE(YEAR(tblEnriched[[#This Row],[Date]]),MONTH(tblEnriched[[#This Row],[Date]]),1)</f>
        <v>45748</v>
      </c>
    </row>
    <row r="297" spans="1:18">
      <c r="A297" t="s">
        <v>1180</v>
      </c>
      <c r="B297" s="10">
        <v>44951</v>
      </c>
      <c r="C297" t="s">
        <v>1181</v>
      </c>
      <c r="D297" t="s">
        <v>54</v>
      </c>
      <c r="E297">
        <v>5</v>
      </c>
      <c r="F297" s="4">
        <v>107.48</v>
      </c>
      <c r="G297" t="s">
        <v>24</v>
      </c>
      <c r="H297" t="s">
        <v>41</v>
      </c>
      <c r="I297">
        <v>9</v>
      </c>
      <c r="J297" t="s">
        <v>43</v>
      </c>
      <c r="K297" t="s">
        <v>44</v>
      </c>
      <c r="L297" s="4">
        <v>537.4</v>
      </c>
      <c r="M297" t="str">
        <f>VLOOKUP(D297,tblProduct[],2,FALSE)</f>
        <v>Electronics</v>
      </c>
      <c r="N297" t="str">
        <f>VLOOKUP(D297,tblProduct[],3,FALSE)</f>
        <v>Medium</v>
      </c>
      <c r="O297">
        <f>VLOOKUP(D297,tblProduct[],4,FALSE)</f>
        <v>80000</v>
      </c>
      <c r="P297">
        <v>537.4</v>
      </c>
      <c r="Q297" s="19" t="str">
        <f t="shared" si="4"/>
        <v>Jan-2023</v>
      </c>
      <c r="R297" s="26">
        <f>DATE(YEAR(tblEnriched[[#This Row],[Date]]),MONTH(tblEnriched[[#This Row],[Date]]),1)</f>
        <v>44927</v>
      </c>
    </row>
    <row r="298" spans="1:18">
      <c r="A298" t="s">
        <v>1184</v>
      </c>
      <c r="B298" s="10">
        <v>45462</v>
      </c>
      <c r="C298" t="s">
        <v>1185</v>
      </c>
      <c r="D298" t="s">
        <v>79</v>
      </c>
      <c r="E298">
        <v>5</v>
      </c>
      <c r="F298" s="4">
        <v>638.79999999999995</v>
      </c>
      <c r="G298" t="s">
        <v>24</v>
      </c>
      <c r="H298" t="s">
        <v>41</v>
      </c>
      <c r="I298">
        <v>10</v>
      </c>
      <c r="J298" t="s">
        <v>87</v>
      </c>
      <c r="K298" t="s">
        <v>35</v>
      </c>
      <c r="L298" s="4">
        <v>3194</v>
      </c>
      <c r="M298" t="str">
        <f>VLOOKUP(D298,tblProduct[],2,FALSE)</f>
        <v>Furniture</v>
      </c>
      <c r="N298" t="str">
        <f>VLOOKUP(D298,tblProduct[],3,FALSE)</f>
        <v>High</v>
      </c>
      <c r="O298">
        <f>VLOOKUP(D298,tblProduct[],4,FALSE)</f>
        <v>75000</v>
      </c>
      <c r="P298">
        <v>3194</v>
      </c>
      <c r="Q298" s="19" t="str">
        <f t="shared" si="4"/>
        <v>Jun-2024</v>
      </c>
      <c r="R298" s="26">
        <f>DATE(YEAR(tblEnriched[[#This Row],[Date]]),MONTH(tblEnriched[[#This Row],[Date]]),1)</f>
        <v>45444</v>
      </c>
    </row>
    <row r="299" spans="1:18">
      <c r="A299" t="s">
        <v>1187</v>
      </c>
      <c r="B299" s="10">
        <v>44979</v>
      </c>
      <c r="C299" t="s">
        <v>1188</v>
      </c>
      <c r="D299" t="s">
        <v>79</v>
      </c>
      <c r="E299">
        <v>2</v>
      </c>
      <c r="F299" s="4">
        <v>493.88</v>
      </c>
      <c r="G299" t="s">
        <v>40</v>
      </c>
      <c r="H299" t="s">
        <v>49</v>
      </c>
      <c r="I299">
        <v>7</v>
      </c>
      <c r="J299" t="s">
        <v>27</v>
      </c>
      <c r="K299" t="s">
        <v>28</v>
      </c>
      <c r="L299" s="4">
        <v>987.76</v>
      </c>
      <c r="M299" t="str">
        <f>VLOOKUP(D299,tblProduct[],2,FALSE)</f>
        <v>Furniture</v>
      </c>
      <c r="N299" t="str">
        <f>VLOOKUP(D299,tblProduct[],3,FALSE)</f>
        <v>High</v>
      </c>
      <c r="O299">
        <f>VLOOKUP(D299,tblProduct[],4,FALSE)</f>
        <v>75000</v>
      </c>
      <c r="P299">
        <v>987.76</v>
      </c>
      <c r="Q299" s="19" t="str">
        <f t="shared" si="4"/>
        <v>Feb-2023</v>
      </c>
      <c r="R299" s="26">
        <f>DATE(YEAR(tblEnriched[[#This Row],[Date]]),MONTH(tblEnriched[[#This Row],[Date]]),1)</f>
        <v>44958</v>
      </c>
    </row>
    <row r="300" spans="1:18">
      <c r="A300" t="s">
        <v>1191</v>
      </c>
      <c r="B300" s="10">
        <v>45279</v>
      </c>
      <c r="C300" t="s">
        <v>1192</v>
      </c>
      <c r="D300" t="s">
        <v>54</v>
      </c>
      <c r="E300">
        <v>4</v>
      </c>
      <c r="F300" s="4">
        <v>301.17</v>
      </c>
      <c r="G300" t="s">
        <v>33</v>
      </c>
      <c r="H300" t="s">
        <v>41</v>
      </c>
      <c r="I300">
        <v>6</v>
      </c>
      <c r="K300" t="s">
        <v>44</v>
      </c>
      <c r="L300" s="4">
        <v>1204.68</v>
      </c>
      <c r="M300" t="str">
        <f>VLOOKUP(D300,tblProduct[],2,FALSE)</f>
        <v>Electronics</v>
      </c>
      <c r="N300" t="str">
        <f>VLOOKUP(D300,tblProduct[],3,FALSE)</f>
        <v>Medium</v>
      </c>
      <c r="O300">
        <f>VLOOKUP(D300,tblProduct[],4,FALSE)</f>
        <v>80000</v>
      </c>
      <c r="P300">
        <v>1204.68</v>
      </c>
      <c r="Q300" s="19" t="str">
        <f t="shared" si="4"/>
        <v>Dec-2023</v>
      </c>
      <c r="R300" s="26">
        <f>DATE(YEAR(tblEnriched[[#This Row],[Date]]),MONTH(tblEnriched[[#This Row],[Date]]),1)</f>
        <v>45261</v>
      </c>
    </row>
    <row r="301" spans="1:18">
      <c r="A301" t="s">
        <v>1194</v>
      </c>
      <c r="B301" s="10">
        <v>45311</v>
      </c>
      <c r="C301" t="s">
        <v>1195</v>
      </c>
      <c r="D301" t="s">
        <v>22</v>
      </c>
      <c r="E301">
        <v>1</v>
      </c>
      <c r="F301" s="4">
        <v>278.66000000000003</v>
      </c>
      <c r="G301" t="s">
        <v>66</v>
      </c>
      <c r="H301" t="s">
        <v>41</v>
      </c>
      <c r="I301">
        <v>2</v>
      </c>
      <c r="J301" t="s">
        <v>43</v>
      </c>
      <c r="K301" t="s">
        <v>28</v>
      </c>
      <c r="L301" s="4">
        <v>278.66000000000003</v>
      </c>
      <c r="M301" t="str">
        <f>VLOOKUP(D301,tblProduct[],2,FALSE)</f>
        <v>Electronics</v>
      </c>
      <c r="N301" t="str">
        <f>VLOOKUP(D301,tblProduct[],3,FALSE)</f>
        <v>Medium</v>
      </c>
      <c r="O301">
        <f>VLOOKUP(D301,tblProduct[],4,FALSE)</f>
        <v>90000</v>
      </c>
      <c r="P301">
        <v>278.66000000000003</v>
      </c>
      <c r="Q301" s="19" t="str">
        <f t="shared" si="4"/>
        <v>Jan-2024</v>
      </c>
      <c r="R301" s="26">
        <f>DATE(YEAR(tblEnriched[[#This Row],[Date]]),MONTH(tblEnriched[[#This Row],[Date]]),1)</f>
        <v>45292</v>
      </c>
    </row>
    <row r="302" spans="1:18">
      <c r="A302" t="s">
        <v>1198</v>
      </c>
      <c r="B302" s="10">
        <v>45537</v>
      </c>
      <c r="C302" t="s">
        <v>1199</v>
      </c>
      <c r="D302" t="s">
        <v>31</v>
      </c>
      <c r="E302">
        <v>1</v>
      </c>
      <c r="F302" s="4">
        <v>287.45999999999998</v>
      </c>
      <c r="G302" t="s">
        <v>24</v>
      </c>
      <c r="H302" t="s">
        <v>49</v>
      </c>
      <c r="I302">
        <v>3</v>
      </c>
      <c r="J302" t="s">
        <v>43</v>
      </c>
      <c r="K302" t="s">
        <v>51</v>
      </c>
      <c r="L302" s="4">
        <v>287.45999999999998</v>
      </c>
      <c r="M302" t="str">
        <f>VLOOKUP(D302,tblProduct[],2,FALSE)</f>
        <v>Electronics</v>
      </c>
      <c r="N302" t="str">
        <f>VLOOKUP(D302,tblProduct[],3,FALSE)</f>
        <v>High</v>
      </c>
      <c r="O302">
        <f>VLOOKUP(D302,tblProduct[],4,FALSE)</f>
        <v>120000</v>
      </c>
      <c r="P302">
        <v>287.45999999999998</v>
      </c>
      <c r="Q302" s="19" t="str">
        <f t="shared" si="4"/>
        <v>Sep-2024</v>
      </c>
      <c r="R302" s="26">
        <f>DATE(YEAR(tblEnriched[[#This Row],[Date]]),MONTH(tblEnriched[[#This Row],[Date]]),1)</f>
        <v>45536</v>
      </c>
    </row>
    <row r="303" spans="1:18">
      <c r="A303" t="s">
        <v>1202</v>
      </c>
      <c r="B303" s="10">
        <v>45057</v>
      </c>
      <c r="C303" t="s">
        <v>1203</v>
      </c>
      <c r="D303" t="s">
        <v>47</v>
      </c>
      <c r="E303">
        <v>1</v>
      </c>
      <c r="F303" s="4">
        <v>583.99</v>
      </c>
      <c r="G303" t="s">
        <v>71</v>
      </c>
      <c r="H303" t="s">
        <v>41</v>
      </c>
      <c r="I303">
        <v>2</v>
      </c>
      <c r="J303" t="s">
        <v>27</v>
      </c>
      <c r="K303" t="s">
        <v>44</v>
      </c>
      <c r="L303" s="4">
        <v>583.99</v>
      </c>
      <c r="M303" t="str">
        <f>VLOOKUP(D303,tblProduct[],2,FALSE)</f>
        <v>Furniture</v>
      </c>
      <c r="N303" t="str">
        <f>VLOOKUP(D303,tblProduct[],3,FALSE)</f>
        <v>Medium</v>
      </c>
      <c r="O303">
        <f>VLOOKUP(D303,tblProduct[],4,FALSE)</f>
        <v>70000</v>
      </c>
      <c r="P303">
        <v>583.99</v>
      </c>
      <c r="Q303" s="19" t="str">
        <f t="shared" si="4"/>
        <v>May-2023</v>
      </c>
      <c r="R303" s="26">
        <f>DATE(YEAR(tblEnriched[[#This Row],[Date]]),MONTH(tblEnriched[[#This Row],[Date]]),1)</f>
        <v>45047</v>
      </c>
    </row>
    <row r="304" spans="1:18">
      <c r="A304" t="s">
        <v>1206</v>
      </c>
      <c r="B304" s="10">
        <v>45062</v>
      </c>
      <c r="C304" t="s">
        <v>1207</v>
      </c>
      <c r="D304" t="s">
        <v>47</v>
      </c>
      <c r="E304">
        <v>3</v>
      </c>
      <c r="F304" s="4">
        <v>468.74</v>
      </c>
      <c r="G304" t="s">
        <v>71</v>
      </c>
      <c r="H304" t="s">
        <v>95</v>
      </c>
      <c r="I304">
        <v>4</v>
      </c>
      <c r="J304" t="s">
        <v>43</v>
      </c>
      <c r="K304" t="s">
        <v>28</v>
      </c>
      <c r="L304" s="4">
        <v>1406.22</v>
      </c>
      <c r="M304" t="str">
        <f>VLOOKUP(D304,tblProduct[],2,FALSE)</f>
        <v>Furniture</v>
      </c>
      <c r="N304" t="str">
        <f>VLOOKUP(D304,tblProduct[],3,FALSE)</f>
        <v>Medium</v>
      </c>
      <c r="O304">
        <f>VLOOKUP(D304,tblProduct[],4,FALSE)</f>
        <v>70000</v>
      </c>
      <c r="P304">
        <v>1406.22</v>
      </c>
      <c r="Q304" s="19" t="str">
        <f t="shared" si="4"/>
        <v>May-2023</v>
      </c>
      <c r="R304" s="26">
        <f>DATE(YEAR(tblEnriched[[#This Row],[Date]]),MONTH(tblEnriched[[#This Row],[Date]]),1)</f>
        <v>45047</v>
      </c>
    </row>
    <row r="305" spans="1:18">
      <c r="A305" t="s">
        <v>1210</v>
      </c>
      <c r="B305" s="10">
        <v>45633</v>
      </c>
      <c r="C305" t="s">
        <v>1211</v>
      </c>
      <c r="D305" t="s">
        <v>38</v>
      </c>
      <c r="E305">
        <v>1</v>
      </c>
      <c r="F305" s="4">
        <v>30.54</v>
      </c>
      <c r="G305" t="s">
        <v>24</v>
      </c>
      <c r="H305" t="s">
        <v>49</v>
      </c>
      <c r="I305">
        <v>1</v>
      </c>
      <c r="K305" t="s">
        <v>82</v>
      </c>
      <c r="L305" s="4">
        <v>30.54</v>
      </c>
      <c r="M305" t="str">
        <f>VLOOKUP(D305,tblProduct[],2,FALSE)</f>
        <v>Electronics</v>
      </c>
      <c r="N305" t="str">
        <f>VLOOKUP(D305,tblProduct[],3,FALSE)</f>
        <v>Medium</v>
      </c>
      <c r="O305">
        <f>VLOOKUP(D305,tblProduct[],4,FALSE)</f>
        <v>100000</v>
      </c>
      <c r="P305">
        <v>30.54</v>
      </c>
      <c r="Q305" s="19" t="str">
        <f t="shared" si="4"/>
        <v>Dec-2024</v>
      </c>
      <c r="R305" s="26">
        <f>DATE(YEAR(tblEnriched[[#This Row],[Date]]),MONTH(tblEnriched[[#This Row],[Date]]),1)</f>
        <v>45627</v>
      </c>
    </row>
    <row r="306" spans="1:18">
      <c r="A306" t="s">
        <v>1214</v>
      </c>
      <c r="B306" s="10">
        <v>45583</v>
      </c>
      <c r="C306" t="s">
        <v>1215</v>
      </c>
      <c r="D306" t="s">
        <v>22</v>
      </c>
      <c r="E306">
        <v>5</v>
      </c>
      <c r="F306" s="4">
        <v>408.73</v>
      </c>
      <c r="G306" t="s">
        <v>66</v>
      </c>
      <c r="H306" t="s">
        <v>56</v>
      </c>
      <c r="I306">
        <v>10</v>
      </c>
      <c r="J306" t="s">
        <v>43</v>
      </c>
      <c r="K306" t="s">
        <v>28</v>
      </c>
      <c r="L306" s="4">
        <v>2043.65</v>
      </c>
      <c r="M306" t="str">
        <f>VLOOKUP(D306,tblProduct[],2,FALSE)</f>
        <v>Electronics</v>
      </c>
      <c r="N306" t="str">
        <f>VLOOKUP(D306,tblProduct[],3,FALSE)</f>
        <v>Medium</v>
      </c>
      <c r="O306">
        <f>VLOOKUP(D306,tblProduct[],4,FALSE)</f>
        <v>90000</v>
      </c>
      <c r="P306">
        <v>2043.65</v>
      </c>
      <c r="Q306" s="19" t="str">
        <f t="shared" si="4"/>
        <v>Oct-2024</v>
      </c>
      <c r="R306" s="26">
        <f>DATE(YEAR(tblEnriched[[#This Row],[Date]]),MONTH(tblEnriched[[#This Row],[Date]]),1)</f>
        <v>45566</v>
      </c>
    </row>
    <row r="307" spans="1:18">
      <c r="A307" t="s">
        <v>1218</v>
      </c>
      <c r="B307" s="10">
        <v>45255</v>
      </c>
      <c r="C307" t="s">
        <v>1219</v>
      </c>
      <c r="D307" t="s">
        <v>64</v>
      </c>
      <c r="E307">
        <v>4</v>
      </c>
      <c r="F307" s="4">
        <v>126.89</v>
      </c>
      <c r="G307" t="s">
        <v>71</v>
      </c>
      <c r="H307" t="s">
        <v>95</v>
      </c>
      <c r="I307">
        <v>9</v>
      </c>
      <c r="J307" t="s">
        <v>43</v>
      </c>
      <c r="K307" t="s">
        <v>28</v>
      </c>
      <c r="L307" s="4">
        <v>507.56</v>
      </c>
      <c r="M307" t="str">
        <f>VLOOKUP(D307,tblProduct[],2,FALSE)</f>
        <v>Electronics</v>
      </c>
      <c r="N307" t="str">
        <f>VLOOKUP(D307,tblProduct[],3,FALSE)</f>
        <v>High</v>
      </c>
      <c r="O307">
        <f>VLOOKUP(D307,tblProduct[],4,FALSE)</f>
        <v>150000</v>
      </c>
      <c r="P307">
        <v>507.56</v>
      </c>
      <c r="Q307" s="19" t="str">
        <f t="shared" si="4"/>
        <v>Nov-2023</v>
      </c>
      <c r="R307" s="26">
        <f>DATE(YEAR(tblEnriched[[#This Row],[Date]]),MONTH(tblEnriched[[#This Row],[Date]]),1)</f>
        <v>45231</v>
      </c>
    </row>
    <row r="308" spans="1:18">
      <c r="A308" t="s">
        <v>1222</v>
      </c>
      <c r="B308" s="10">
        <v>45450</v>
      </c>
      <c r="C308" t="s">
        <v>1223</v>
      </c>
      <c r="D308" t="s">
        <v>54</v>
      </c>
      <c r="E308">
        <v>2</v>
      </c>
      <c r="F308" s="4">
        <v>57.07</v>
      </c>
      <c r="G308" t="s">
        <v>24</v>
      </c>
      <c r="H308" t="s">
        <v>49</v>
      </c>
      <c r="I308">
        <v>3</v>
      </c>
      <c r="J308" t="s">
        <v>27</v>
      </c>
      <c r="K308" t="s">
        <v>28</v>
      </c>
      <c r="L308" s="4">
        <v>114.14</v>
      </c>
      <c r="M308" t="str">
        <f>VLOOKUP(D308,tblProduct[],2,FALSE)</f>
        <v>Electronics</v>
      </c>
      <c r="N308" t="str">
        <f>VLOOKUP(D308,tblProduct[],3,FALSE)</f>
        <v>Medium</v>
      </c>
      <c r="O308">
        <f>VLOOKUP(D308,tblProduct[],4,FALSE)</f>
        <v>80000</v>
      </c>
      <c r="P308">
        <v>114.14</v>
      </c>
      <c r="Q308" s="19" t="str">
        <f t="shared" si="4"/>
        <v>Jun-2024</v>
      </c>
      <c r="R308" s="26">
        <f>DATE(YEAR(tblEnriched[[#This Row],[Date]]),MONTH(tblEnriched[[#This Row],[Date]]),1)</f>
        <v>45444</v>
      </c>
    </row>
    <row r="309" spans="1:18">
      <c r="A309" t="s">
        <v>1226</v>
      </c>
      <c r="B309" s="10">
        <v>45108</v>
      </c>
      <c r="C309" t="s">
        <v>1227</v>
      </c>
      <c r="D309" t="s">
        <v>64</v>
      </c>
      <c r="E309">
        <v>3</v>
      </c>
      <c r="F309" s="4">
        <v>557.41</v>
      </c>
      <c r="G309" t="s">
        <v>33</v>
      </c>
      <c r="H309" t="s">
        <v>56</v>
      </c>
      <c r="I309">
        <v>4</v>
      </c>
      <c r="K309" t="s">
        <v>44</v>
      </c>
      <c r="L309" s="4">
        <v>1672.23</v>
      </c>
      <c r="M309" t="str">
        <f>VLOOKUP(D309,tblProduct[],2,FALSE)</f>
        <v>Electronics</v>
      </c>
      <c r="N309" t="str">
        <f>VLOOKUP(D309,tblProduct[],3,FALSE)</f>
        <v>High</v>
      </c>
      <c r="O309">
        <f>VLOOKUP(D309,tblProduct[],4,FALSE)</f>
        <v>150000</v>
      </c>
      <c r="P309">
        <v>1672.23</v>
      </c>
      <c r="Q309" s="19" t="str">
        <f t="shared" si="4"/>
        <v>Jul-2023</v>
      </c>
      <c r="R309" s="26">
        <f>DATE(YEAR(tblEnriched[[#This Row],[Date]]),MONTH(tblEnriched[[#This Row],[Date]]),1)</f>
        <v>45108</v>
      </c>
    </row>
    <row r="310" spans="1:18">
      <c r="A310" t="s">
        <v>1230</v>
      </c>
      <c r="B310" s="10">
        <v>45271</v>
      </c>
      <c r="C310" t="s">
        <v>1231</v>
      </c>
      <c r="D310" t="s">
        <v>54</v>
      </c>
      <c r="E310">
        <v>3</v>
      </c>
      <c r="F310" s="4">
        <v>448.9</v>
      </c>
      <c r="G310" t="s">
        <v>24</v>
      </c>
      <c r="H310" t="s">
        <v>49</v>
      </c>
      <c r="I310">
        <v>7</v>
      </c>
      <c r="J310" t="s">
        <v>27</v>
      </c>
      <c r="K310" t="s">
        <v>28</v>
      </c>
      <c r="L310" s="4">
        <v>1346.7</v>
      </c>
      <c r="M310" t="str">
        <f>VLOOKUP(D310,tblProduct[],2,FALSE)</f>
        <v>Electronics</v>
      </c>
      <c r="N310" t="str">
        <f>VLOOKUP(D310,tblProduct[],3,FALSE)</f>
        <v>Medium</v>
      </c>
      <c r="O310">
        <f>VLOOKUP(D310,tblProduct[],4,FALSE)</f>
        <v>80000</v>
      </c>
      <c r="P310">
        <v>1346.7</v>
      </c>
      <c r="Q310" s="19" t="str">
        <f t="shared" si="4"/>
        <v>Dec-2023</v>
      </c>
      <c r="R310" s="26">
        <f>DATE(YEAR(tblEnriched[[#This Row],[Date]]),MONTH(tblEnriched[[#This Row],[Date]]),1)</f>
        <v>45261</v>
      </c>
    </row>
    <row r="311" spans="1:18">
      <c r="A311" t="s">
        <v>1233</v>
      </c>
      <c r="B311" s="10">
        <v>45202</v>
      </c>
      <c r="C311" t="s">
        <v>1234</v>
      </c>
      <c r="D311" t="s">
        <v>47</v>
      </c>
      <c r="E311">
        <v>4</v>
      </c>
      <c r="F311" s="4">
        <v>549.76</v>
      </c>
      <c r="G311" t="s">
        <v>24</v>
      </c>
      <c r="H311" t="s">
        <v>56</v>
      </c>
      <c r="I311">
        <v>4</v>
      </c>
      <c r="J311" t="s">
        <v>43</v>
      </c>
      <c r="K311" t="s">
        <v>51</v>
      </c>
      <c r="L311" s="4">
        <v>2199.04</v>
      </c>
      <c r="M311" t="str">
        <f>VLOOKUP(D311,tblProduct[],2,FALSE)</f>
        <v>Furniture</v>
      </c>
      <c r="N311" t="str">
        <f>VLOOKUP(D311,tblProduct[],3,FALSE)</f>
        <v>Medium</v>
      </c>
      <c r="O311">
        <f>VLOOKUP(D311,tblProduct[],4,FALSE)</f>
        <v>70000</v>
      </c>
      <c r="P311">
        <v>2199.04</v>
      </c>
      <c r="Q311" s="19" t="str">
        <f t="shared" si="4"/>
        <v>Oct-2023</v>
      </c>
      <c r="R311" s="26">
        <f>DATE(YEAR(tblEnriched[[#This Row],[Date]]),MONTH(tblEnriched[[#This Row],[Date]]),1)</f>
        <v>45200</v>
      </c>
    </row>
    <row r="312" spans="1:18">
      <c r="A312" t="s">
        <v>1237</v>
      </c>
      <c r="B312" s="10">
        <v>45346</v>
      </c>
      <c r="C312" t="s">
        <v>1238</v>
      </c>
      <c r="D312" t="s">
        <v>54</v>
      </c>
      <c r="E312">
        <v>3</v>
      </c>
      <c r="F312" s="4">
        <v>132.47999999999999</v>
      </c>
      <c r="G312" t="s">
        <v>33</v>
      </c>
      <c r="H312" t="s">
        <v>25</v>
      </c>
      <c r="I312">
        <v>4</v>
      </c>
      <c r="K312" t="s">
        <v>35</v>
      </c>
      <c r="L312" s="4">
        <v>397.43999999999988</v>
      </c>
      <c r="M312" t="str">
        <f>VLOOKUP(D312,tblProduct[],2,FALSE)</f>
        <v>Electronics</v>
      </c>
      <c r="N312" t="str">
        <f>VLOOKUP(D312,tblProduct[],3,FALSE)</f>
        <v>Medium</v>
      </c>
      <c r="O312">
        <f>VLOOKUP(D312,tblProduct[],4,FALSE)</f>
        <v>80000</v>
      </c>
      <c r="P312">
        <v>397.43999999999988</v>
      </c>
      <c r="Q312" s="19" t="str">
        <f t="shared" si="4"/>
        <v>Feb-2024</v>
      </c>
      <c r="R312" s="26">
        <f>DATE(YEAR(tblEnriched[[#This Row],[Date]]),MONTH(tblEnriched[[#This Row],[Date]]),1)</f>
        <v>45323</v>
      </c>
    </row>
    <row r="313" spans="1:18">
      <c r="A313" t="s">
        <v>1241</v>
      </c>
      <c r="B313" s="10">
        <v>45794</v>
      </c>
      <c r="C313" t="s">
        <v>1242</v>
      </c>
      <c r="D313" t="s">
        <v>79</v>
      </c>
      <c r="E313">
        <v>5</v>
      </c>
      <c r="F313" s="4">
        <v>489.37</v>
      </c>
      <c r="G313" t="s">
        <v>33</v>
      </c>
      <c r="H313" t="s">
        <v>49</v>
      </c>
      <c r="I313">
        <v>8</v>
      </c>
      <c r="K313" t="s">
        <v>28</v>
      </c>
      <c r="L313" s="4">
        <v>2446.85</v>
      </c>
      <c r="M313" t="str">
        <f>VLOOKUP(D313,tblProduct[],2,FALSE)</f>
        <v>Furniture</v>
      </c>
      <c r="N313" t="str">
        <f>VLOOKUP(D313,tblProduct[],3,FALSE)</f>
        <v>High</v>
      </c>
      <c r="O313">
        <f>VLOOKUP(D313,tblProduct[],4,FALSE)</f>
        <v>75000</v>
      </c>
      <c r="P313">
        <v>2446.85</v>
      </c>
      <c r="Q313" s="19" t="str">
        <f t="shared" si="4"/>
        <v>May-2025</v>
      </c>
      <c r="R313" s="26">
        <f>DATE(YEAR(tblEnriched[[#This Row],[Date]]),MONTH(tblEnriched[[#This Row],[Date]]),1)</f>
        <v>45778</v>
      </c>
    </row>
    <row r="314" spans="1:18">
      <c r="A314" t="s">
        <v>1245</v>
      </c>
      <c r="B314" s="10">
        <v>45801</v>
      </c>
      <c r="C314" t="s">
        <v>1246</v>
      </c>
      <c r="D314" t="s">
        <v>54</v>
      </c>
      <c r="E314">
        <v>5</v>
      </c>
      <c r="F314" s="4">
        <v>66.31</v>
      </c>
      <c r="G314" t="s">
        <v>66</v>
      </c>
      <c r="H314" t="s">
        <v>95</v>
      </c>
      <c r="I314">
        <v>7</v>
      </c>
      <c r="J314" t="s">
        <v>43</v>
      </c>
      <c r="K314" t="s">
        <v>35</v>
      </c>
      <c r="L314" s="4">
        <v>331.55</v>
      </c>
      <c r="M314" t="str">
        <f>VLOOKUP(D314,tblProduct[],2,FALSE)</f>
        <v>Electronics</v>
      </c>
      <c r="N314" t="str">
        <f>VLOOKUP(D314,tblProduct[],3,FALSE)</f>
        <v>Medium</v>
      </c>
      <c r="O314">
        <f>VLOOKUP(D314,tblProduct[],4,FALSE)</f>
        <v>80000</v>
      </c>
      <c r="P314">
        <v>331.55</v>
      </c>
      <c r="Q314" s="19" t="str">
        <f t="shared" si="4"/>
        <v>May-2025</v>
      </c>
      <c r="R314" s="26">
        <f>DATE(YEAR(tblEnriched[[#This Row],[Date]]),MONTH(tblEnriched[[#This Row],[Date]]),1)</f>
        <v>45778</v>
      </c>
    </row>
    <row r="315" spans="1:18">
      <c r="A315" t="s">
        <v>1248</v>
      </c>
      <c r="B315" s="10">
        <v>45116</v>
      </c>
      <c r="C315" t="s">
        <v>1249</v>
      </c>
      <c r="D315" t="s">
        <v>47</v>
      </c>
      <c r="E315">
        <v>2</v>
      </c>
      <c r="F315" s="4">
        <v>434.3</v>
      </c>
      <c r="G315" t="s">
        <v>71</v>
      </c>
      <c r="H315" t="s">
        <v>56</v>
      </c>
      <c r="I315">
        <v>7</v>
      </c>
      <c r="J315" t="s">
        <v>27</v>
      </c>
      <c r="K315" t="s">
        <v>28</v>
      </c>
      <c r="L315" s="4">
        <v>868.6</v>
      </c>
      <c r="M315" t="str">
        <f>VLOOKUP(D315,tblProduct[],2,FALSE)</f>
        <v>Furniture</v>
      </c>
      <c r="N315" t="str">
        <f>VLOOKUP(D315,tblProduct[],3,FALSE)</f>
        <v>Medium</v>
      </c>
      <c r="O315">
        <f>VLOOKUP(D315,tblProduct[],4,FALSE)</f>
        <v>70000</v>
      </c>
      <c r="P315">
        <v>868.6</v>
      </c>
      <c r="Q315" s="19" t="str">
        <f t="shared" si="4"/>
        <v>Jul-2023</v>
      </c>
      <c r="R315" s="26">
        <f>DATE(YEAR(tblEnriched[[#This Row],[Date]]),MONTH(tblEnriched[[#This Row],[Date]]),1)</f>
        <v>45108</v>
      </c>
    </row>
    <row r="316" spans="1:18">
      <c r="A316" t="s">
        <v>1252</v>
      </c>
      <c r="B316" s="10">
        <v>45203</v>
      </c>
      <c r="C316" t="s">
        <v>1253</v>
      </c>
      <c r="D316" t="s">
        <v>79</v>
      </c>
      <c r="E316">
        <v>4</v>
      </c>
      <c r="F316" s="4">
        <v>153.09</v>
      </c>
      <c r="G316" t="s">
        <v>33</v>
      </c>
      <c r="H316" t="s">
        <v>56</v>
      </c>
      <c r="I316">
        <v>4</v>
      </c>
      <c r="J316" t="s">
        <v>43</v>
      </c>
      <c r="K316" t="s">
        <v>35</v>
      </c>
      <c r="L316" s="4">
        <v>612.36</v>
      </c>
      <c r="M316" t="str">
        <f>VLOOKUP(D316,tblProduct[],2,FALSE)</f>
        <v>Furniture</v>
      </c>
      <c r="N316" t="str">
        <f>VLOOKUP(D316,tblProduct[],3,FALSE)</f>
        <v>High</v>
      </c>
      <c r="O316">
        <f>VLOOKUP(D316,tblProduct[],4,FALSE)</f>
        <v>75000</v>
      </c>
      <c r="P316">
        <v>612.36</v>
      </c>
      <c r="Q316" s="19" t="str">
        <f t="shared" si="4"/>
        <v>Oct-2023</v>
      </c>
      <c r="R316" s="26">
        <f>DATE(YEAR(tblEnriched[[#This Row],[Date]]),MONTH(tblEnriched[[#This Row],[Date]]),1)</f>
        <v>45200</v>
      </c>
    </row>
    <row r="317" spans="1:18">
      <c r="A317" t="s">
        <v>1256</v>
      </c>
      <c r="B317" s="10">
        <v>45789</v>
      </c>
      <c r="C317" t="s">
        <v>1257</v>
      </c>
      <c r="D317" t="s">
        <v>38</v>
      </c>
      <c r="E317">
        <v>5</v>
      </c>
      <c r="F317" s="4">
        <v>91.67</v>
      </c>
      <c r="G317" t="s">
        <v>33</v>
      </c>
      <c r="H317" t="s">
        <v>41</v>
      </c>
      <c r="I317">
        <v>9</v>
      </c>
      <c r="J317" t="s">
        <v>43</v>
      </c>
      <c r="K317" t="s">
        <v>44</v>
      </c>
      <c r="L317" s="4">
        <v>458.35</v>
      </c>
      <c r="M317" t="str">
        <f>VLOOKUP(D317,tblProduct[],2,FALSE)</f>
        <v>Electronics</v>
      </c>
      <c r="N317" t="str">
        <f>VLOOKUP(D317,tblProduct[],3,FALSE)</f>
        <v>Medium</v>
      </c>
      <c r="O317">
        <f>VLOOKUP(D317,tblProduct[],4,FALSE)</f>
        <v>100000</v>
      </c>
      <c r="P317">
        <v>458.35</v>
      </c>
      <c r="Q317" s="19" t="str">
        <f t="shared" si="4"/>
        <v>May-2025</v>
      </c>
      <c r="R317" s="26">
        <f>DATE(YEAR(tblEnriched[[#This Row],[Date]]),MONTH(tblEnriched[[#This Row],[Date]]),1)</f>
        <v>45778</v>
      </c>
    </row>
    <row r="318" spans="1:18">
      <c r="A318" t="s">
        <v>1260</v>
      </c>
      <c r="B318" s="10">
        <v>45201</v>
      </c>
      <c r="C318" t="s">
        <v>1261</v>
      </c>
      <c r="D318" t="s">
        <v>79</v>
      </c>
      <c r="E318">
        <v>4</v>
      </c>
      <c r="F318" s="4">
        <v>275.27999999999997</v>
      </c>
      <c r="G318" t="s">
        <v>66</v>
      </c>
      <c r="H318" t="s">
        <v>25</v>
      </c>
      <c r="I318">
        <v>9</v>
      </c>
      <c r="J318" t="s">
        <v>87</v>
      </c>
      <c r="K318" t="s">
        <v>51</v>
      </c>
      <c r="L318" s="4">
        <v>1101.1199999999999</v>
      </c>
      <c r="M318" t="str">
        <f>VLOOKUP(D318,tblProduct[],2,FALSE)</f>
        <v>Furniture</v>
      </c>
      <c r="N318" t="str">
        <f>VLOOKUP(D318,tblProduct[],3,FALSE)</f>
        <v>High</v>
      </c>
      <c r="O318">
        <f>VLOOKUP(D318,tblProduct[],4,FALSE)</f>
        <v>75000</v>
      </c>
      <c r="P318">
        <v>1101.1199999999999</v>
      </c>
      <c r="Q318" s="19" t="str">
        <f t="shared" si="4"/>
        <v>Oct-2023</v>
      </c>
      <c r="R318" s="26">
        <f>DATE(YEAR(tblEnriched[[#This Row],[Date]]),MONTH(tblEnriched[[#This Row],[Date]]),1)</f>
        <v>45200</v>
      </c>
    </row>
    <row r="319" spans="1:18">
      <c r="A319" t="s">
        <v>1264</v>
      </c>
      <c r="B319" s="10">
        <v>45026</v>
      </c>
      <c r="C319" t="s">
        <v>1265</v>
      </c>
      <c r="D319" t="s">
        <v>22</v>
      </c>
      <c r="E319">
        <v>2</v>
      </c>
      <c r="F319" s="4">
        <v>139.94999999999999</v>
      </c>
      <c r="G319" t="s">
        <v>33</v>
      </c>
      <c r="H319" t="s">
        <v>49</v>
      </c>
      <c r="I319">
        <v>5</v>
      </c>
      <c r="K319" t="s">
        <v>28</v>
      </c>
      <c r="L319" s="4">
        <v>279.89999999999998</v>
      </c>
      <c r="M319" t="str">
        <f>VLOOKUP(D319,tblProduct[],2,FALSE)</f>
        <v>Electronics</v>
      </c>
      <c r="N319" t="str">
        <f>VLOOKUP(D319,tblProduct[],3,FALSE)</f>
        <v>Medium</v>
      </c>
      <c r="O319">
        <f>VLOOKUP(D319,tblProduct[],4,FALSE)</f>
        <v>90000</v>
      </c>
      <c r="P319">
        <v>279.89999999999998</v>
      </c>
      <c r="Q319" s="19" t="str">
        <f t="shared" si="4"/>
        <v>Apr-2023</v>
      </c>
      <c r="R319" s="26">
        <f>DATE(YEAR(tblEnriched[[#This Row],[Date]]),MONTH(tblEnriched[[#This Row],[Date]]),1)</f>
        <v>45017</v>
      </c>
    </row>
    <row r="320" spans="1:18">
      <c r="A320" t="s">
        <v>1268</v>
      </c>
      <c r="B320" s="10">
        <v>45500</v>
      </c>
      <c r="C320" t="s">
        <v>1269</v>
      </c>
      <c r="D320" t="s">
        <v>47</v>
      </c>
      <c r="E320">
        <v>3</v>
      </c>
      <c r="F320" s="4">
        <v>148.72</v>
      </c>
      <c r="G320" t="s">
        <v>24</v>
      </c>
      <c r="H320" t="s">
        <v>41</v>
      </c>
      <c r="I320">
        <v>7</v>
      </c>
      <c r="J320" t="s">
        <v>27</v>
      </c>
      <c r="K320" t="s">
        <v>82</v>
      </c>
      <c r="L320" s="4">
        <v>446.16</v>
      </c>
      <c r="M320" t="str">
        <f>VLOOKUP(D320,tblProduct[],2,FALSE)</f>
        <v>Furniture</v>
      </c>
      <c r="N320" t="str">
        <f>VLOOKUP(D320,tblProduct[],3,FALSE)</f>
        <v>Medium</v>
      </c>
      <c r="O320">
        <f>VLOOKUP(D320,tblProduct[],4,FALSE)</f>
        <v>70000</v>
      </c>
      <c r="P320">
        <v>446.16</v>
      </c>
      <c r="Q320" s="19" t="str">
        <f t="shared" si="4"/>
        <v>Jul-2024</v>
      </c>
      <c r="R320" s="26">
        <f>DATE(YEAR(tblEnriched[[#This Row],[Date]]),MONTH(tblEnriched[[#This Row],[Date]]),1)</f>
        <v>45474</v>
      </c>
    </row>
    <row r="321" spans="1:18">
      <c r="A321" t="s">
        <v>1271</v>
      </c>
      <c r="B321" s="10">
        <v>45262</v>
      </c>
      <c r="C321" t="s">
        <v>1272</v>
      </c>
      <c r="D321" t="s">
        <v>64</v>
      </c>
      <c r="E321">
        <v>2</v>
      </c>
      <c r="F321" s="4">
        <v>563.05999999999995</v>
      </c>
      <c r="G321" t="s">
        <v>71</v>
      </c>
      <c r="H321" t="s">
        <v>49</v>
      </c>
      <c r="I321">
        <v>6</v>
      </c>
      <c r="K321" t="s">
        <v>28</v>
      </c>
      <c r="L321" s="4">
        <v>1126.1199999999999</v>
      </c>
      <c r="M321" t="str">
        <f>VLOOKUP(D321,tblProduct[],2,FALSE)</f>
        <v>Electronics</v>
      </c>
      <c r="N321" t="str">
        <f>VLOOKUP(D321,tblProduct[],3,FALSE)</f>
        <v>High</v>
      </c>
      <c r="O321">
        <f>VLOOKUP(D321,tblProduct[],4,FALSE)</f>
        <v>150000</v>
      </c>
      <c r="P321">
        <v>1126.1199999999999</v>
      </c>
      <c r="Q321" s="19" t="str">
        <f t="shared" si="4"/>
        <v>Dec-2023</v>
      </c>
      <c r="R321" s="26">
        <f>DATE(YEAR(tblEnriched[[#This Row],[Date]]),MONTH(tblEnriched[[#This Row],[Date]]),1)</f>
        <v>45261</v>
      </c>
    </row>
    <row r="322" spans="1:18">
      <c r="A322" t="s">
        <v>1275</v>
      </c>
      <c r="B322" s="10">
        <v>45645</v>
      </c>
      <c r="C322" t="s">
        <v>1276</v>
      </c>
      <c r="D322" t="s">
        <v>54</v>
      </c>
      <c r="E322">
        <v>1</v>
      </c>
      <c r="F322" s="4">
        <v>625.51</v>
      </c>
      <c r="G322" t="s">
        <v>40</v>
      </c>
      <c r="H322" t="s">
        <v>25</v>
      </c>
      <c r="I322">
        <v>1</v>
      </c>
      <c r="J322" t="s">
        <v>43</v>
      </c>
      <c r="K322" t="s">
        <v>51</v>
      </c>
      <c r="L322" s="4">
        <v>625.51</v>
      </c>
      <c r="M322" t="str">
        <f>VLOOKUP(D322,tblProduct[],2,FALSE)</f>
        <v>Electronics</v>
      </c>
      <c r="N322" t="str">
        <f>VLOOKUP(D322,tblProduct[],3,FALSE)</f>
        <v>Medium</v>
      </c>
      <c r="O322">
        <f>VLOOKUP(D322,tblProduct[],4,FALSE)</f>
        <v>80000</v>
      </c>
      <c r="P322">
        <v>625.51</v>
      </c>
      <c r="Q322" s="19" t="str">
        <f t="shared" ref="Q322:Q385" si="5">TEXT(B322,"mmm-yyyy")</f>
        <v>Dec-2024</v>
      </c>
      <c r="R322" s="26">
        <f>DATE(YEAR(tblEnriched[[#This Row],[Date]]),MONTH(tblEnriched[[#This Row],[Date]]),1)</f>
        <v>45627</v>
      </c>
    </row>
    <row r="323" spans="1:18">
      <c r="A323" t="s">
        <v>1279</v>
      </c>
      <c r="B323" s="10">
        <v>45147</v>
      </c>
      <c r="C323" t="s">
        <v>1280</v>
      </c>
      <c r="D323" t="s">
        <v>31</v>
      </c>
      <c r="E323">
        <v>4</v>
      </c>
      <c r="F323" s="4">
        <v>152.29</v>
      </c>
      <c r="G323" t="s">
        <v>24</v>
      </c>
      <c r="H323" t="s">
        <v>41</v>
      </c>
      <c r="I323">
        <v>6</v>
      </c>
      <c r="J323" t="s">
        <v>87</v>
      </c>
      <c r="K323" t="s">
        <v>82</v>
      </c>
      <c r="L323" s="4">
        <v>609.16</v>
      </c>
      <c r="M323" t="str">
        <f>VLOOKUP(D323,tblProduct[],2,FALSE)</f>
        <v>Electronics</v>
      </c>
      <c r="N323" t="str">
        <f>VLOOKUP(D323,tblProduct[],3,FALSE)</f>
        <v>High</v>
      </c>
      <c r="O323">
        <f>VLOOKUP(D323,tblProduct[],4,FALSE)</f>
        <v>120000</v>
      </c>
      <c r="P323">
        <v>609.16</v>
      </c>
      <c r="Q323" s="19" t="str">
        <f t="shared" si="5"/>
        <v>Aug-2023</v>
      </c>
      <c r="R323" s="26">
        <f>DATE(YEAR(tblEnriched[[#This Row],[Date]]),MONTH(tblEnriched[[#This Row],[Date]]),1)</f>
        <v>45139</v>
      </c>
    </row>
    <row r="324" spans="1:18">
      <c r="A324" t="s">
        <v>1282</v>
      </c>
      <c r="B324" s="10">
        <v>45457</v>
      </c>
      <c r="C324" t="s">
        <v>1283</v>
      </c>
      <c r="D324" t="s">
        <v>31</v>
      </c>
      <c r="E324">
        <v>5</v>
      </c>
      <c r="F324" s="4">
        <v>231.82</v>
      </c>
      <c r="G324" t="s">
        <v>24</v>
      </c>
      <c r="H324" t="s">
        <v>56</v>
      </c>
      <c r="I324">
        <v>6</v>
      </c>
      <c r="J324" t="s">
        <v>27</v>
      </c>
      <c r="K324" t="s">
        <v>51</v>
      </c>
      <c r="L324" s="4">
        <v>1159.0999999999999</v>
      </c>
      <c r="M324" t="str">
        <f>VLOOKUP(D324,tblProduct[],2,FALSE)</f>
        <v>Electronics</v>
      </c>
      <c r="N324" t="str">
        <f>VLOOKUP(D324,tblProduct[],3,FALSE)</f>
        <v>High</v>
      </c>
      <c r="O324">
        <f>VLOOKUP(D324,tblProduct[],4,FALSE)</f>
        <v>120000</v>
      </c>
      <c r="P324">
        <v>1159.0999999999999</v>
      </c>
      <c r="Q324" s="19" t="str">
        <f t="shared" si="5"/>
        <v>Jun-2024</v>
      </c>
      <c r="R324" s="26">
        <f>DATE(YEAR(tblEnriched[[#This Row],[Date]]),MONTH(tblEnriched[[#This Row],[Date]]),1)</f>
        <v>45444</v>
      </c>
    </row>
    <row r="325" spans="1:18">
      <c r="A325" t="s">
        <v>1285</v>
      </c>
      <c r="B325" s="10">
        <v>45683</v>
      </c>
      <c r="C325" t="s">
        <v>1286</v>
      </c>
      <c r="D325" t="s">
        <v>64</v>
      </c>
      <c r="E325">
        <v>1</v>
      </c>
      <c r="F325" s="4">
        <v>150.16999999999999</v>
      </c>
      <c r="G325" t="s">
        <v>24</v>
      </c>
      <c r="H325" t="s">
        <v>49</v>
      </c>
      <c r="I325">
        <v>1</v>
      </c>
      <c r="J325" t="s">
        <v>27</v>
      </c>
      <c r="K325" t="s">
        <v>35</v>
      </c>
      <c r="L325" s="4">
        <v>150.16999999999999</v>
      </c>
      <c r="M325" t="str">
        <f>VLOOKUP(D325,tblProduct[],2,FALSE)</f>
        <v>Electronics</v>
      </c>
      <c r="N325" t="str">
        <f>VLOOKUP(D325,tblProduct[],3,FALSE)</f>
        <v>High</v>
      </c>
      <c r="O325">
        <f>VLOOKUP(D325,tblProduct[],4,FALSE)</f>
        <v>150000</v>
      </c>
      <c r="P325">
        <v>150.16999999999999</v>
      </c>
      <c r="Q325" s="19" t="str">
        <f t="shared" si="5"/>
        <v>Jan-2025</v>
      </c>
      <c r="R325" s="26">
        <f>DATE(YEAR(tblEnriched[[#This Row],[Date]]),MONTH(tblEnriched[[#This Row],[Date]]),1)</f>
        <v>45658</v>
      </c>
    </row>
    <row r="326" spans="1:18">
      <c r="A326" t="s">
        <v>1289</v>
      </c>
      <c r="B326" s="10">
        <v>45456</v>
      </c>
      <c r="C326" t="s">
        <v>1290</v>
      </c>
      <c r="D326" t="s">
        <v>38</v>
      </c>
      <c r="E326">
        <v>3</v>
      </c>
      <c r="F326" s="4">
        <v>70.930000000000007</v>
      </c>
      <c r="G326" t="s">
        <v>24</v>
      </c>
      <c r="H326" t="s">
        <v>49</v>
      </c>
      <c r="I326">
        <v>5</v>
      </c>
      <c r="K326" t="s">
        <v>35</v>
      </c>
      <c r="L326" s="4">
        <v>212.79</v>
      </c>
      <c r="M326" t="str">
        <f>VLOOKUP(D326,tblProduct[],2,FALSE)</f>
        <v>Electronics</v>
      </c>
      <c r="N326" t="str">
        <f>VLOOKUP(D326,tblProduct[],3,FALSE)</f>
        <v>Medium</v>
      </c>
      <c r="O326">
        <f>VLOOKUP(D326,tblProduct[],4,FALSE)</f>
        <v>100000</v>
      </c>
      <c r="P326">
        <v>212.79</v>
      </c>
      <c r="Q326" s="19" t="str">
        <f t="shared" si="5"/>
        <v>Jun-2024</v>
      </c>
      <c r="R326" s="26">
        <f>DATE(YEAR(tblEnriched[[#This Row],[Date]]),MONTH(tblEnriched[[#This Row],[Date]]),1)</f>
        <v>45444</v>
      </c>
    </row>
    <row r="327" spans="1:18">
      <c r="A327" t="s">
        <v>1293</v>
      </c>
      <c r="B327" s="10">
        <v>45106</v>
      </c>
      <c r="C327" t="s">
        <v>1294</v>
      </c>
      <c r="D327" t="s">
        <v>79</v>
      </c>
      <c r="E327">
        <v>3</v>
      </c>
      <c r="F327" s="4">
        <v>361.39</v>
      </c>
      <c r="G327" t="s">
        <v>40</v>
      </c>
      <c r="H327" t="s">
        <v>25</v>
      </c>
      <c r="I327">
        <v>8</v>
      </c>
      <c r="K327" t="s">
        <v>35</v>
      </c>
      <c r="L327" s="4">
        <v>1084.17</v>
      </c>
      <c r="M327" t="str">
        <f>VLOOKUP(D327,tblProduct[],2,FALSE)</f>
        <v>Furniture</v>
      </c>
      <c r="N327" t="str">
        <f>VLOOKUP(D327,tblProduct[],3,FALSE)</f>
        <v>High</v>
      </c>
      <c r="O327">
        <f>VLOOKUP(D327,tblProduct[],4,FALSE)</f>
        <v>75000</v>
      </c>
      <c r="P327">
        <v>1084.17</v>
      </c>
      <c r="Q327" s="19" t="str">
        <f t="shared" si="5"/>
        <v>Jun-2023</v>
      </c>
      <c r="R327" s="26">
        <f>DATE(YEAR(tblEnriched[[#This Row],[Date]]),MONTH(tblEnriched[[#This Row],[Date]]),1)</f>
        <v>45078</v>
      </c>
    </row>
    <row r="328" spans="1:18">
      <c r="A328" t="s">
        <v>1297</v>
      </c>
      <c r="B328" s="10">
        <v>45474</v>
      </c>
      <c r="C328" t="s">
        <v>1298</v>
      </c>
      <c r="D328" t="s">
        <v>64</v>
      </c>
      <c r="E328">
        <v>5</v>
      </c>
      <c r="F328" s="4">
        <v>670.48</v>
      </c>
      <c r="G328" t="s">
        <v>66</v>
      </c>
      <c r="H328" t="s">
        <v>49</v>
      </c>
      <c r="I328">
        <v>5</v>
      </c>
      <c r="J328" t="s">
        <v>27</v>
      </c>
      <c r="K328" t="s">
        <v>51</v>
      </c>
      <c r="L328" s="4">
        <v>3352.4</v>
      </c>
      <c r="M328" t="str">
        <f>VLOOKUP(D328,tblProduct[],2,FALSE)</f>
        <v>Electronics</v>
      </c>
      <c r="N328" t="str">
        <f>VLOOKUP(D328,tblProduct[],3,FALSE)</f>
        <v>High</v>
      </c>
      <c r="O328">
        <f>VLOOKUP(D328,tblProduct[],4,FALSE)</f>
        <v>150000</v>
      </c>
      <c r="P328">
        <v>3352.4</v>
      </c>
      <c r="Q328" s="19" t="str">
        <f t="shared" si="5"/>
        <v>Jul-2024</v>
      </c>
      <c r="R328" s="26">
        <f>DATE(YEAR(tblEnriched[[#This Row],[Date]]),MONTH(tblEnriched[[#This Row],[Date]]),1)</f>
        <v>45474</v>
      </c>
    </row>
    <row r="329" spans="1:18">
      <c r="A329" t="s">
        <v>1300</v>
      </c>
      <c r="B329" s="10">
        <v>45132</v>
      </c>
      <c r="C329" t="s">
        <v>1301</v>
      </c>
      <c r="D329" t="s">
        <v>31</v>
      </c>
      <c r="E329">
        <v>1</v>
      </c>
      <c r="F329" s="4">
        <v>359.99</v>
      </c>
      <c r="G329" t="s">
        <v>66</v>
      </c>
      <c r="H329" t="s">
        <v>41</v>
      </c>
      <c r="I329">
        <v>5</v>
      </c>
      <c r="J329" t="s">
        <v>27</v>
      </c>
      <c r="K329" t="s">
        <v>44</v>
      </c>
      <c r="L329" s="4">
        <v>359.99</v>
      </c>
      <c r="M329" t="str">
        <f>VLOOKUP(D329,tblProduct[],2,FALSE)</f>
        <v>Electronics</v>
      </c>
      <c r="N329" t="str">
        <f>VLOOKUP(D329,tblProduct[],3,FALSE)</f>
        <v>High</v>
      </c>
      <c r="O329">
        <f>VLOOKUP(D329,tblProduct[],4,FALSE)</f>
        <v>120000</v>
      </c>
      <c r="P329">
        <v>359.99</v>
      </c>
      <c r="Q329" s="19" t="str">
        <f t="shared" si="5"/>
        <v>Jul-2023</v>
      </c>
      <c r="R329" s="26">
        <f>DATE(YEAR(tblEnriched[[#This Row],[Date]]),MONTH(tblEnriched[[#This Row],[Date]]),1)</f>
        <v>45108</v>
      </c>
    </row>
    <row r="330" spans="1:18">
      <c r="A330" t="s">
        <v>1303</v>
      </c>
      <c r="B330" s="10">
        <v>44985</v>
      </c>
      <c r="C330" t="s">
        <v>1304</v>
      </c>
      <c r="D330" t="s">
        <v>38</v>
      </c>
      <c r="E330">
        <v>5</v>
      </c>
      <c r="F330" s="4">
        <v>674.04</v>
      </c>
      <c r="G330" t="s">
        <v>33</v>
      </c>
      <c r="H330" t="s">
        <v>41</v>
      </c>
      <c r="I330">
        <v>7</v>
      </c>
      <c r="J330" t="s">
        <v>27</v>
      </c>
      <c r="K330" t="s">
        <v>82</v>
      </c>
      <c r="L330" s="4">
        <v>3370.2</v>
      </c>
      <c r="M330" t="str">
        <f>VLOOKUP(D330,tblProduct[],2,FALSE)</f>
        <v>Electronics</v>
      </c>
      <c r="N330" t="str">
        <f>VLOOKUP(D330,tblProduct[],3,FALSE)</f>
        <v>Medium</v>
      </c>
      <c r="O330">
        <f>VLOOKUP(D330,tblProduct[],4,FALSE)</f>
        <v>100000</v>
      </c>
      <c r="P330">
        <v>3370.2</v>
      </c>
      <c r="Q330" s="19" t="str">
        <f t="shared" si="5"/>
        <v>Feb-2023</v>
      </c>
      <c r="R330" s="26">
        <f>DATE(YEAR(tblEnriched[[#This Row],[Date]]),MONTH(tblEnriched[[#This Row],[Date]]),1)</f>
        <v>44958</v>
      </c>
    </row>
    <row r="331" spans="1:18">
      <c r="A331" t="s">
        <v>1307</v>
      </c>
      <c r="B331" s="10">
        <v>45651</v>
      </c>
      <c r="C331" t="s">
        <v>1308</v>
      </c>
      <c r="D331" t="s">
        <v>47</v>
      </c>
      <c r="E331">
        <v>4</v>
      </c>
      <c r="F331" s="4">
        <v>283.16000000000003</v>
      </c>
      <c r="G331" t="s">
        <v>40</v>
      </c>
      <c r="H331" t="s">
        <v>25</v>
      </c>
      <c r="I331">
        <v>6</v>
      </c>
      <c r="K331" t="s">
        <v>82</v>
      </c>
      <c r="L331" s="4">
        <v>1132.6400000000001</v>
      </c>
      <c r="M331" t="str">
        <f>VLOOKUP(D331,tblProduct[],2,FALSE)</f>
        <v>Furniture</v>
      </c>
      <c r="N331" t="str">
        <f>VLOOKUP(D331,tblProduct[],3,FALSE)</f>
        <v>Medium</v>
      </c>
      <c r="O331">
        <f>VLOOKUP(D331,tblProduct[],4,FALSE)</f>
        <v>70000</v>
      </c>
      <c r="P331">
        <v>1132.6400000000001</v>
      </c>
      <c r="Q331" s="19" t="str">
        <f t="shared" si="5"/>
        <v>Dec-2024</v>
      </c>
      <c r="R331" s="26">
        <f>DATE(YEAR(tblEnriched[[#This Row],[Date]]),MONTH(tblEnriched[[#This Row],[Date]]),1)</f>
        <v>45627</v>
      </c>
    </row>
    <row r="332" spans="1:18">
      <c r="A332" t="s">
        <v>1310</v>
      </c>
      <c r="B332" s="10">
        <v>45445</v>
      </c>
      <c r="C332" t="s">
        <v>1311</v>
      </c>
      <c r="D332" t="s">
        <v>79</v>
      </c>
      <c r="E332">
        <v>5</v>
      </c>
      <c r="F332" s="4">
        <v>260.52999999999997</v>
      </c>
      <c r="G332" t="s">
        <v>66</v>
      </c>
      <c r="H332" t="s">
        <v>95</v>
      </c>
      <c r="I332">
        <v>5</v>
      </c>
      <c r="J332" t="s">
        <v>27</v>
      </c>
      <c r="K332" t="s">
        <v>28</v>
      </c>
      <c r="L332" s="4">
        <v>1302.6500000000001</v>
      </c>
      <c r="M332" t="str">
        <f>VLOOKUP(D332,tblProduct[],2,FALSE)</f>
        <v>Furniture</v>
      </c>
      <c r="N332" t="str">
        <f>VLOOKUP(D332,tblProduct[],3,FALSE)</f>
        <v>High</v>
      </c>
      <c r="O332">
        <f>VLOOKUP(D332,tblProduct[],4,FALSE)</f>
        <v>75000</v>
      </c>
      <c r="P332">
        <v>1302.6500000000001</v>
      </c>
      <c r="Q332" s="19" t="str">
        <f t="shared" si="5"/>
        <v>Jun-2024</v>
      </c>
      <c r="R332" s="26">
        <f>DATE(YEAR(tblEnriched[[#This Row],[Date]]),MONTH(tblEnriched[[#This Row],[Date]]),1)</f>
        <v>45444</v>
      </c>
    </row>
    <row r="333" spans="1:18">
      <c r="A333" t="s">
        <v>1314</v>
      </c>
      <c r="B333" s="10">
        <v>45031</v>
      </c>
      <c r="C333" t="s">
        <v>1315</v>
      </c>
      <c r="D333" t="s">
        <v>54</v>
      </c>
      <c r="E333">
        <v>3</v>
      </c>
      <c r="F333" s="4">
        <v>422.13</v>
      </c>
      <c r="G333" t="s">
        <v>33</v>
      </c>
      <c r="H333" t="s">
        <v>56</v>
      </c>
      <c r="I333">
        <v>7</v>
      </c>
      <c r="J333" t="s">
        <v>27</v>
      </c>
      <c r="K333" t="s">
        <v>51</v>
      </c>
      <c r="L333" s="4">
        <v>1266.3900000000001</v>
      </c>
      <c r="M333" t="str">
        <f>VLOOKUP(D333,tblProduct[],2,FALSE)</f>
        <v>Electronics</v>
      </c>
      <c r="N333" t="str">
        <f>VLOOKUP(D333,tblProduct[],3,FALSE)</f>
        <v>Medium</v>
      </c>
      <c r="O333">
        <f>VLOOKUP(D333,tblProduct[],4,FALSE)</f>
        <v>80000</v>
      </c>
      <c r="P333">
        <v>1266.3900000000001</v>
      </c>
      <c r="Q333" s="19" t="str">
        <f t="shared" si="5"/>
        <v>Apr-2023</v>
      </c>
      <c r="R333" s="26">
        <f>DATE(YEAR(tblEnriched[[#This Row],[Date]]),MONTH(tblEnriched[[#This Row],[Date]]),1)</f>
        <v>45017</v>
      </c>
    </row>
    <row r="334" spans="1:18">
      <c r="A334" t="s">
        <v>1317</v>
      </c>
      <c r="B334" s="10">
        <v>45476</v>
      </c>
      <c r="C334" t="s">
        <v>1318</v>
      </c>
      <c r="D334" t="s">
        <v>79</v>
      </c>
      <c r="E334">
        <v>5</v>
      </c>
      <c r="F334" s="4">
        <v>125.02</v>
      </c>
      <c r="G334" t="s">
        <v>24</v>
      </c>
      <c r="H334" t="s">
        <v>95</v>
      </c>
      <c r="I334">
        <v>9</v>
      </c>
      <c r="J334" t="s">
        <v>27</v>
      </c>
      <c r="K334" t="s">
        <v>82</v>
      </c>
      <c r="L334" s="4">
        <v>625.1</v>
      </c>
      <c r="M334" t="str">
        <f>VLOOKUP(D334,tblProduct[],2,FALSE)</f>
        <v>Furniture</v>
      </c>
      <c r="N334" t="str">
        <f>VLOOKUP(D334,tblProduct[],3,FALSE)</f>
        <v>High</v>
      </c>
      <c r="O334">
        <f>VLOOKUP(D334,tblProduct[],4,FALSE)</f>
        <v>75000</v>
      </c>
      <c r="P334">
        <v>625.1</v>
      </c>
      <c r="Q334" s="19" t="str">
        <f t="shared" si="5"/>
        <v>Jul-2024</v>
      </c>
      <c r="R334" s="26">
        <f>DATE(YEAR(tblEnriched[[#This Row],[Date]]),MONTH(tblEnriched[[#This Row],[Date]]),1)</f>
        <v>45474</v>
      </c>
    </row>
    <row r="335" spans="1:18">
      <c r="A335" t="s">
        <v>1321</v>
      </c>
      <c r="B335" s="10">
        <v>45398</v>
      </c>
      <c r="C335" t="s">
        <v>1322</v>
      </c>
      <c r="D335" t="s">
        <v>31</v>
      </c>
      <c r="E335">
        <v>1</v>
      </c>
      <c r="F335" s="4">
        <v>198.51</v>
      </c>
      <c r="G335" t="s">
        <v>40</v>
      </c>
      <c r="H335" t="s">
        <v>49</v>
      </c>
      <c r="I335">
        <v>5</v>
      </c>
      <c r="J335" t="s">
        <v>87</v>
      </c>
      <c r="K335" t="s">
        <v>28</v>
      </c>
      <c r="L335" s="4">
        <v>198.51</v>
      </c>
      <c r="M335" t="str">
        <f>VLOOKUP(D335,tblProduct[],2,FALSE)</f>
        <v>Electronics</v>
      </c>
      <c r="N335" t="str">
        <f>VLOOKUP(D335,tblProduct[],3,FALSE)</f>
        <v>High</v>
      </c>
      <c r="O335">
        <f>VLOOKUP(D335,tblProduct[],4,FALSE)</f>
        <v>120000</v>
      </c>
      <c r="P335">
        <v>198.51</v>
      </c>
      <c r="Q335" s="19" t="str">
        <f t="shared" si="5"/>
        <v>Apr-2024</v>
      </c>
      <c r="R335" s="26">
        <f>DATE(YEAR(tblEnriched[[#This Row],[Date]]),MONTH(tblEnriched[[#This Row],[Date]]),1)</f>
        <v>45383</v>
      </c>
    </row>
    <row r="336" spans="1:18">
      <c r="A336" t="s">
        <v>1325</v>
      </c>
      <c r="B336" s="10">
        <v>45377</v>
      </c>
      <c r="C336" t="s">
        <v>1326</v>
      </c>
      <c r="D336" t="s">
        <v>47</v>
      </c>
      <c r="E336">
        <v>4</v>
      </c>
      <c r="F336" s="4">
        <v>224.75</v>
      </c>
      <c r="G336" t="s">
        <v>33</v>
      </c>
      <c r="H336" t="s">
        <v>56</v>
      </c>
      <c r="I336">
        <v>7</v>
      </c>
      <c r="J336" t="s">
        <v>87</v>
      </c>
      <c r="K336" t="s">
        <v>51</v>
      </c>
      <c r="L336" s="4">
        <v>899</v>
      </c>
      <c r="M336" t="str">
        <f>VLOOKUP(D336,tblProduct[],2,FALSE)</f>
        <v>Furniture</v>
      </c>
      <c r="N336" t="str">
        <f>VLOOKUP(D336,tblProduct[],3,FALSE)</f>
        <v>Medium</v>
      </c>
      <c r="O336">
        <f>VLOOKUP(D336,tblProduct[],4,FALSE)</f>
        <v>70000</v>
      </c>
      <c r="P336">
        <v>899</v>
      </c>
      <c r="Q336" s="19" t="str">
        <f t="shared" si="5"/>
        <v>Mar-2024</v>
      </c>
      <c r="R336" s="26">
        <f>DATE(YEAR(tblEnriched[[#This Row],[Date]]),MONTH(tblEnriched[[#This Row],[Date]]),1)</f>
        <v>45352</v>
      </c>
    </row>
    <row r="337" spans="1:18">
      <c r="A337" t="s">
        <v>1329</v>
      </c>
      <c r="B337" s="10">
        <v>45719</v>
      </c>
      <c r="C337" t="s">
        <v>1330</v>
      </c>
      <c r="D337" t="s">
        <v>38</v>
      </c>
      <c r="E337">
        <v>3</v>
      </c>
      <c r="F337" s="4">
        <v>205.86</v>
      </c>
      <c r="G337" t="s">
        <v>66</v>
      </c>
      <c r="H337" t="s">
        <v>25</v>
      </c>
      <c r="I337">
        <v>4</v>
      </c>
      <c r="K337" t="s">
        <v>44</v>
      </c>
      <c r="L337" s="4">
        <v>617.58000000000004</v>
      </c>
      <c r="M337" t="str">
        <f>VLOOKUP(D337,tblProduct[],2,FALSE)</f>
        <v>Electronics</v>
      </c>
      <c r="N337" t="str">
        <f>VLOOKUP(D337,tblProduct[],3,FALSE)</f>
        <v>Medium</v>
      </c>
      <c r="O337">
        <f>VLOOKUP(D337,tblProduct[],4,FALSE)</f>
        <v>100000</v>
      </c>
      <c r="P337">
        <v>617.58000000000004</v>
      </c>
      <c r="Q337" s="19" t="str">
        <f t="shared" si="5"/>
        <v>Mar-2025</v>
      </c>
      <c r="R337" s="26">
        <f>DATE(YEAR(tblEnriched[[#This Row],[Date]]),MONTH(tblEnriched[[#This Row],[Date]]),1)</f>
        <v>45717</v>
      </c>
    </row>
    <row r="338" spans="1:18">
      <c r="A338" t="s">
        <v>1332</v>
      </c>
      <c r="B338" s="10">
        <v>45289</v>
      </c>
      <c r="C338" t="s">
        <v>1333</v>
      </c>
      <c r="D338" t="s">
        <v>64</v>
      </c>
      <c r="E338">
        <v>1</v>
      </c>
      <c r="F338" s="4">
        <v>18.2</v>
      </c>
      <c r="G338" t="s">
        <v>24</v>
      </c>
      <c r="H338" t="s">
        <v>95</v>
      </c>
      <c r="I338">
        <v>4</v>
      </c>
      <c r="J338" t="s">
        <v>27</v>
      </c>
      <c r="K338" t="s">
        <v>28</v>
      </c>
      <c r="L338" s="4">
        <v>18.2</v>
      </c>
      <c r="M338" t="str">
        <f>VLOOKUP(D338,tblProduct[],2,FALSE)</f>
        <v>Electronics</v>
      </c>
      <c r="N338" t="str">
        <f>VLOOKUP(D338,tblProduct[],3,FALSE)</f>
        <v>High</v>
      </c>
      <c r="O338">
        <f>VLOOKUP(D338,tblProduct[],4,FALSE)</f>
        <v>150000</v>
      </c>
      <c r="P338">
        <v>18.2</v>
      </c>
      <c r="Q338" s="19" t="str">
        <f t="shared" si="5"/>
        <v>Dec-2023</v>
      </c>
      <c r="R338" s="26">
        <f>DATE(YEAR(tblEnriched[[#This Row],[Date]]),MONTH(tblEnriched[[#This Row],[Date]]),1)</f>
        <v>45261</v>
      </c>
    </row>
    <row r="339" spans="1:18">
      <c r="A339" t="s">
        <v>1336</v>
      </c>
      <c r="B339" s="10">
        <v>45075</v>
      </c>
      <c r="C339" t="s">
        <v>1337</v>
      </c>
      <c r="D339" t="s">
        <v>38</v>
      </c>
      <c r="E339">
        <v>3</v>
      </c>
      <c r="F339" s="4">
        <v>502.77</v>
      </c>
      <c r="G339" t="s">
        <v>24</v>
      </c>
      <c r="H339" t="s">
        <v>49</v>
      </c>
      <c r="I339">
        <v>8</v>
      </c>
      <c r="J339" t="s">
        <v>87</v>
      </c>
      <c r="K339" t="s">
        <v>44</v>
      </c>
      <c r="L339" s="4">
        <v>1508.31</v>
      </c>
      <c r="M339" t="str">
        <f>VLOOKUP(D339,tblProduct[],2,FALSE)</f>
        <v>Electronics</v>
      </c>
      <c r="N339" t="str">
        <f>VLOOKUP(D339,tblProduct[],3,FALSE)</f>
        <v>Medium</v>
      </c>
      <c r="O339">
        <f>VLOOKUP(D339,tblProduct[],4,FALSE)</f>
        <v>100000</v>
      </c>
      <c r="P339">
        <v>1508.31</v>
      </c>
      <c r="Q339" s="19" t="str">
        <f t="shared" si="5"/>
        <v>May-2023</v>
      </c>
      <c r="R339" s="26">
        <f>DATE(YEAR(tblEnriched[[#This Row],[Date]]),MONTH(tblEnriched[[#This Row],[Date]]),1)</f>
        <v>45047</v>
      </c>
    </row>
    <row r="340" spans="1:18">
      <c r="A340" t="s">
        <v>1340</v>
      </c>
      <c r="B340" s="10">
        <v>45238</v>
      </c>
      <c r="C340" t="s">
        <v>1341</v>
      </c>
      <c r="D340" t="s">
        <v>31</v>
      </c>
      <c r="E340">
        <v>5</v>
      </c>
      <c r="F340" s="4">
        <v>305.49</v>
      </c>
      <c r="G340" t="s">
        <v>24</v>
      </c>
      <c r="H340" t="s">
        <v>25</v>
      </c>
      <c r="I340">
        <v>10</v>
      </c>
      <c r="K340" t="s">
        <v>35</v>
      </c>
      <c r="L340" s="4">
        <v>1527.45</v>
      </c>
      <c r="M340" t="str">
        <f>VLOOKUP(D340,tblProduct[],2,FALSE)</f>
        <v>Electronics</v>
      </c>
      <c r="N340" t="str">
        <f>VLOOKUP(D340,tblProduct[],3,FALSE)</f>
        <v>High</v>
      </c>
      <c r="O340">
        <f>VLOOKUP(D340,tblProduct[],4,FALSE)</f>
        <v>120000</v>
      </c>
      <c r="P340">
        <v>1527.45</v>
      </c>
      <c r="Q340" s="19" t="str">
        <f t="shared" si="5"/>
        <v>Nov-2023</v>
      </c>
      <c r="R340" s="26">
        <f>DATE(YEAR(tblEnriched[[#This Row],[Date]]),MONTH(tblEnriched[[#This Row],[Date]]),1)</f>
        <v>45231</v>
      </c>
    </row>
    <row r="341" spans="1:18">
      <c r="A341" t="s">
        <v>1344</v>
      </c>
      <c r="B341" s="10">
        <v>45392</v>
      </c>
      <c r="C341" t="s">
        <v>1345</v>
      </c>
      <c r="D341" t="s">
        <v>54</v>
      </c>
      <c r="E341">
        <v>2</v>
      </c>
      <c r="F341" s="4">
        <v>236.33</v>
      </c>
      <c r="G341" t="s">
        <v>33</v>
      </c>
      <c r="H341" t="s">
        <v>95</v>
      </c>
      <c r="I341">
        <v>3</v>
      </c>
      <c r="J341" t="s">
        <v>27</v>
      </c>
      <c r="K341" t="s">
        <v>28</v>
      </c>
      <c r="L341" s="4">
        <v>472.66</v>
      </c>
      <c r="M341" t="str">
        <f>VLOOKUP(D341,tblProduct[],2,FALSE)</f>
        <v>Electronics</v>
      </c>
      <c r="N341" t="str">
        <f>VLOOKUP(D341,tblProduct[],3,FALSE)</f>
        <v>Medium</v>
      </c>
      <c r="O341">
        <f>VLOOKUP(D341,tblProduct[],4,FALSE)</f>
        <v>80000</v>
      </c>
      <c r="P341">
        <v>472.66</v>
      </c>
      <c r="Q341" s="19" t="str">
        <f t="shared" si="5"/>
        <v>Apr-2024</v>
      </c>
      <c r="R341" s="26">
        <f>DATE(YEAR(tblEnriched[[#This Row],[Date]]),MONTH(tblEnriched[[#This Row],[Date]]),1)</f>
        <v>45383</v>
      </c>
    </row>
    <row r="342" spans="1:18">
      <c r="A342" t="s">
        <v>1348</v>
      </c>
      <c r="B342" s="10">
        <v>45039</v>
      </c>
      <c r="C342" t="s">
        <v>1349</v>
      </c>
      <c r="D342" t="s">
        <v>64</v>
      </c>
      <c r="E342">
        <v>5</v>
      </c>
      <c r="F342" s="4">
        <v>521.25</v>
      </c>
      <c r="G342" t="s">
        <v>71</v>
      </c>
      <c r="H342" t="s">
        <v>41</v>
      </c>
      <c r="I342">
        <v>8</v>
      </c>
      <c r="K342" t="s">
        <v>44</v>
      </c>
      <c r="L342" s="4">
        <v>2606.25</v>
      </c>
      <c r="M342" t="str">
        <f>VLOOKUP(D342,tblProduct[],2,FALSE)</f>
        <v>Electronics</v>
      </c>
      <c r="N342" t="str">
        <f>VLOOKUP(D342,tblProduct[],3,FALSE)</f>
        <v>High</v>
      </c>
      <c r="O342">
        <f>VLOOKUP(D342,tblProduct[],4,FALSE)</f>
        <v>150000</v>
      </c>
      <c r="P342">
        <v>2606.25</v>
      </c>
      <c r="Q342" s="19" t="str">
        <f t="shared" si="5"/>
        <v>Apr-2023</v>
      </c>
      <c r="R342" s="26">
        <f>DATE(YEAR(tblEnriched[[#This Row],[Date]]),MONTH(tblEnriched[[#This Row],[Date]]),1)</f>
        <v>45017</v>
      </c>
    </row>
    <row r="343" spans="1:18">
      <c r="A343" t="s">
        <v>1352</v>
      </c>
      <c r="B343" s="10">
        <v>45558</v>
      </c>
      <c r="C343" t="s">
        <v>1353</v>
      </c>
      <c r="D343" t="s">
        <v>38</v>
      </c>
      <c r="E343">
        <v>1</v>
      </c>
      <c r="F343" s="4">
        <v>167.15</v>
      </c>
      <c r="G343" t="s">
        <v>66</v>
      </c>
      <c r="H343" t="s">
        <v>25</v>
      </c>
      <c r="I343">
        <v>5</v>
      </c>
      <c r="J343" t="s">
        <v>87</v>
      </c>
      <c r="K343" t="s">
        <v>44</v>
      </c>
      <c r="L343" s="4">
        <v>167.15</v>
      </c>
      <c r="M343" t="str">
        <f>VLOOKUP(D343,tblProduct[],2,FALSE)</f>
        <v>Electronics</v>
      </c>
      <c r="N343" t="str">
        <f>VLOOKUP(D343,tblProduct[],3,FALSE)</f>
        <v>Medium</v>
      </c>
      <c r="O343">
        <f>VLOOKUP(D343,tblProduct[],4,FALSE)</f>
        <v>100000</v>
      </c>
      <c r="P343">
        <v>167.15</v>
      </c>
      <c r="Q343" s="19" t="str">
        <f t="shared" si="5"/>
        <v>Sep-2024</v>
      </c>
      <c r="R343" s="26">
        <f>DATE(YEAR(tblEnriched[[#This Row],[Date]]),MONTH(tblEnriched[[#This Row],[Date]]),1)</f>
        <v>45536</v>
      </c>
    </row>
    <row r="344" spans="1:18">
      <c r="A344" t="s">
        <v>1356</v>
      </c>
      <c r="B344" s="10">
        <v>45832</v>
      </c>
      <c r="C344" t="s">
        <v>1357</v>
      </c>
      <c r="D344" t="s">
        <v>22</v>
      </c>
      <c r="E344">
        <v>5</v>
      </c>
      <c r="F344" s="4">
        <v>466.42</v>
      </c>
      <c r="G344" t="s">
        <v>66</v>
      </c>
      <c r="H344" t="s">
        <v>49</v>
      </c>
      <c r="I344">
        <v>5</v>
      </c>
      <c r="K344" t="s">
        <v>35</v>
      </c>
      <c r="L344" s="4">
        <v>2332.1</v>
      </c>
      <c r="M344" t="str">
        <f>VLOOKUP(D344,tblProduct[],2,FALSE)</f>
        <v>Electronics</v>
      </c>
      <c r="N344" t="str">
        <f>VLOOKUP(D344,tblProduct[],3,FALSE)</f>
        <v>Medium</v>
      </c>
      <c r="O344">
        <f>VLOOKUP(D344,tblProduct[],4,FALSE)</f>
        <v>90000</v>
      </c>
      <c r="P344">
        <v>2332.1</v>
      </c>
      <c r="Q344" s="19" t="str">
        <f t="shared" si="5"/>
        <v>Jun-2025</v>
      </c>
      <c r="R344" s="26">
        <f>DATE(YEAR(tblEnriched[[#This Row],[Date]]),MONTH(tblEnriched[[#This Row],[Date]]),1)</f>
        <v>45809</v>
      </c>
    </row>
    <row r="345" spans="1:18">
      <c r="A345" t="s">
        <v>1360</v>
      </c>
      <c r="B345" s="10">
        <v>44983</v>
      </c>
      <c r="C345" t="s">
        <v>1361</v>
      </c>
      <c r="D345" t="s">
        <v>54</v>
      </c>
      <c r="E345">
        <v>1</v>
      </c>
      <c r="F345" s="4">
        <v>527.57000000000005</v>
      </c>
      <c r="G345" t="s">
        <v>24</v>
      </c>
      <c r="H345" t="s">
        <v>95</v>
      </c>
      <c r="I345">
        <v>3</v>
      </c>
      <c r="J345" t="s">
        <v>43</v>
      </c>
      <c r="K345" t="s">
        <v>51</v>
      </c>
      <c r="L345" s="4">
        <v>527.57000000000005</v>
      </c>
      <c r="M345" t="str">
        <f>VLOOKUP(D345,tblProduct[],2,FALSE)</f>
        <v>Electronics</v>
      </c>
      <c r="N345" t="str">
        <f>VLOOKUP(D345,tblProduct[],3,FALSE)</f>
        <v>Medium</v>
      </c>
      <c r="O345">
        <f>VLOOKUP(D345,tblProduct[],4,FALSE)</f>
        <v>80000</v>
      </c>
      <c r="P345">
        <v>527.57000000000005</v>
      </c>
      <c r="Q345" s="19" t="str">
        <f t="shared" si="5"/>
        <v>Feb-2023</v>
      </c>
      <c r="R345" s="26">
        <f>DATE(YEAR(tblEnriched[[#This Row],[Date]]),MONTH(tblEnriched[[#This Row],[Date]]),1)</f>
        <v>44958</v>
      </c>
    </row>
    <row r="346" spans="1:18">
      <c r="A346" t="s">
        <v>1364</v>
      </c>
      <c r="B346" s="10">
        <v>45722</v>
      </c>
      <c r="C346" t="s">
        <v>1365</v>
      </c>
      <c r="D346" t="s">
        <v>38</v>
      </c>
      <c r="E346">
        <v>3</v>
      </c>
      <c r="F346" s="4">
        <v>623.34</v>
      </c>
      <c r="G346" t="s">
        <v>33</v>
      </c>
      <c r="H346" t="s">
        <v>41</v>
      </c>
      <c r="I346">
        <v>3</v>
      </c>
      <c r="J346" t="s">
        <v>27</v>
      </c>
      <c r="K346" t="s">
        <v>28</v>
      </c>
      <c r="L346" s="4">
        <v>1870.02</v>
      </c>
      <c r="M346" t="str">
        <f>VLOOKUP(D346,tblProduct[],2,FALSE)</f>
        <v>Electronics</v>
      </c>
      <c r="N346" t="str">
        <f>VLOOKUP(D346,tblProduct[],3,FALSE)</f>
        <v>Medium</v>
      </c>
      <c r="O346">
        <f>VLOOKUP(D346,tblProduct[],4,FALSE)</f>
        <v>100000</v>
      </c>
      <c r="P346">
        <v>1870.02</v>
      </c>
      <c r="Q346" s="19" t="str">
        <f t="shared" si="5"/>
        <v>Mar-2025</v>
      </c>
      <c r="R346" s="26">
        <f>DATE(YEAR(tblEnriched[[#This Row],[Date]]),MONTH(tblEnriched[[#This Row],[Date]]),1)</f>
        <v>45717</v>
      </c>
    </row>
    <row r="347" spans="1:18">
      <c r="A347" t="s">
        <v>1368</v>
      </c>
      <c r="B347" s="10">
        <v>45267</v>
      </c>
      <c r="C347" t="s">
        <v>1369</v>
      </c>
      <c r="D347" t="s">
        <v>38</v>
      </c>
      <c r="E347">
        <v>5</v>
      </c>
      <c r="F347" s="4">
        <v>501.26</v>
      </c>
      <c r="G347" t="s">
        <v>66</v>
      </c>
      <c r="H347" t="s">
        <v>25</v>
      </c>
      <c r="I347">
        <v>10</v>
      </c>
      <c r="J347" t="s">
        <v>43</v>
      </c>
      <c r="K347" t="s">
        <v>35</v>
      </c>
      <c r="L347" s="4">
        <v>2506.3000000000002</v>
      </c>
      <c r="M347" t="str">
        <f>VLOOKUP(D347,tblProduct[],2,FALSE)</f>
        <v>Electronics</v>
      </c>
      <c r="N347" t="str">
        <f>VLOOKUP(D347,tblProduct[],3,FALSE)</f>
        <v>Medium</v>
      </c>
      <c r="O347">
        <f>VLOOKUP(D347,tblProduct[],4,FALSE)</f>
        <v>100000</v>
      </c>
      <c r="P347">
        <v>2506.3000000000002</v>
      </c>
      <c r="Q347" s="19" t="str">
        <f t="shared" si="5"/>
        <v>Dec-2023</v>
      </c>
      <c r="R347" s="26">
        <f>DATE(YEAR(tblEnriched[[#This Row],[Date]]),MONTH(tblEnriched[[#This Row],[Date]]),1)</f>
        <v>45261</v>
      </c>
    </row>
    <row r="348" spans="1:18">
      <c r="A348" t="s">
        <v>1372</v>
      </c>
      <c r="B348" s="10">
        <v>45632</v>
      </c>
      <c r="C348" t="s">
        <v>1373</v>
      </c>
      <c r="D348" t="s">
        <v>38</v>
      </c>
      <c r="E348">
        <v>1</v>
      </c>
      <c r="F348" s="4">
        <v>655.09</v>
      </c>
      <c r="G348" t="s">
        <v>71</v>
      </c>
      <c r="H348" t="s">
        <v>95</v>
      </c>
      <c r="I348">
        <v>6</v>
      </c>
      <c r="K348" t="s">
        <v>35</v>
      </c>
      <c r="L348" s="4">
        <v>655.09</v>
      </c>
      <c r="M348" t="str">
        <f>VLOOKUP(D348,tblProduct[],2,FALSE)</f>
        <v>Electronics</v>
      </c>
      <c r="N348" t="str">
        <f>VLOOKUP(D348,tblProduct[],3,FALSE)</f>
        <v>Medium</v>
      </c>
      <c r="O348">
        <f>VLOOKUP(D348,tblProduct[],4,FALSE)</f>
        <v>100000</v>
      </c>
      <c r="P348">
        <v>655.09</v>
      </c>
      <c r="Q348" s="19" t="str">
        <f t="shared" si="5"/>
        <v>Dec-2024</v>
      </c>
      <c r="R348" s="26">
        <f>DATE(YEAR(tblEnriched[[#This Row],[Date]]),MONTH(tblEnriched[[#This Row],[Date]]),1)</f>
        <v>45627</v>
      </c>
    </row>
    <row r="349" spans="1:18">
      <c r="A349" t="s">
        <v>1376</v>
      </c>
      <c r="B349" s="10">
        <v>45325</v>
      </c>
      <c r="C349" t="s">
        <v>1377</v>
      </c>
      <c r="D349" t="s">
        <v>54</v>
      </c>
      <c r="E349">
        <v>4</v>
      </c>
      <c r="F349" s="4">
        <v>264.79000000000002</v>
      </c>
      <c r="G349" t="s">
        <v>40</v>
      </c>
      <c r="H349" t="s">
        <v>95</v>
      </c>
      <c r="I349">
        <v>5</v>
      </c>
      <c r="J349" t="s">
        <v>27</v>
      </c>
      <c r="K349" t="s">
        <v>82</v>
      </c>
      <c r="L349" s="4">
        <v>1059.1600000000001</v>
      </c>
      <c r="M349" t="str">
        <f>VLOOKUP(D349,tblProduct[],2,FALSE)</f>
        <v>Electronics</v>
      </c>
      <c r="N349" t="str">
        <f>VLOOKUP(D349,tblProduct[],3,FALSE)</f>
        <v>Medium</v>
      </c>
      <c r="O349">
        <f>VLOOKUP(D349,tblProduct[],4,FALSE)</f>
        <v>80000</v>
      </c>
      <c r="P349">
        <v>1059.1600000000001</v>
      </c>
      <c r="Q349" s="19" t="str">
        <f t="shared" si="5"/>
        <v>Feb-2024</v>
      </c>
      <c r="R349" s="26">
        <f>DATE(YEAR(tblEnriched[[#This Row],[Date]]),MONTH(tblEnriched[[#This Row],[Date]]),1)</f>
        <v>45323</v>
      </c>
    </row>
    <row r="350" spans="1:18">
      <c r="A350" t="s">
        <v>1380</v>
      </c>
      <c r="B350" s="10">
        <v>45364</v>
      </c>
      <c r="C350" t="s">
        <v>1381</v>
      </c>
      <c r="D350" t="s">
        <v>64</v>
      </c>
      <c r="E350">
        <v>3</v>
      </c>
      <c r="F350" s="4">
        <v>359.73</v>
      </c>
      <c r="G350" t="s">
        <v>24</v>
      </c>
      <c r="H350" t="s">
        <v>49</v>
      </c>
      <c r="I350">
        <v>7</v>
      </c>
      <c r="J350" t="s">
        <v>43</v>
      </c>
      <c r="K350" t="s">
        <v>44</v>
      </c>
      <c r="L350" s="4">
        <v>1079.19</v>
      </c>
      <c r="M350" t="str">
        <f>VLOOKUP(D350,tblProduct[],2,FALSE)</f>
        <v>Electronics</v>
      </c>
      <c r="N350" t="str">
        <f>VLOOKUP(D350,tblProduct[],3,FALSE)</f>
        <v>High</v>
      </c>
      <c r="O350">
        <f>VLOOKUP(D350,tblProduct[],4,FALSE)</f>
        <v>150000</v>
      </c>
      <c r="P350">
        <v>1079.19</v>
      </c>
      <c r="Q350" s="19" t="str">
        <f t="shared" si="5"/>
        <v>Mar-2024</v>
      </c>
      <c r="R350" s="26">
        <f>DATE(YEAR(tblEnriched[[#This Row],[Date]]),MONTH(tblEnriched[[#This Row],[Date]]),1)</f>
        <v>45352</v>
      </c>
    </row>
    <row r="351" spans="1:18">
      <c r="A351" t="s">
        <v>1384</v>
      </c>
      <c r="B351" s="10">
        <v>45260</v>
      </c>
      <c r="C351" t="s">
        <v>1385</v>
      </c>
      <c r="D351" t="s">
        <v>47</v>
      </c>
      <c r="E351">
        <v>1</v>
      </c>
      <c r="F351" s="4">
        <v>465.33</v>
      </c>
      <c r="G351" t="s">
        <v>66</v>
      </c>
      <c r="H351" t="s">
        <v>56</v>
      </c>
      <c r="I351">
        <v>2</v>
      </c>
      <c r="J351" t="s">
        <v>43</v>
      </c>
      <c r="K351" t="s">
        <v>82</v>
      </c>
      <c r="L351" s="4">
        <v>465.33</v>
      </c>
      <c r="M351" t="str">
        <f>VLOOKUP(D351,tblProduct[],2,FALSE)</f>
        <v>Furniture</v>
      </c>
      <c r="N351" t="str">
        <f>VLOOKUP(D351,tblProduct[],3,FALSE)</f>
        <v>Medium</v>
      </c>
      <c r="O351">
        <f>VLOOKUP(D351,tblProduct[],4,FALSE)</f>
        <v>70000</v>
      </c>
      <c r="P351">
        <v>465.33</v>
      </c>
      <c r="Q351" s="19" t="str">
        <f t="shared" si="5"/>
        <v>Nov-2023</v>
      </c>
      <c r="R351" s="26">
        <f>DATE(YEAR(tblEnriched[[#This Row],[Date]]),MONTH(tblEnriched[[#This Row],[Date]]),1)</f>
        <v>45231</v>
      </c>
    </row>
    <row r="352" spans="1:18">
      <c r="A352" t="s">
        <v>1388</v>
      </c>
      <c r="B352" s="10">
        <v>45080</v>
      </c>
      <c r="C352" t="s">
        <v>1389</v>
      </c>
      <c r="D352" t="s">
        <v>47</v>
      </c>
      <c r="E352">
        <v>2</v>
      </c>
      <c r="F352" s="4">
        <v>54.41</v>
      </c>
      <c r="G352" t="s">
        <v>33</v>
      </c>
      <c r="H352" t="s">
        <v>25</v>
      </c>
      <c r="I352">
        <v>6</v>
      </c>
      <c r="K352" t="s">
        <v>28</v>
      </c>
      <c r="L352" s="4">
        <v>108.82</v>
      </c>
      <c r="M352" t="str">
        <f>VLOOKUP(D352,tblProduct[],2,FALSE)</f>
        <v>Furniture</v>
      </c>
      <c r="N352" t="str">
        <f>VLOOKUP(D352,tblProduct[],3,FALSE)</f>
        <v>Medium</v>
      </c>
      <c r="O352">
        <f>VLOOKUP(D352,tblProduct[],4,FALSE)</f>
        <v>70000</v>
      </c>
      <c r="P352">
        <v>108.82</v>
      </c>
      <c r="Q352" s="19" t="str">
        <f t="shared" si="5"/>
        <v>Jun-2023</v>
      </c>
      <c r="R352" s="26">
        <f>DATE(YEAR(tblEnriched[[#This Row],[Date]]),MONTH(tblEnriched[[#This Row],[Date]]),1)</f>
        <v>45078</v>
      </c>
    </row>
    <row r="353" spans="1:18">
      <c r="A353" t="s">
        <v>1392</v>
      </c>
      <c r="B353" s="10">
        <v>45703</v>
      </c>
      <c r="C353" t="s">
        <v>1393</v>
      </c>
      <c r="D353" t="s">
        <v>64</v>
      </c>
      <c r="E353">
        <v>1</v>
      </c>
      <c r="F353" s="4">
        <v>64.66</v>
      </c>
      <c r="G353" t="s">
        <v>24</v>
      </c>
      <c r="H353" t="s">
        <v>56</v>
      </c>
      <c r="I353">
        <v>4</v>
      </c>
      <c r="K353" t="s">
        <v>28</v>
      </c>
      <c r="L353" s="4">
        <v>64.66</v>
      </c>
      <c r="M353" t="str">
        <f>VLOOKUP(D353,tblProduct[],2,FALSE)</f>
        <v>Electronics</v>
      </c>
      <c r="N353" t="str">
        <f>VLOOKUP(D353,tblProduct[],3,FALSE)</f>
        <v>High</v>
      </c>
      <c r="O353">
        <f>VLOOKUP(D353,tblProduct[],4,FALSE)</f>
        <v>150000</v>
      </c>
      <c r="P353">
        <v>64.66</v>
      </c>
      <c r="Q353" s="19" t="str">
        <f t="shared" si="5"/>
        <v>Feb-2025</v>
      </c>
      <c r="R353" s="26">
        <f>DATE(YEAR(tblEnriched[[#This Row],[Date]]),MONTH(tblEnriched[[#This Row],[Date]]),1)</f>
        <v>45689</v>
      </c>
    </row>
    <row r="354" spans="1:18">
      <c r="A354" t="s">
        <v>1396</v>
      </c>
      <c r="B354" s="10">
        <v>45169</v>
      </c>
      <c r="C354" t="s">
        <v>1397</v>
      </c>
      <c r="D354" t="s">
        <v>47</v>
      </c>
      <c r="E354">
        <v>5</v>
      </c>
      <c r="F354" s="4">
        <v>173.96</v>
      </c>
      <c r="G354" t="s">
        <v>24</v>
      </c>
      <c r="H354" t="s">
        <v>95</v>
      </c>
      <c r="I354">
        <v>8</v>
      </c>
      <c r="J354" t="s">
        <v>87</v>
      </c>
      <c r="K354" t="s">
        <v>28</v>
      </c>
      <c r="L354" s="4">
        <v>869.80000000000007</v>
      </c>
      <c r="M354" t="str">
        <f>VLOOKUP(D354,tblProduct[],2,FALSE)</f>
        <v>Furniture</v>
      </c>
      <c r="N354" t="str">
        <f>VLOOKUP(D354,tblProduct[],3,FALSE)</f>
        <v>Medium</v>
      </c>
      <c r="O354">
        <f>VLOOKUP(D354,tblProduct[],4,FALSE)</f>
        <v>70000</v>
      </c>
      <c r="P354">
        <v>869.80000000000007</v>
      </c>
      <c r="Q354" s="19" t="str">
        <f t="shared" si="5"/>
        <v>Aug-2023</v>
      </c>
      <c r="R354" s="26">
        <f>DATE(YEAR(tblEnriched[[#This Row],[Date]]),MONTH(tblEnriched[[#This Row],[Date]]),1)</f>
        <v>45139</v>
      </c>
    </row>
    <row r="355" spans="1:18">
      <c r="A355" t="s">
        <v>1400</v>
      </c>
      <c r="B355" s="10">
        <v>45744</v>
      </c>
      <c r="C355" t="s">
        <v>1401</v>
      </c>
      <c r="D355" t="s">
        <v>38</v>
      </c>
      <c r="E355">
        <v>1</v>
      </c>
      <c r="F355" s="4">
        <v>630.82000000000005</v>
      </c>
      <c r="G355" t="s">
        <v>33</v>
      </c>
      <c r="H355" t="s">
        <v>56</v>
      </c>
      <c r="I355">
        <v>5</v>
      </c>
      <c r="J355" t="s">
        <v>43</v>
      </c>
      <c r="K355" t="s">
        <v>82</v>
      </c>
      <c r="L355" s="4">
        <v>630.82000000000005</v>
      </c>
      <c r="M355" t="str">
        <f>VLOOKUP(D355,tblProduct[],2,FALSE)</f>
        <v>Electronics</v>
      </c>
      <c r="N355" t="str">
        <f>VLOOKUP(D355,tblProduct[],3,FALSE)</f>
        <v>Medium</v>
      </c>
      <c r="O355">
        <f>VLOOKUP(D355,tblProduct[],4,FALSE)</f>
        <v>100000</v>
      </c>
      <c r="P355">
        <v>630.82000000000005</v>
      </c>
      <c r="Q355" s="19" t="str">
        <f t="shared" si="5"/>
        <v>Mar-2025</v>
      </c>
      <c r="R355" s="26">
        <f>DATE(YEAR(tblEnriched[[#This Row],[Date]]),MONTH(tblEnriched[[#This Row],[Date]]),1)</f>
        <v>45717</v>
      </c>
    </row>
    <row r="356" spans="1:18">
      <c r="A356" t="s">
        <v>1404</v>
      </c>
      <c r="B356" s="10">
        <v>45118</v>
      </c>
      <c r="C356" t="s">
        <v>1405</v>
      </c>
      <c r="D356" t="s">
        <v>31</v>
      </c>
      <c r="E356">
        <v>1</v>
      </c>
      <c r="F356" s="4">
        <v>693.41</v>
      </c>
      <c r="G356" t="s">
        <v>24</v>
      </c>
      <c r="H356" t="s">
        <v>25</v>
      </c>
      <c r="I356">
        <v>4</v>
      </c>
      <c r="K356" t="s">
        <v>28</v>
      </c>
      <c r="L356" s="4">
        <v>693.41</v>
      </c>
      <c r="M356" t="str">
        <f>VLOOKUP(D356,tblProduct[],2,FALSE)</f>
        <v>Electronics</v>
      </c>
      <c r="N356" t="str">
        <f>VLOOKUP(D356,tblProduct[],3,FALSE)</f>
        <v>High</v>
      </c>
      <c r="O356">
        <f>VLOOKUP(D356,tblProduct[],4,FALSE)</f>
        <v>120000</v>
      </c>
      <c r="P356">
        <v>693.41</v>
      </c>
      <c r="Q356" s="19" t="str">
        <f t="shared" si="5"/>
        <v>Jul-2023</v>
      </c>
      <c r="R356" s="26">
        <f>DATE(YEAR(tblEnriched[[#This Row],[Date]]),MONTH(tblEnriched[[#This Row],[Date]]),1)</f>
        <v>45108</v>
      </c>
    </row>
    <row r="357" spans="1:18">
      <c r="A357" t="s">
        <v>1408</v>
      </c>
      <c r="B357" s="10">
        <v>45811</v>
      </c>
      <c r="C357" t="s">
        <v>1409</v>
      </c>
      <c r="D357" t="s">
        <v>38</v>
      </c>
      <c r="E357">
        <v>3</v>
      </c>
      <c r="F357" s="4">
        <v>433.33</v>
      </c>
      <c r="G357" t="s">
        <v>40</v>
      </c>
      <c r="H357" t="s">
        <v>41</v>
      </c>
      <c r="I357">
        <v>4</v>
      </c>
      <c r="J357" t="s">
        <v>43</v>
      </c>
      <c r="K357" t="s">
        <v>35</v>
      </c>
      <c r="L357" s="4">
        <v>1299.99</v>
      </c>
      <c r="M357" t="str">
        <f>VLOOKUP(D357,tblProduct[],2,FALSE)</f>
        <v>Electronics</v>
      </c>
      <c r="N357" t="str">
        <f>VLOOKUP(D357,tblProduct[],3,FALSE)</f>
        <v>Medium</v>
      </c>
      <c r="O357">
        <f>VLOOKUP(D357,tblProduct[],4,FALSE)</f>
        <v>100000</v>
      </c>
      <c r="P357">
        <v>1299.99</v>
      </c>
      <c r="Q357" s="19" t="str">
        <f t="shared" si="5"/>
        <v>Jun-2025</v>
      </c>
      <c r="R357" s="26">
        <f>DATE(YEAR(tblEnriched[[#This Row],[Date]]),MONTH(tblEnriched[[#This Row],[Date]]),1)</f>
        <v>45809</v>
      </c>
    </row>
    <row r="358" spans="1:18">
      <c r="A358" t="s">
        <v>1412</v>
      </c>
      <c r="B358" s="10">
        <v>45052</v>
      </c>
      <c r="C358" t="s">
        <v>1413</v>
      </c>
      <c r="D358" t="s">
        <v>54</v>
      </c>
      <c r="E358">
        <v>5</v>
      </c>
      <c r="F358" s="4">
        <v>374.58</v>
      </c>
      <c r="G358" t="s">
        <v>66</v>
      </c>
      <c r="H358" t="s">
        <v>41</v>
      </c>
      <c r="I358">
        <v>10</v>
      </c>
      <c r="J358" t="s">
        <v>43</v>
      </c>
      <c r="K358" t="s">
        <v>28</v>
      </c>
      <c r="L358" s="4">
        <v>1872.9</v>
      </c>
      <c r="M358" t="str">
        <f>VLOOKUP(D358,tblProduct[],2,FALSE)</f>
        <v>Electronics</v>
      </c>
      <c r="N358" t="str">
        <f>VLOOKUP(D358,tblProduct[],3,FALSE)</f>
        <v>Medium</v>
      </c>
      <c r="O358">
        <f>VLOOKUP(D358,tblProduct[],4,FALSE)</f>
        <v>80000</v>
      </c>
      <c r="P358">
        <v>1872.9</v>
      </c>
      <c r="Q358" s="19" t="str">
        <f t="shared" si="5"/>
        <v>May-2023</v>
      </c>
      <c r="R358" s="26">
        <f>DATE(YEAR(tblEnriched[[#This Row],[Date]]),MONTH(tblEnriched[[#This Row],[Date]]),1)</f>
        <v>45047</v>
      </c>
    </row>
    <row r="359" spans="1:18">
      <c r="A359" t="s">
        <v>1416</v>
      </c>
      <c r="B359" s="10">
        <v>45115</v>
      </c>
      <c r="C359" t="s">
        <v>1417</v>
      </c>
      <c r="D359" t="s">
        <v>64</v>
      </c>
      <c r="E359">
        <v>5</v>
      </c>
      <c r="F359" s="4">
        <v>408.56</v>
      </c>
      <c r="G359" t="s">
        <v>24</v>
      </c>
      <c r="H359" t="s">
        <v>56</v>
      </c>
      <c r="I359">
        <v>8</v>
      </c>
      <c r="J359" t="s">
        <v>43</v>
      </c>
      <c r="K359" t="s">
        <v>28</v>
      </c>
      <c r="L359" s="4">
        <v>2042.8</v>
      </c>
      <c r="M359" t="str">
        <f>VLOOKUP(D359,tblProduct[],2,FALSE)</f>
        <v>Electronics</v>
      </c>
      <c r="N359" t="str">
        <f>VLOOKUP(D359,tblProduct[],3,FALSE)</f>
        <v>High</v>
      </c>
      <c r="O359">
        <f>VLOOKUP(D359,tblProduct[],4,FALSE)</f>
        <v>150000</v>
      </c>
      <c r="P359">
        <v>2042.8</v>
      </c>
      <c r="Q359" s="19" t="str">
        <f t="shared" si="5"/>
        <v>Jul-2023</v>
      </c>
      <c r="R359" s="26">
        <f>DATE(YEAR(tblEnriched[[#This Row],[Date]]),MONTH(tblEnriched[[#This Row],[Date]]),1)</f>
        <v>45108</v>
      </c>
    </row>
    <row r="360" spans="1:18">
      <c r="A360" t="s">
        <v>1419</v>
      </c>
      <c r="B360" s="10">
        <v>45389</v>
      </c>
      <c r="C360" t="s">
        <v>1420</v>
      </c>
      <c r="D360" t="s">
        <v>38</v>
      </c>
      <c r="E360">
        <v>2</v>
      </c>
      <c r="F360" s="4">
        <v>183.67</v>
      </c>
      <c r="G360" t="s">
        <v>33</v>
      </c>
      <c r="H360" t="s">
        <v>41</v>
      </c>
      <c r="I360">
        <v>3</v>
      </c>
      <c r="J360" t="s">
        <v>27</v>
      </c>
      <c r="K360" t="s">
        <v>82</v>
      </c>
      <c r="L360" s="4">
        <v>367.34</v>
      </c>
      <c r="M360" t="str">
        <f>VLOOKUP(D360,tblProduct[],2,FALSE)</f>
        <v>Electronics</v>
      </c>
      <c r="N360" t="str">
        <f>VLOOKUP(D360,tblProduct[],3,FALSE)</f>
        <v>Medium</v>
      </c>
      <c r="O360">
        <f>VLOOKUP(D360,tblProduct[],4,FALSE)</f>
        <v>100000</v>
      </c>
      <c r="P360">
        <v>367.34</v>
      </c>
      <c r="Q360" s="19" t="str">
        <f t="shared" si="5"/>
        <v>Apr-2024</v>
      </c>
      <c r="R360" s="26">
        <f>DATE(YEAR(tblEnriched[[#This Row],[Date]]),MONTH(tblEnriched[[#This Row],[Date]]),1)</f>
        <v>45383</v>
      </c>
    </row>
    <row r="361" spans="1:18">
      <c r="A361" t="s">
        <v>1423</v>
      </c>
      <c r="B361" s="10">
        <v>45086</v>
      </c>
      <c r="C361" t="s">
        <v>1424</v>
      </c>
      <c r="D361" t="s">
        <v>79</v>
      </c>
      <c r="E361">
        <v>4</v>
      </c>
      <c r="F361" s="4">
        <v>606.57000000000005</v>
      </c>
      <c r="G361" t="s">
        <v>24</v>
      </c>
      <c r="H361" t="s">
        <v>56</v>
      </c>
      <c r="I361">
        <v>5</v>
      </c>
      <c r="J361" t="s">
        <v>87</v>
      </c>
      <c r="K361" t="s">
        <v>35</v>
      </c>
      <c r="L361" s="4">
        <v>2426.2800000000002</v>
      </c>
      <c r="M361" t="str">
        <f>VLOOKUP(D361,tblProduct[],2,FALSE)</f>
        <v>Furniture</v>
      </c>
      <c r="N361" t="str">
        <f>VLOOKUP(D361,tblProduct[],3,FALSE)</f>
        <v>High</v>
      </c>
      <c r="O361">
        <f>VLOOKUP(D361,tblProduct[],4,FALSE)</f>
        <v>75000</v>
      </c>
      <c r="P361">
        <v>2426.2800000000002</v>
      </c>
      <c r="Q361" s="19" t="str">
        <f t="shared" si="5"/>
        <v>Jun-2023</v>
      </c>
      <c r="R361" s="26">
        <f>DATE(YEAR(tblEnriched[[#This Row],[Date]]),MONTH(tblEnriched[[#This Row],[Date]]),1)</f>
        <v>45078</v>
      </c>
    </row>
    <row r="362" spans="1:18">
      <c r="A362" t="s">
        <v>1427</v>
      </c>
      <c r="B362" s="10">
        <v>45449</v>
      </c>
      <c r="C362" t="s">
        <v>1428</v>
      </c>
      <c r="D362" t="s">
        <v>31</v>
      </c>
      <c r="E362">
        <v>4</v>
      </c>
      <c r="F362" s="4">
        <v>589.57000000000005</v>
      </c>
      <c r="G362" t="s">
        <v>71</v>
      </c>
      <c r="H362" t="s">
        <v>95</v>
      </c>
      <c r="I362">
        <v>8</v>
      </c>
      <c r="K362" t="s">
        <v>28</v>
      </c>
      <c r="L362" s="4">
        <v>2358.2800000000002</v>
      </c>
      <c r="M362" t="str">
        <f>VLOOKUP(D362,tblProduct[],2,FALSE)</f>
        <v>Electronics</v>
      </c>
      <c r="N362" t="str">
        <f>VLOOKUP(D362,tblProduct[],3,FALSE)</f>
        <v>High</v>
      </c>
      <c r="O362">
        <f>VLOOKUP(D362,tblProduct[],4,FALSE)</f>
        <v>120000</v>
      </c>
      <c r="P362">
        <v>2358.2800000000002</v>
      </c>
      <c r="Q362" s="19" t="str">
        <f t="shared" si="5"/>
        <v>Jun-2024</v>
      </c>
      <c r="R362" s="26">
        <f>DATE(YEAR(tblEnriched[[#This Row],[Date]]),MONTH(tblEnriched[[#This Row],[Date]]),1)</f>
        <v>45444</v>
      </c>
    </row>
    <row r="363" spans="1:18">
      <c r="A363" t="s">
        <v>1431</v>
      </c>
      <c r="B363" s="10">
        <v>45472</v>
      </c>
      <c r="C363" t="s">
        <v>1432</v>
      </c>
      <c r="D363" t="s">
        <v>54</v>
      </c>
      <c r="E363">
        <v>5</v>
      </c>
      <c r="F363" s="4">
        <v>659.85</v>
      </c>
      <c r="G363" t="s">
        <v>40</v>
      </c>
      <c r="H363" t="s">
        <v>56</v>
      </c>
      <c r="I363">
        <v>9</v>
      </c>
      <c r="J363" t="s">
        <v>27</v>
      </c>
      <c r="K363" t="s">
        <v>51</v>
      </c>
      <c r="L363" s="4">
        <v>3299.25</v>
      </c>
      <c r="M363" t="str">
        <f>VLOOKUP(D363,tblProduct[],2,FALSE)</f>
        <v>Electronics</v>
      </c>
      <c r="N363" t="str">
        <f>VLOOKUP(D363,tblProduct[],3,FALSE)</f>
        <v>Medium</v>
      </c>
      <c r="O363">
        <f>VLOOKUP(D363,tblProduct[],4,FALSE)</f>
        <v>80000</v>
      </c>
      <c r="P363">
        <v>3299.25</v>
      </c>
      <c r="Q363" s="19" t="str">
        <f t="shared" si="5"/>
        <v>Jun-2024</v>
      </c>
      <c r="R363" s="26">
        <f>DATE(YEAR(tblEnriched[[#This Row],[Date]]),MONTH(tblEnriched[[#This Row],[Date]]),1)</f>
        <v>45444</v>
      </c>
    </row>
    <row r="364" spans="1:18">
      <c r="A364" t="s">
        <v>1435</v>
      </c>
      <c r="B364" s="10">
        <v>45104</v>
      </c>
      <c r="C364" t="s">
        <v>1436</v>
      </c>
      <c r="D364" t="s">
        <v>22</v>
      </c>
      <c r="E364">
        <v>4</v>
      </c>
      <c r="F364" s="4">
        <v>206.84</v>
      </c>
      <c r="G364" t="s">
        <v>71</v>
      </c>
      <c r="H364" t="s">
        <v>41</v>
      </c>
      <c r="I364">
        <v>5</v>
      </c>
      <c r="J364" t="s">
        <v>87</v>
      </c>
      <c r="K364" t="s">
        <v>28</v>
      </c>
      <c r="L364" s="4">
        <v>827.36</v>
      </c>
      <c r="M364" t="str">
        <f>VLOOKUP(D364,tblProduct[],2,FALSE)</f>
        <v>Electronics</v>
      </c>
      <c r="N364" t="str">
        <f>VLOOKUP(D364,tblProduct[],3,FALSE)</f>
        <v>Medium</v>
      </c>
      <c r="O364">
        <f>VLOOKUP(D364,tblProduct[],4,FALSE)</f>
        <v>90000</v>
      </c>
      <c r="P364">
        <v>827.36</v>
      </c>
      <c r="Q364" s="19" t="str">
        <f t="shared" si="5"/>
        <v>Jun-2023</v>
      </c>
      <c r="R364" s="26">
        <f>DATE(YEAR(tblEnriched[[#This Row],[Date]]),MONTH(tblEnriched[[#This Row],[Date]]),1)</f>
        <v>45078</v>
      </c>
    </row>
    <row r="365" spans="1:18">
      <c r="A365" t="s">
        <v>1439</v>
      </c>
      <c r="B365" s="10">
        <v>45436</v>
      </c>
      <c r="C365" t="s">
        <v>1440</v>
      </c>
      <c r="D365" t="s">
        <v>64</v>
      </c>
      <c r="E365">
        <v>5</v>
      </c>
      <c r="F365" s="4">
        <v>113.87</v>
      </c>
      <c r="G365" t="s">
        <v>40</v>
      </c>
      <c r="H365" t="s">
        <v>95</v>
      </c>
      <c r="I365">
        <v>6</v>
      </c>
      <c r="J365" t="s">
        <v>27</v>
      </c>
      <c r="K365" t="s">
        <v>44</v>
      </c>
      <c r="L365" s="4">
        <v>569.35</v>
      </c>
      <c r="M365" t="str">
        <f>VLOOKUP(D365,tblProduct[],2,FALSE)</f>
        <v>Electronics</v>
      </c>
      <c r="N365" t="str">
        <f>VLOOKUP(D365,tblProduct[],3,FALSE)</f>
        <v>High</v>
      </c>
      <c r="O365">
        <f>VLOOKUP(D365,tblProduct[],4,FALSE)</f>
        <v>150000</v>
      </c>
      <c r="P365">
        <v>569.35</v>
      </c>
      <c r="Q365" s="19" t="str">
        <f t="shared" si="5"/>
        <v>May-2024</v>
      </c>
      <c r="R365" s="26">
        <f>DATE(YEAR(tblEnriched[[#This Row],[Date]]),MONTH(tblEnriched[[#This Row],[Date]]),1)</f>
        <v>45413</v>
      </c>
    </row>
    <row r="366" spans="1:18">
      <c r="A366" t="s">
        <v>1442</v>
      </c>
      <c r="B366" s="10">
        <v>45254</v>
      </c>
      <c r="C366" t="s">
        <v>1443</v>
      </c>
      <c r="D366" t="s">
        <v>31</v>
      </c>
      <c r="E366">
        <v>5</v>
      </c>
      <c r="F366" s="4">
        <v>628.74</v>
      </c>
      <c r="G366" t="s">
        <v>71</v>
      </c>
      <c r="H366" t="s">
        <v>41</v>
      </c>
      <c r="I366">
        <v>9</v>
      </c>
      <c r="J366" t="s">
        <v>43</v>
      </c>
      <c r="K366" t="s">
        <v>51</v>
      </c>
      <c r="L366" s="4">
        <v>3143.7</v>
      </c>
      <c r="M366" t="str">
        <f>VLOOKUP(D366,tblProduct[],2,FALSE)</f>
        <v>Electronics</v>
      </c>
      <c r="N366" t="str">
        <f>VLOOKUP(D366,tblProduct[],3,FALSE)</f>
        <v>High</v>
      </c>
      <c r="O366">
        <f>VLOOKUP(D366,tblProduct[],4,FALSE)</f>
        <v>120000</v>
      </c>
      <c r="P366">
        <v>3143.7</v>
      </c>
      <c r="Q366" s="19" t="str">
        <f t="shared" si="5"/>
        <v>Nov-2023</v>
      </c>
      <c r="R366" s="26">
        <f>DATE(YEAR(tblEnriched[[#This Row],[Date]]),MONTH(tblEnriched[[#This Row],[Date]]),1)</f>
        <v>45231</v>
      </c>
    </row>
    <row r="367" spans="1:18">
      <c r="A367" t="s">
        <v>1445</v>
      </c>
      <c r="B367" s="10">
        <v>45702</v>
      </c>
      <c r="C367" t="s">
        <v>1446</v>
      </c>
      <c r="D367" t="s">
        <v>31</v>
      </c>
      <c r="E367">
        <v>1</v>
      </c>
      <c r="F367" s="4">
        <v>678.38</v>
      </c>
      <c r="G367" t="s">
        <v>40</v>
      </c>
      <c r="H367" t="s">
        <v>41</v>
      </c>
      <c r="I367">
        <v>4</v>
      </c>
      <c r="J367" t="s">
        <v>27</v>
      </c>
      <c r="K367" t="s">
        <v>35</v>
      </c>
      <c r="L367" s="4">
        <v>678.38</v>
      </c>
      <c r="M367" t="str">
        <f>VLOOKUP(D367,tblProduct[],2,FALSE)</f>
        <v>Electronics</v>
      </c>
      <c r="N367" t="str">
        <f>VLOOKUP(D367,tblProduct[],3,FALSE)</f>
        <v>High</v>
      </c>
      <c r="O367">
        <f>VLOOKUP(D367,tblProduct[],4,FALSE)</f>
        <v>120000</v>
      </c>
      <c r="P367">
        <v>678.38</v>
      </c>
      <c r="Q367" s="19" t="str">
        <f t="shared" si="5"/>
        <v>Feb-2025</v>
      </c>
      <c r="R367" s="26">
        <f>DATE(YEAR(tblEnriched[[#This Row],[Date]]),MONTH(tblEnriched[[#This Row],[Date]]),1)</f>
        <v>45689</v>
      </c>
    </row>
    <row r="368" spans="1:18">
      <c r="A368" t="s">
        <v>1448</v>
      </c>
      <c r="B368" s="10">
        <v>44967</v>
      </c>
      <c r="C368" t="s">
        <v>1449</v>
      </c>
      <c r="D368" t="s">
        <v>54</v>
      </c>
      <c r="E368">
        <v>3</v>
      </c>
      <c r="F368" s="4">
        <v>602.24</v>
      </c>
      <c r="G368" t="s">
        <v>24</v>
      </c>
      <c r="H368" t="s">
        <v>95</v>
      </c>
      <c r="I368">
        <v>8</v>
      </c>
      <c r="K368" t="s">
        <v>35</v>
      </c>
      <c r="L368" s="4">
        <v>1806.72</v>
      </c>
      <c r="M368" t="str">
        <f>VLOOKUP(D368,tblProduct[],2,FALSE)</f>
        <v>Electronics</v>
      </c>
      <c r="N368" t="str">
        <f>VLOOKUP(D368,tblProduct[],3,FALSE)</f>
        <v>Medium</v>
      </c>
      <c r="O368">
        <f>VLOOKUP(D368,tblProduct[],4,FALSE)</f>
        <v>80000</v>
      </c>
      <c r="P368">
        <v>1806.72</v>
      </c>
      <c r="Q368" s="19" t="str">
        <f t="shared" si="5"/>
        <v>Feb-2023</v>
      </c>
      <c r="R368" s="26">
        <f>DATE(YEAR(tblEnriched[[#This Row],[Date]]),MONTH(tblEnriched[[#This Row],[Date]]),1)</f>
        <v>44958</v>
      </c>
    </row>
    <row r="369" spans="1:18">
      <c r="A369" t="s">
        <v>1452</v>
      </c>
      <c r="B369" s="10">
        <v>45407</v>
      </c>
      <c r="C369" t="s">
        <v>1453</v>
      </c>
      <c r="D369" t="s">
        <v>64</v>
      </c>
      <c r="E369">
        <v>5</v>
      </c>
      <c r="F369" s="4">
        <v>658.77</v>
      </c>
      <c r="G369" t="s">
        <v>66</v>
      </c>
      <c r="H369" t="s">
        <v>95</v>
      </c>
      <c r="I369">
        <v>10</v>
      </c>
      <c r="J369" t="s">
        <v>43</v>
      </c>
      <c r="K369" t="s">
        <v>28</v>
      </c>
      <c r="L369" s="4">
        <v>3293.85</v>
      </c>
      <c r="M369" t="str">
        <f>VLOOKUP(D369,tblProduct[],2,FALSE)</f>
        <v>Electronics</v>
      </c>
      <c r="N369" t="str">
        <f>VLOOKUP(D369,tblProduct[],3,FALSE)</f>
        <v>High</v>
      </c>
      <c r="O369">
        <f>VLOOKUP(D369,tblProduct[],4,FALSE)</f>
        <v>150000</v>
      </c>
      <c r="P369">
        <v>3293.85</v>
      </c>
      <c r="Q369" s="19" t="str">
        <f t="shared" si="5"/>
        <v>Apr-2024</v>
      </c>
      <c r="R369" s="26">
        <f>DATE(YEAR(tblEnriched[[#This Row],[Date]]),MONTH(tblEnriched[[#This Row],[Date]]),1)</f>
        <v>45383</v>
      </c>
    </row>
    <row r="370" spans="1:18">
      <c r="A370" t="s">
        <v>1455</v>
      </c>
      <c r="B370" s="10">
        <v>45047</v>
      </c>
      <c r="C370" t="s">
        <v>1456</v>
      </c>
      <c r="D370" t="s">
        <v>22</v>
      </c>
      <c r="E370">
        <v>3</v>
      </c>
      <c r="F370" s="4">
        <v>271.02</v>
      </c>
      <c r="G370" t="s">
        <v>40</v>
      </c>
      <c r="H370" t="s">
        <v>41</v>
      </c>
      <c r="I370">
        <v>6</v>
      </c>
      <c r="K370" t="s">
        <v>82</v>
      </c>
      <c r="L370" s="4">
        <v>813.06</v>
      </c>
      <c r="M370" t="str">
        <f>VLOOKUP(D370,tblProduct[],2,FALSE)</f>
        <v>Electronics</v>
      </c>
      <c r="N370" t="str">
        <f>VLOOKUP(D370,tblProduct[],3,FALSE)</f>
        <v>Medium</v>
      </c>
      <c r="O370">
        <f>VLOOKUP(D370,tblProduct[],4,FALSE)</f>
        <v>90000</v>
      </c>
      <c r="P370">
        <v>813.06</v>
      </c>
      <c r="Q370" s="19" t="str">
        <f t="shared" si="5"/>
        <v>May-2023</v>
      </c>
      <c r="R370" s="26">
        <f>DATE(YEAR(tblEnriched[[#This Row],[Date]]),MONTH(tblEnriched[[#This Row],[Date]]),1)</f>
        <v>45047</v>
      </c>
    </row>
    <row r="371" spans="1:18">
      <c r="A371" t="s">
        <v>1459</v>
      </c>
      <c r="B371" s="10">
        <v>45648</v>
      </c>
      <c r="C371" t="s">
        <v>1460</v>
      </c>
      <c r="D371" t="s">
        <v>22</v>
      </c>
      <c r="E371">
        <v>5</v>
      </c>
      <c r="F371" s="4">
        <v>375.25</v>
      </c>
      <c r="G371" t="s">
        <v>66</v>
      </c>
      <c r="H371" t="s">
        <v>95</v>
      </c>
      <c r="I371">
        <v>9</v>
      </c>
      <c r="J371" t="s">
        <v>27</v>
      </c>
      <c r="K371" t="s">
        <v>44</v>
      </c>
      <c r="L371" s="4">
        <v>1876.25</v>
      </c>
      <c r="M371" t="str">
        <f>VLOOKUP(D371,tblProduct[],2,FALSE)</f>
        <v>Electronics</v>
      </c>
      <c r="N371" t="str">
        <f>VLOOKUP(D371,tblProduct[],3,FALSE)</f>
        <v>Medium</v>
      </c>
      <c r="O371">
        <f>VLOOKUP(D371,tblProduct[],4,FALSE)</f>
        <v>90000</v>
      </c>
      <c r="P371">
        <v>1876.25</v>
      </c>
      <c r="Q371" s="19" t="str">
        <f t="shared" si="5"/>
        <v>Dec-2024</v>
      </c>
      <c r="R371" s="26">
        <f>DATE(YEAR(tblEnriched[[#This Row],[Date]]),MONTH(tblEnriched[[#This Row],[Date]]),1)</f>
        <v>45627</v>
      </c>
    </row>
    <row r="372" spans="1:18">
      <c r="A372" t="s">
        <v>1463</v>
      </c>
      <c r="B372" s="10">
        <v>45780</v>
      </c>
      <c r="C372" t="s">
        <v>1464</v>
      </c>
      <c r="D372" t="s">
        <v>31</v>
      </c>
      <c r="E372">
        <v>1</v>
      </c>
      <c r="F372" s="4">
        <v>312.11</v>
      </c>
      <c r="G372" t="s">
        <v>33</v>
      </c>
      <c r="H372" t="s">
        <v>41</v>
      </c>
      <c r="I372">
        <v>4</v>
      </c>
      <c r="J372" t="s">
        <v>87</v>
      </c>
      <c r="K372" t="s">
        <v>51</v>
      </c>
      <c r="L372" s="4">
        <v>312.11</v>
      </c>
      <c r="M372" t="str">
        <f>VLOOKUP(D372,tblProduct[],2,FALSE)</f>
        <v>Electronics</v>
      </c>
      <c r="N372" t="str">
        <f>VLOOKUP(D372,tblProduct[],3,FALSE)</f>
        <v>High</v>
      </c>
      <c r="O372">
        <f>VLOOKUP(D372,tblProduct[],4,FALSE)</f>
        <v>120000</v>
      </c>
      <c r="P372">
        <v>312.11</v>
      </c>
      <c r="Q372" s="19" t="str">
        <f t="shared" si="5"/>
        <v>May-2025</v>
      </c>
      <c r="R372" s="26">
        <f>DATE(YEAR(tblEnriched[[#This Row],[Date]]),MONTH(tblEnriched[[#This Row],[Date]]),1)</f>
        <v>45778</v>
      </c>
    </row>
    <row r="373" spans="1:18">
      <c r="A373" t="s">
        <v>1467</v>
      </c>
      <c r="B373" s="10">
        <v>44931</v>
      </c>
      <c r="C373" t="s">
        <v>1468</v>
      </c>
      <c r="D373" t="s">
        <v>31</v>
      </c>
      <c r="E373">
        <v>5</v>
      </c>
      <c r="F373" s="4">
        <v>307.76</v>
      </c>
      <c r="G373" t="s">
        <v>66</v>
      </c>
      <c r="H373" t="s">
        <v>95</v>
      </c>
      <c r="I373">
        <v>9</v>
      </c>
      <c r="J373" t="s">
        <v>43</v>
      </c>
      <c r="K373" t="s">
        <v>82</v>
      </c>
      <c r="L373" s="4">
        <v>1538.8</v>
      </c>
      <c r="M373" t="str">
        <f>VLOOKUP(D373,tblProduct[],2,FALSE)</f>
        <v>Electronics</v>
      </c>
      <c r="N373" t="str">
        <f>VLOOKUP(D373,tblProduct[],3,FALSE)</f>
        <v>High</v>
      </c>
      <c r="O373">
        <f>VLOOKUP(D373,tblProduct[],4,FALSE)</f>
        <v>120000</v>
      </c>
      <c r="P373">
        <v>1538.8</v>
      </c>
      <c r="Q373" s="19" t="str">
        <f t="shared" si="5"/>
        <v>Jan-2023</v>
      </c>
      <c r="R373" s="26">
        <f>DATE(YEAR(tblEnriched[[#This Row],[Date]]),MONTH(tblEnriched[[#This Row],[Date]]),1)</f>
        <v>44927</v>
      </c>
    </row>
    <row r="374" spans="1:18">
      <c r="A374" t="s">
        <v>1470</v>
      </c>
      <c r="B374" s="10">
        <v>45702</v>
      </c>
      <c r="C374" t="s">
        <v>1471</v>
      </c>
      <c r="D374" t="s">
        <v>47</v>
      </c>
      <c r="E374">
        <v>3</v>
      </c>
      <c r="F374" s="4">
        <v>483.53</v>
      </c>
      <c r="G374" t="s">
        <v>71</v>
      </c>
      <c r="H374" t="s">
        <v>49</v>
      </c>
      <c r="I374">
        <v>4</v>
      </c>
      <c r="K374" t="s">
        <v>35</v>
      </c>
      <c r="L374" s="4">
        <v>1450.59</v>
      </c>
      <c r="M374" t="str">
        <f>VLOOKUP(D374,tblProduct[],2,FALSE)</f>
        <v>Furniture</v>
      </c>
      <c r="N374" t="str">
        <f>VLOOKUP(D374,tblProduct[],3,FALSE)</f>
        <v>Medium</v>
      </c>
      <c r="O374">
        <f>VLOOKUP(D374,tblProduct[],4,FALSE)</f>
        <v>70000</v>
      </c>
      <c r="P374">
        <v>1450.59</v>
      </c>
      <c r="Q374" s="19" t="str">
        <f t="shared" si="5"/>
        <v>Feb-2025</v>
      </c>
      <c r="R374" s="26">
        <f>DATE(YEAR(tblEnriched[[#This Row],[Date]]),MONTH(tblEnriched[[#This Row],[Date]]),1)</f>
        <v>45689</v>
      </c>
    </row>
    <row r="375" spans="1:18">
      <c r="A375" t="s">
        <v>1474</v>
      </c>
      <c r="B375" s="10">
        <v>44928</v>
      </c>
      <c r="C375" t="s">
        <v>1475</v>
      </c>
      <c r="D375" t="s">
        <v>64</v>
      </c>
      <c r="E375">
        <v>3</v>
      </c>
      <c r="F375" s="4">
        <v>341.15</v>
      </c>
      <c r="G375" t="s">
        <v>71</v>
      </c>
      <c r="H375" t="s">
        <v>95</v>
      </c>
      <c r="I375">
        <v>4</v>
      </c>
      <c r="J375" t="s">
        <v>43</v>
      </c>
      <c r="K375" t="s">
        <v>28</v>
      </c>
      <c r="L375" s="4">
        <v>1023.45</v>
      </c>
      <c r="M375" t="str">
        <f>VLOOKUP(D375,tblProduct[],2,FALSE)</f>
        <v>Electronics</v>
      </c>
      <c r="N375" t="str">
        <f>VLOOKUP(D375,tblProduct[],3,FALSE)</f>
        <v>High</v>
      </c>
      <c r="O375">
        <f>VLOOKUP(D375,tblProduct[],4,FALSE)</f>
        <v>150000</v>
      </c>
      <c r="P375">
        <v>1023.45</v>
      </c>
      <c r="Q375" s="19" t="str">
        <f t="shared" si="5"/>
        <v>Jan-2023</v>
      </c>
      <c r="R375" s="26">
        <f>DATE(YEAR(tblEnriched[[#This Row],[Date]]),MONTH(tblEnriched[[#This Row],[Date]]),1)</f>
        <v>44927</v>
      </c>
    </row>
    <row r="376" spans="1:18">
      <c r="A376" t="s">
        <v>1478</v>
      </c>
      <c r="B376" s="10">
        <v>45551</v>
      </c>
      <c r="C376" t="s">
        <v>1479</v>
      </c>
      <c r="D376" t="s">
        <v>22</v>
      </c>
      <c r="E376">
        <v>1</v>
      </c>
      <c r="F376" s="4">
        <v>571.9</v>
      </c>
      <c r="G376" t="s">
        <v>66</v>
      </c>
      <c r="H376" t="s">
        <v>95</v>
      </c>
      <c r="I376">
        <v>1</v>
      </c>
      <c r="J376" t="s">
        <v>87</v>
      </c>
      <c r="K376" t="s">
        <v>28</v>
      </c>
      <c r="L376" s="4">
        <v>571.9</v>
      </c>
      <c r="M376" t="str">
        <f>VLOOKUP(D376,tblProduct[],2,FALSE)</f>
        <v>Electronics</v>
      </c>
      <c r="N376" t="str">
        <f>VLOOKUP(D376,tblProduct[],3,FALSE)</f>
        <v>Medium</v>
      </c>
      <c r="O376">
        <f>VLOOKUP(D376,tblProduct[],4,FALSE)</f>
        <v>90000</v>
      </c>
      <c r="P376">
        <v>571.9</v>
      </c>
      <c r="Q376" s="19" t="str">
        <f t="shared" si="5"/>
        <v>Sep-2024</v>
      </c>
      <c r="R376" s="26">
        <f>DATE(YEAR(tblEnriched[[#This Row],[Date]]),MONTH(tblEnriched[[#This Row],[Date]]),1)</f>
        <v>45536</v>
      </c>
    </row>
    <row r="377" spans="1:18">
      <c r="A377" t="s">
        <v>1481</v>
      </c>
      <c r="B377" s="10">
        <v>45673</v>
      </c>
      <c r="C377" t="s">
        <v>1482</v>
      </c>
      <c r="D377" t="s">
        <v>22</v>
      </c>
      <c r="E377">
        <v>4</v>
      </c>
      <c r="F377" s="4">
        <v>95.03</v>
      </c>
      <c r="G377" t="s">
        <v>33</v>
      </c>
      <c r="H377" t="s">
        <v>25</v>
      </c>
      <c r="I377">
        <v>8</v>
      </c>
      <c r="J377" t="s">
        <v>43</v>
      </c>
      <c r="K377" t="s">
        <v>51</v>
      </c>
      <c r="L377" s="4">
        <v>380.12</v>
      </c>
      <c r="M377" t="str">
        <f>VLOOKUP(D377,tblProduct[],2,FALSE)</f>
        <v>Electronics</v>
      </c>
      <c r="N377" t="str">
        <f>VLOOKUP(D377,tblProduct[],3,FALSE)</f>
        <v>Medium</v>
      </c>
      <c r="O377">
        <f>VLOOKUP(D377,tblProduct[],4,FALSE)</f>
        <v>90000</v>
      </c>
      <c r="P377">
        <v>380.12</v>
      </c>
      <c r="Q377" s="19" t="str">
        <f t="shared" si="5"/>
        <v>Jan-2025</v>
      </c>
      <c r="R377" s="26">
        <f>DATE(YEAR(tblEnriched[[#This Row],[Date]]),MONTH(tblEnriched[[#This Row],[Date]]),1)</f>
        <v>45658</v>
      </c>
    </row>
    <row r="378" spans="1:18">
      <c r="A378" t="s">
        <v>1485</v>
      </c>
      <c r="B378" s="10">
        <v>45162</v>
      </c>
      <c r="C378" t="s">
        <v>1486</v>
      </c>
      <c r="D378" t="s">
        <v>22</v>
      </c>
      <c r="E378">
        <v>5</v>
      </c>
      <c r="F378" s="4">
        <v>201.22</v>
      </c>
      <c r="G378" t="s">
        <v>24</v>
      </c>
      <c r="H378" t="s">
        <v>95</v>
      </c>
      <c r="I378">
        <v>6</v>
      </c>
      <c r="J378" t="s">
        <v>43</v>
      </c>
      <c r="K378" t="s">
        <v>51</v>
      </c>
      <c r="L378" s="4">
        <v>1006.1</v>
      </c>
      <c r="M378" t="str">
        <f>VLOOKUP(D378,tblProduct[],2,FALSE)</f>
        <v>Electronics</v>
      </c>
      <c r="N378" t="str">
        <f>VLOOKUP(D378,tblProduct[],3,FALSE)</f>
        <v>Medium</v>
      </c>
      <c r="O378">
        <f>VLOOKUP(D378,tblProduct[],4,FALSE)</f>
        <v>90000</v>
      </c>
      <c r="P378">
        <v>1006.1</v>
      </c>
      <c r="Q378" s="19" t="str">
        <f t="shared" si="5"/>
        <v>Aug-2023</v>
      </c>
      <c r="R378" s="26">
        <f>DATE(YEAR(tblEnriched[[#This Row],[Date]]),MONTH(tblEnriched[[#This Row],[Date]]),1)</f>
        <v>45139</v>
      </c>
    </row>
    <row r="379" spans="1:18">
      <c r="A379" t="s">
        <v>1489</v>
      </c>
      <c r="B379" s="10">
        <v>45495</v>
      </c>
      <c r="C379" t="s">
        <v>1490</v>
      </c>
      <c r="D379" t="s">
        <v>22</v>
      </c>
      <c r="E379">
        <v>1</v>
      </c>
      <c r="F379" s="4">
        <v>260.26</v>
      </c>
      <c r="G379" t="s">
        <v>33</v>
      </c>
      <c r="H379" t="s">
        <v>95</v>
      </c>
      <c r="I379">
        <v>5</v>
      </c>
      <c r="J379" t="s">
        <v>87</v>
      </c>
      <c r="K379" t="s">
        <v>28</v>
      </c>
      <c r="L379" s="4">
        <v>260.26</v>
      </c>
      <c r="M379" t="str">
        <f>VLOOKUP(D379,tblProduct[],2,FALSE)</f>
        <v>Electronics</v>
      </c>
      <c r="N379" t="str">
        <f>VLOOKUP(D379,tblProduct[],3,FALSE)</f>
        <v>Medium</v>
      </c>
      <c r="O379">
        <f>VLOOKUP(D379,tblProduct[],4,FALSE)</f>
        <v>90000</v>
      </c>
      <c r="P379">
        <v>260.26</v>
      </c>
      <c r="Q379" s="19" t="str">
        <f t="shared" si="5"/>
        <v>Jul-2024</v>
      </c>
      <c r="R379" s="26">
        <f>DATE(YEAR(tblEnriched[[#This Row],[Date]]),MONTH(tblEnriched[[#This Row],[Date]]),1)</f>
        <v>45474</v>
      </c>
    </row>
    <row r="380" spans="1:18">
      <c r="A380" t="s">
        <v>1492</v>
      </c>
      <c r="B380" s="10">
        <v>45323</v>
      </c>
      <c r="C380" t="s">
        <v>1493</v>
      </c>
      <c r="D380" t="s">
        <v>47</v>
      </c>
      <c r="E380">
        <v>5</v>
      </c>
      <c r="F380" s="4">
        <v>64.5</v>
      </c>
      <c r="G380" t="s">
        <v>40</v>
      </c>
      <c r="H380" t="s">
        <v>95</v>
      </c>
      <c r="I380">
        <v>8</v>
      </c>
      <c r="J380" t="s">
        <v>87</v>
      </c>
      <c r="K380" t="s">
        <v>28</v>
      </c>
      <c r="L380" s="4">
        <v>322.5</v>
      </c>
      <c r="M380" t="str">
        <f>VLOOKUP(D380,tblProduct[],2,FALSE)</f>
        <v>Furniture</v>
      </c>
      <c r="N380" t="str">
        <f>VLOOKUP(D380,tblProduct[],3,FALSE)</f>
        <v>Medium</v>
      </c>
      <c r="O380">
        <f>VLOOKUP(D380,tblProduct[],4,FALSE)</f>
        <v>70000</v>
      </c>
      <c r="P380">
        <v>322.5</v>
      </c>
      <c r="Q380" s="19" t="str">
        <f t="shared" si="5"/>
        <v>Feb-2024</v>
      </c>
      <c r="R380" s="26">
        <f>DATE(YEAR(tblEnriched[[#This Row],[Date]]),MONTH(tblEnriched[[#This Row],[Date]]),1)</f>
        <v>45323</v>
      </c>
    </row>
    <row r="381" spans="1:18">
      <c r="A381" t="s">
        <v>1496</v>
      </c>
      <c r="B381" s="10">
        <v>45556</v>
      </c>
      <c r="C381" t="s">
        <v>1497</v>
      </c>
      <c r="D381" t="s">
        <v>31</v>
      </c>
      <c r="E381">
        <v>3</v>
      </c>
      <c r="F381" s="4">
        <v>297.67</v>
      </c>
      <c r="G381" t="s">
        <v>33</v>
      </c>
      <c r="H381" t="s">
        <v>25</v>
      </c>
      <c r="I381">
        <v>6</v>
      </c>
      <c r="K381" t="s">
        <v>82</v>
      </c>
      <c r="L381" s="4">
        <v>893.01</v>
      </c>
      <c r="M381" t="str">
        <f>VLOOKUP(D381,tblProduct[],2,FALSE)</f>
        <v>Electronics</v>
      </c>
      <c r="N381" t="str">
        <f>VLOOKUP(D381,tblProduct[],3,FALSE)</f>
        <v>High</v>
      </c>
      <c r="O381">
        <f>VLOOKUP(D381,tblProduct[],4,FALSE)</f>
        <v>120000</v>
      </c>
      <c r="P381">
        <v>893.01</v>
      </c>
      <c r="Q381" s="19" t="str">
        <f t="shared" si="5"/>
        <v>Sep-2024</v>
      </c>
      <c r="R381" s="26">
        <f>DATE(YEAR(tblEnriched[[#This Row],[Date]]),MONTH(tblEnriched[[#This Row],[Date]]),1)</f>
        <v>45536</v>
      </c>
    </row>
    <row r="382" spans="1:18">
      <c r="A382" t="s">
        <v>1499</v>
      </c>
      <c r="B382" s="10">
        <v>45402</v>
      </c>
      <c r="C382" t="s">
        <v>1500</v>
      </c>
      <c r="D382" t="s">
        <v>54</v>
      </c>
      <c r="E382">
        <v>4</v>
      </c>
      <c r="F382" s="4">
        <v>331.9</v>
      </c>
      <c r="G382" t="s">
        <v>71</v>
      </c>
      <c r="H382" t="s">
        <v>95</v>
      </c>
      <c r="I382">
        <v>5</v>
      </c>
      <c r="J382" t="s">
        <v>27</v>
      </c>
      <c r="K382" t="s">
        <v>28</v>
      </c>
      <c r="L382" s="4">
        <v>1327.6</v>
      </c>
      <c r="M382" t="str">
        <f>VLOOKUP(D382,tblProduct[],2,FALSE)</f>
        <v>Electronics</v>
      </c>
      <c r="N382" t="str">
        <f>VLOOKUP(D382,tblProduct[],3,FALSE)</f>
        <v>Medium</v>
      </c>
      <c r="O382">
        <f>VLOOKUP(D382,tblProduct[],4,FALSE)</f>
        <v>80000</v>
      </c>
      <c r="P382">
        <v>1327.6</v>
      </c>
      <c r="Q382" s="19" t="str">
        <f t="shared" si="5"/>
        <v>Apr-2024</v>
      </c>
      <c r="R382" s="26">
        <f>DATE(YEAR(tblEnriched[[#This Row],[Date]]),MONTH(tblEnriched[[#This Row],[Date]]),1)</f>
        <v>45383</v>
      </c>
    </row>
    <row r="383" spans="1:18">
      <c r="A383" t="s">
        <v>1502</v>
      </c>
      <c r="B383" s="10">
        <v>45084</v>
      </c>
      <c r="C383" t="s">
        <v>1503</v>
      </c>
      <c r="D383" t="s">
        <v>47</v>
      </c>
      <c r="E383">
        <v>1</v>
      </c>
      <c r="F383" s="4">
        <v>191.76</v>
      </c>
      <c r="G383" t="s">
        <v>40</v>
      </c>
      <c r="H383" t="s">
        <v>49</v>
      </c>
      <c r="I383">
        <v>1</v>
      </c>
      <c r="J383" t="s">
        <v>43</v>
      </c>
      <c r="K383" t="s">
        <v>28</v>
      </c>
      <c r="L383" s="4">
        <v>191.76</v>
      </c>
      <c r="M383" t="str">
        <f>VLOOKUP(D383,tblProduct[],2,FALSE)</f>
        <v>Furniture</v>
      </c>
      <c r="N383" t="str">
        <f>VLOOKUP(D383,tblProduct[],3,FALSE)</f>
        <v>Medium</v>
      </c>
      <c r="O383">
        <f>VLOOKUP(D383,tblProduct[],4,FALSE)</f>
        <v>70000</v>
      </c>
      <c r="P383">
        <v>191.76</v>
      </c>
      <c r="Q383" s="19" t="str">
        <f t="shared" si="5"/>
        <v>Jun-2023</v>
      </c>
      <c r="R383" s="26">
        <f>DATE(YEAR(tblEnriched[[#This Row],[Date]]),MONTH(tblEnriched[[#This Row],[Date]]),1)</f>
        <v>45078</v>
      </c>
    </row>
    <row r="384" spans="1:18">
      <c r="A384" t="s">
        <v>1505</v>
      </c>
      <c r="B384" s="10">
        <v>45687</v>
      </c>
      <c r="C384" t="s">
        <v>1506</v>
      </c>
      <c r="D384" t="s">
        <v>54</v>
      </c>
      <c r="E384">
        <v>4</v>
      </c>
      <c r="F384" s="4">
        <v>263.08999999999997</v>
      </c>
      <c r="G384" t="s">
        <v>24</v>
      </c>
      <c r="H384" t="s">
        <v>25</v>
      </c>
      <c r="I384">
        <v>8</v>
      </c>
      <c r="J384" t="s">
        <v>27</v>
      </c>
      <c r="K384" t="s">
        <v>82</v>
      </c>
      <c r="L384" s="4">
        <v>1052.3599999999999</v>
      </c>
      <c r="M384" t="str">
        <f>VLOOKUP(D384,tblProduct[],2,FALSE)</f>
        <v>Electronics</v>
      </c>
      <c r="N384" t="str">
        <f>VLOOKUP(D384,tblProduct[],3,FALSE)</f>
        <v>Medium</v>
      </c>
      <c r="O384">
        <f>VLOOKUP(D384,tblProduct[],4,FALSE)</f>
        <v>80000</v>
      </c>
      <c r="P384">
        <v>1052.3599999999999</v>
      </c>
      <c r="Q384" s="19" t="str">
        <f t="shared" si="5"/>
        <v>Jan-2025</v>
      </c>
      <c r="R384" s="26">
        <f>DATE(YEAR(tblEnriched[[#This Row],[Date]]),MONTH(tblEnriched[[#This Row],[Date]]),1)</f>
        <v>45658</v>
      </c>
    </row>
    <row r="385" spans="1:18">
      <c r="A385" t="s">
        <v>1509</v>
      </c>
      <c r="B385" s="10">
        <v>44946</v>
      </c>
      <c r="C385" t="s">
        <v>1510</v>
      </c>
      <c r="D385" t="s">
        <v>47</v>
      </c>
      <c r="E385">
        <v>4</v>
      </c>
      <c r="F385" s="4">
        <v>393.8</v>
      </c>
      <c r="G385" t="s">
        <v>40</v>
      </c>
      <c r="H385" t="s">
        <v>95</v>
      </c>
      <c r="I385">
        <v>7</v>
      </c>
      <c r="J385" t="s">
        <v>27</v>
      </c>
      <c r="K385" t="s">
        <v>44</v>
      </c>
      <c r="L385" s="4">
        <v>1575.2</v>
      </c>
      <c r="M385" t="str">
        <f>VLOOKUP(D385,tblProduct[],2,FALSE)</f>
        <v>Furniture</v>
      </c>
      <c r="N385" t="str">
        <f>VLOOKUP(D385,tblProduct[],3,FALSE)</f>
        <v>Medium</v>
      </c>
      <c r="O385">
        <f>VLOOKUP(D385,tblProduct[],4,FALSE)</f>
        <v>70000</v>
      </c>
      <c r="P385">
        <v>1575.2</v>
      </c>
      <c r="Q385" s="19" t="str">
        <f t="shared" si="5"/>
        <v>Jan-2023</v>
      </c>
      <c r="R385" s="26">
        <f>DATE(YEAR(tblEnriched[[#This Row],[Date]]),MONTH(tblEnriched[[#This Row],[Date]]),1)</f>
        <v>44927</v>
      </c>
    </row>
    <row r="386" spans="1:18">
      <c r="A386" t="s">
        <v>1512</v>
      </c>
      <c r="B386" s="10">
        <v>45620</v>
      </c>
      <c r="C386" t="s">
        <v>1513</v>
      </c>
      <c r="D386" t="s">
        <v>47</v>
      </c>
      <c r="E386">
        <v>3</v>
      </c>
      <c r="F386" s="4">
        <v>553.57000000000005</v>
      </c>
      <c r="G386" t="s">
        <v>40</v>
      </c>
      <c r="H386" t="s">
        <v>49</v>
      </c>
      <c r="I386">
        <v>4</v>
      </c>
      <c r="J386" t="s">
        <v>43</v>
      </c>
      <c r="K386" t="s">
        <v>51</v>
      </c>
      <c r="L386" s="4">
        <v>1660.71</v>
      </c>
      <c r="M386" t="str">
        <f>VLOOKUP(D386,tblProduct[],2,FALSE)</f>
        <v>Furniture</v>
      </c>
      <c r="N386" t="str">
        <f>VLOOKUP(D386,tblProduct[],3,FALSE)</f>
        <v>Medium</v>
      </c>
      <c r="O386">
        <f>VLOOKUP(D386,tblProduct[],4,FALSE)</f>
        <v>70000</v>
      </c>
      <c r="P386">
        <v>1660.71</v>
      </c>
      <c r="Q386" s="19" t="str">
        <f t="shared" ref="Q386:Q449" si="6">TEXT(B386,"mmm-yyyy")</f>
        <v>Nov-2024</v>
      </c>
      <c r="R386" s="26">
        <f>DATE(YEAR(tblEnriched[[#This Row],[Date]]),MONTH(tblEnriched[[#This Row],[Date]]),1)</f>
        <v>45597</v>
      </c>
    </row>
    <row r="387" spans="1:18">
      <c r="A387" t="s">
        <v>1516</v>
      </c>
      <c r="B387" s="10">
        <v>45230</v>
      </c>
      <c r="C387" t="s">
        <v>1517</v>
      </c>
      <c r="D387" t="s">
        <v>47</v>
      </c>
      <c r="E387">
        <v>5</v>
      </c>
      <c r="F387" s="4">
        <v>191.63</v>
      </c>
      <c r="G387" t="s">
        <v>66</v>
      </c>
      <c r="H387" t="s">
        <v>56</v>
      </c>
      <c r="I387">
        <v>6</v>
      </c>
      <c r="J387" t="s">
        <v>43</v>
      </c>
      <c r="K387" t="s">
        <v>51</v>
      </c>
      <c r="L387" s="4">
        <v>958.15</v>
      </c>
      <c r="M387" t="str">
        <f>VLOOKUP(D387,tblProduct[],2,FALSE)</f>
        <v>Furniture</v>
      </c>
      <c r="N387" t="str">
        <f>VLOOKUP(D387,tblProduct[],3,FALSE)</f>
        <v>Medium</v>
      </c>
      <c r="O387">
        <f>VLOOKUP(D387,tblProduct[],4,FALSE)</f>
        <v>70000</v>
      </c>
      <c r="P387">
        <v>958.15</v>
      </c>
      <c r="Q387" s="19" t="str">
        <f t="shared" si="6"/>
        <v>Oct-2023</v>
      </c>
      <c r="R387" s="26">
        <f>DATE(YEAR(tblEnriched[[#This Row],[Date]]),MONTH(tblEnriched[[#This Row],[Date]]),1)</f>
        <v>45200</v>
      </c>
    </row>
    <row r="388" spans="1:18">
      <c r="A388" t="s">
        <v>1519</v>
      </c>
      <c r="B388" s="10">
        <v>45044</v>
      </c>
      <c r="C388" t="s">
        <v>1520</v>
      </c>
      <c r="D388" t="s">
        <v>38</v>
      </c>
      <c r="E388">
        <v>1</v>
      </c>
      <c r="F388" s="4">
        <v>93.02</v>
      </c>
      <c r="G388" t="s">
        <v>33</v>
      </c>
      <c r="H388" t="s">
        <v>49</v>
      </c>
      <c r="I388">
        <v>4</v>
      </c>
      <c r="K388" t="s">
        <v>44</v>
      </c>
      <c r="L388" s="4">
        <v>93.02</v>
      </c>
      <c r="M388" t="str">
        <f>VLOOKUP(D388,tblProduct[],2,FALSE)</f>
        <v>Electronics</v>
      </c>
      <c r="N388" t="str">
        <f>VLOOKUP(D388,tblProduct[],3,FALSE)</f>
        <v>Medium</v>
      </c>
      <c r="O388">
        <f>VLOOKUP(D388,tblProduct[],4,FALSE)</f>
        <v>100000</v>
      </c>
      <c r="P388">
        <v>93.02</v>
      </c>
      <c r="Q388" s="19" t="str">
        <f t="shared" si="6"/>
        <v>Apr-2023</v>
      </c>
      <c r="R388" s="26">
        <f>DATE(YEAR(tblEnriched[[#This Row],[Date]]),MONTH(tblEnriched[[#This Row],[Date]]),1)</f>
        <v>45017</v>
      </c>
    </row>
    <row r="389" spans="1:18">
      <c r="A389" t="s">
        <v>1523</v>
      </c>
      <c r="B389" s="10">
        <v>45470</v>
      </c>
      <c r="C389" t="s">
        <v>1524</v>
      </c>
      <c r="D389" t="s">
        <v>54</v>
      </c>
      <c r="E389">
        <v>2</v>
      </c>
      <c r="F389" s="4">
        <v>39.53</v>
      </c>
      <c r="G389" t="s">
        <v>40</v>
      </c>
      <c r="H389" t="s">
        <v>25</v>
      </c>
      <c r="I389">
        <v>3</v>
      </c>
      <c r="J389" t="s">
        <v>87</v>
      </c>
      <c r="K389" t="s">
        <v>82</v>
      </c>
      <c r="L389" s="4">
        <v>79.06</v>
      </c>
      <c r="M389" t="str">
        <f>VLOOKUP(D389,tblProduct[],2,FALSE)</f>
        <v>Electronics</v>
      </c>
      <c r="N389" t="str">
        <f>VLOOKUP(D389,tblProduct[],3,FALSE)</f>
        <v>Medium</v>
      </c>
      <c r="O389">
        <f>VLOOKUP(D389,tblProduct[],4,FALSE)</f>
        <v>80000</v>
      </c>
      <c r="P389">
        <v>79.06</v>
      </c>
      <c r="Q389" s="19" t="str">
        <f t="shared" si="6"/>
        <v>Jun-2024</v>
      </c>
      <c r="R389" s="26">
        <f>DATE(YEAR(tblEnriched[[#This Row],[Date]]),MONTH(tblEnriched[[#This Row],[Date]]),1)</f>
        <v>45444</v>
      </c>
    </row>
    <row r="390" spans="1:18">
      <c r="A390" t="s">
        <v>1526</v>
      </c>
      <c r="B390" s="10">
        <v>45288</v>
      </c>
      <c r="C390" t="s">
        <v>1527</v>
      </c>
      <c r="D390" t="s">
        <v>54</v>
      </c>
      <c r="E390">
        <v>3</v>
      </c>
      <c r="F390" s="4">
        <v>633.97</v>
      </c>
      <c r="G390" t="s">
        <v>71</v>
      </c>
      <c r="H390" t="s">
        <v>95</v>
      </c>
      <c r="I390">
        <v>7</v>
      </c>
      <c r="J390" t="s">
        <v>87</v>
      </c>
      <c r="K390" t="s">
        <v>51</v>
      </c>
      <c r="L390" s="4">
        <v>1901.91</v>
      </c>
      <c r="M390" t="str">
        <f>VLOOKUP(D390,tblProduct[],2,FALSE)</f>
        <v>Electronics</v>
      </c>
      <c r="N390" t="str">
        <f>VLOOKUP(D390,tblProduct[],3,FALSE)</f>
        <v>Medium</v>
      </c>
      <c r="O390">
        <f>VLOOKUP(D390,tblProduct[],4,FALSE)</f>
        <v>80000</v>
      </c>
      <c r="P390">
        <v>1901.91</v>
      </c>
      <c r="Q390" s="19" t="str">
        <f t="shared" si="6"/>
        <v>Dec-2023</v>
      </c>
      <c r="R390" s="26">
        <f>DATE(YEAR(tblEnriched[[#This Row],[Date]]),MONTH(tblEnriched[[#This Row],[Date]]),1)</f>
        <v>45261</v>
      </c>
    </row>
    <row r="391" spans="1:18">
      <c r="A391" t="s">
        <v>1529</v>
      </c>
      <c r="B391" s="10">
        <v>45277</v>
      </c>
      <c r="C391" t="s">
        <v>1530</v>
      </c>
      <c r="D391" t="s">
        <v>79</v>
      </c>
      <c r="E391">
        <v>4</v>
      </c>
      <c r="F391" s="4">
        <v>697.5</v>
      </c>
      <c r="G391" t="s">
        <v>71</v>
      </c>
      <c r="H391" t="s">
        <v>25</v>
      </c>
      <c r="I391">
        <v>7</v>
      </c>
      <c r="J391" t="s">
        <v>43</v>
      </c>
      <c r="K391" t="s">
        <v>35</v>
      </c>
      <c r="L391" s="4">
        <v>2790</v>
      </c>
      <c r="M391" t="str">
        <f>VLOOKUP(D391,tblProduct[],2,FALSE)</f>
        <v>Furniture</v>
      </c>
      <c r="N391" t="str">
        <f>VLOOKUP(D391,tblProduct[],3,FALSE)</f>
        <v>High</v>
      </c>
      <c r="O391">
        <f>VLOOKUP(D391,tblProduct[],4,FALSE)</f>
        <v>75000</v>
      </c>
      <c r="P391">
        <v>2790</v>
      </c>
      <c r="Q391" s="19" t="str">
        <f t="shared" si="6"/>
        <v>Dec-2023</v>
      </c>
      <c r="R391" s="26">
        <f>DATE(YEAR(tblEnriched[[#This Row],[Date]]),MONTH(tblEnriched[[#This Row],[Date]]),1)</f>
        <v>45261</v>
      </c>
    </row>
    <row r="392" spans="1:18">
      <c r="A392" t="s">
        <v>1533</v>
      </c>
      <c r="B392" s="10">
        <v>45121</v>
      </c>
      <c r="C392" t="s">
        <v>1534</v>
      </c>
      <c r="D392" t="s">
        <v>54</v>
      </c>
      <c r="E392">
        <v>5</v>
      </c>
      <c r="F392" s="4">
        <v>508.69</v>
      </c>
      <c r="G392" t="s">
        <v>71</v>
      </c>
      <c r="H392" t="s">
        <v>56</v>
      </c>
      <c r="I392">
        <v>10</v>
      </c>
      <c r="J392" t="s">
        <v>43</v>
      </c>
      <c r="K392" t="s">
        <v>82</v>
      </c>
      <c r="L392" s="4">
        <v>2543.4499999999998</v>
      </c>
      <c r="M392" t="str">
        <f>VLOOKUP(D392,tblProduct[],2,FALSE)</f>
        <v>Electronics</v>
      </c>
      <c r="N392" t="str">
        <f>VLOOKUP(D392,tblProduct[],3,FALSE)</f>
        <v>Medium</v>
      </c>
      <c r="O392">
        <f>VLOOKUP(D392,tblProduct[],4,FALSE)</f>
        <v>80000</v>
      </c>
      <c r="P392">
        <v>2543.4499999999998</v>
      </c>
      <c r="Q392" s="19" t="str">
        <f t="shared" si="6"/>
        <v>Jul-2023</v>
      </c>
      <c r="R392" s="26">
        <f>DATE(YEAR(tblEnriched[[#This Row],[Date]]),MONTH(tblEnriched[[#This Row],[Date]]),1)</f>
        <v>45108</v>
      </c>
    </row>
    <row r="393" spans="1:18">
      <c r="A393" t="s">
        <v>1536</v>
      </c>
      <c r="B393" s="10">
        <v>45673</v>
      </c>
      <c r="C393" t="s">
        <v>1537</v>
      </c>
      <c r="D393" t="s">
        <v>64</v>
      </c>
      <c r="E393">
        <v>2</v>
      </c>
      <c r="F393" s="4">
        <v>527.46</v>
      </c>
      <c r="G393" t="s">
        <v>24</v>
      </c>
      <c r="H393" t="s">
        <v>41</v>
      </c>
      <c r="I393">
        <v>3</v>
      </c>
      <c r="J393" t="s">
        <v>43</v>
      </c>
      <c r="K393" t="s">
        <v>35</v>
      </c>
      <c r="L393" s="4">
        <v>1054.92</v>
      </c>
      <c r="M393" t="str">
        <f>VLOOKUP(D393,tblProduct[],2,FALSE)</f>
        <v>Electronics</v>
      </c>
      <c r="N393" t="str">
        <f>VLOOKUP(D393,tblProduct[],3,FALSE)</f>
        <v>High</v>
      </c>
      <c r="O393">
        <f>VLOOKUP(D393,tblProduct[],4,FALSE)</f>
        <v>150000</v>
      </c>
      <c r="P393">
        <v>1054.92</v>
      </c>
      <c r="Q393" s="19" t="str">
        <f t="shared" si="6"/>
        <v>Jan-2025</v>
      </c>
      <c r="R393" s="26">
        <f>DATE(YEAR(tblEnriched[[#This Row],[Date]]),MONTH(tblEnriched[[#This Row],[Date]]),1)</f>
        <v>45658</v>
      </c>
    </row>
    <row r="394" spans="1:18">
      <c r="A394" t="s">
        <v>1539</v>
      </c>
      <c r="B394" s="10">
        <v>45350</v>
      </c>
      <c r="C394" t="s">
        <v>1540</v>
      </c>
      <c r="D394" t="s">
        <v>31</v>
      </c>
      <c r="E394">
        <v>1</v>
      </c>
      <c r="F394" s="4">
        <v>627.20000000000005</v>
      </c>
      <c r="G394" t="s">
        <v>33</v>
      </c>
      <c r="H394" t="s">
        <v>56</v>
      </c>
      <c r="I394">
        <v>1</v>
      </c>
      <c r="J394" t="s">
        <v>87</v>
      </c>
      <c r="K394" t="s">
        <v>44</v>
      </c>
      <c r="L394" s="4">
        <v>627.20000000000005</v>
      </c>
      <c r="M394" t="str">
        <f>VLOOKUP(D394,tblProduct[],2,FALSE)</f>
        <v>Electronics</v>
      </c>
      <c r="N394" t="str">
        <f>VLOOKUP(D394,tblProduct[],3,FALSE)</f>
        <v>High</v>
      </c>
      <c r="O394">
        <f>VLOOKUP(D394,tblProduct[],4,FALSE)</f>
        <v>120000</v>
      </c>
      <c r="P394">
        <v>627.20000000000005</v>
      </c>
      <c r="Q394" s="19" t="str">
        <f t="shared" si="6"/>
        <v>Feb-2024</v>
      </c>
      <c r="R394" s="26">
        <f>DATE(YEAR(tblEnriched[[#This Row],[Date]]),MONTH(tblEnriched[[#This Row],[Date]]),1)</f>
        <v>45323</v>
      </c>
    </row>
    <row r="395" spans="1:18">
      <c r="A395" t="s">
        <v>1542</v>
      </c>
      <c r="B395" s="10">
        <v>45487</v>
      </c>
      <c r="C395" t="s">
        <v>1543</v>
      </c>
      <c r="D395" t="s">
        <v>54</v>
      </c>
      <c r="E395">
        <v>1</v>
      </c>
      <c r="F395" s="4">
        <v>75.010000000000005</v>
      </c>
      <c r="G395" t="s">
        <v>40</v>
      </c>
      <c r="H395" t="s">
        <v>49</v>
      </c>
      <c r="I395">
        <v>3</v>
      </c>
      <c r="K395" t="s">
        <v>82</v>
      </c>
      <c r="L395" s="4">
        <v>75.010000000000005</v>
      </c>
      <c r="M395" t="str">
        <f>VLOOKUP(D395,tblProduct[],2,FALSE)</f>
        <v>Electronics</v>
      </c>
      <c r="N395" t="str">
        <f>VLOOKUP(D395,tblProduct[],3,FALSE)</f>
        <v>Medium</v>
      </c>
      <c r="O395">
        <f>VLOOKUP(D395,tblProduct[],4,FALSE)</f>
        <v>80000</v>
      </c>
      <c r="P395">
        <v>75.010000000000005</v>
      </c>
      <c r="Q395" s="19" t="str">
        <f t="shared" si="6"/>
        <v>Jul-2024</v>
      </c>
      <c r="R395" s="26">
        <f>DATE(YEAR(tblEnriched[[#This Row],[Date]]),MONTH(tblEnriched[[#This Row],[Date]]),1)</f>
        <v>45474</v>
      </c>
    </row>
    <row r="396" spans="1:18">
      <c r="A396" t="s">
        <v>1546</v>
      </c>
      <c r="B396" s="10">
        <v>45112</v>
      </c>
      <c r="C396" t="s">
        <v>1547</v>
      </c>
      <c r="D396" t="s">
        <v>79</v>
      </c>
      <c r="E396">
        <v>5</v>
      </c>
      <c r="F396" s="4">
        <v>529.54999999999995</v>
      </c>
      <c r="G396" t="s">
        <v>66</v>
      </c>
      <c r="H396" t="s">
        <v>25</v>
      </c>
      <c r="I396">
        <v>10</v>
      </c>
      <c r="K396" t="s">
        <v>51</v>
      </c>
      <c r="L396" s="4">
        <v>2647.75</v>
      </c>
      <c r="M396" t="str">
        <f>VLOOKUP(D396,tblProduct[],2,FALSE)</f>
        <v>Furniture</v>
      </c>
      <c r="N396" t="str">
        <f>VLOOKUP(D396,tblProduct[],3,FALSE)</f>
        <v>High</v>
      </c>
      <c r="O396">
        <f>VLOOKUP(D396,tblProduct[],4,FALSE)</f>
        <v>75000</v>
      </c>
      <c r="P396">
        <v>2647.75</v>
      </c>
      <c r="Q396" s="19" t="str">
        <f t="shared" si="6"/>
        <v>Jul-2023</v>
      </c>
      <c r="R396" s="26">
        <f>DATE(YEAR(tblEnriched[[#This Row],[Date]]),MONTH(tblEnriched[[#This Row],[Date]]),1)</f>
        <v>45108</v>
      </c>
    </row>
    <row r="397" spans="1:18">
      <c r="A397" t="s">
        <v>1550</v>
      </c>
      <c r="B397" s="10">
        <v>45772</v>
      </c>
      <c r="C397" t="s">
        <v>1551</v>
      </c>
      <c r="D397" t="s">
        <v>31</v>
      </c>
      <c r="E397">
        <v>3</v>
      </c>
      <c r="F397" s="4">
        <v>127.41</v>
      </c>
      <c r="G397" t="s">
        <v>66</v>
      </c>
      <c r="H397" t="s">
        <v>56</v>
      </c>
      <c r="I397">
        <v>7</v>
      </c>
      <c r="J397" t="s">
        <v>27</v>
      </c>
      <c r="K397" t="s">
        <v>35</v>
      </c>
      <c r="L397" s="4">
        <v>382.23</v>
      </c>
      <c r="M397" t="str">
        <f>VLOOKUP(D397,tblProduct[],2,FALSE)</f>
        <v>Electronics</v>
      </c>
      <c r="N397" t="str">
        <f>VLOOKUP(D397,tblProduct[],3,FALSE)</f>
        <v>High</v>
      </c>
      <c r="O397">
        <f>VLOOKUP(D397,tblProduct[],4,FALSE)</f>
        <v>120000</v>
      </c>
      <c r="P397">
        <v>382.23</v>
      </c>
      <c r="Q397" s="19" t="str">
        <f t="shared" si="6"/>
        <v>Apr-2025</v>
      </c>
      <c r="R397" s="26">
        <f>DATE(YEAR(tblEnriched[[#This Row],[Date]]),MONTH(tblEnriched[[#This Row],[Date]]),1)</f>
        <v>45748</v>
      </c>
    </row>
    <row r="398" spans="1:18">
      <c r="A398" t="s">
        <v>1553</v>
      </c>
      <c r="B398" s="10">
        <v>45261</v>
      </c>
      <c r="C398" t="s">
        <v>1554</v>
      </c>
      <c r="D398" t="s">
        <v>38</v>
      </c>
      <c r="E398">
        <v>5</v>
      </c>
      <c r="F398" s="4">
        <v>287.13</v>
      </c>
      <c r="G398" t="s">
        <v>33</v>
      </c>
      <c r="H398" t="s">
        <v>25</v>
      </c>
      <c r="I398">
        <v>10</v>
      </c>
      <c r="J398" t="s">
        <v>27</v>
      </c>
      <c r="K398" t="s">
        <v>44</v>
      </c>
      <c r="L398" s="4">
        <v>1435.65</v>
      </c>
      <c r="M398" t="str">
        <f>VLOOKUP(D398,tblProduct[],2,FALSE)</f>
        <v>Electronics</v>
      </c>
      <c r="N398" t="str">
        <f>VLOOKUP(D398,tblProduct[],3,FALSE)</f>
        <v>Medium</v>
      </c>
      <c r="O398">
        <f>VLOOKUP(D398,tblProduct[],4,FALSE)</f>
        <v>100000</v>
      </c>
      <c r="P398">
        <v>1435.65</v>
      </c>
      <c r="Q398" s="19" t="str">
        <f t="shared" si="6"/>
        <v>Dec-2023</v>
      </c>
      <c r="R398" s="26">
        <f>DATE(YEAR(tblEnriched[[#This Row],[Date]]),MONTH(tblEnriched[[#This Row],[Date]]),1)</f>
        <v>45261</v>
      </c>
    </row>
    <row r="399" spans="1:18">
      <c r="A399" t="s">
        <v>1557</v>
      </c>
      <c r="B399" s="10">
        <v>45197</v>
      </c>
      <c r="C399" t="s">
        <v>1558</v>
      </c>
      <c r="D399" t="s">
        <v>22</v>
      </c>
      <c r="E399">
        <v>1</v>
      </c>
      <c r="F399" s="4">
        <v>427.06</v>
      </c>
      <c r="G399" t="s">
        <v>33</v>
      </c>
      <c r="H399" t="s">
        <v>41</v>
      </c>
      <c r="I399">
        <v>1</v>
      </c>
      <c r="J399" t="s">
        <v>87</v>
      </c>
      <c r="K399" t="s">
        <v>35</v>
      </c>
      <c r="L399" s="4">
        <v>427.06</v>
      </c>
      <c r="M399" t="str">
        <f>VLOOKUP(D399,tblProduct[],2,FALSE)</f>
        <v>Electronics</v>
      </c>
      <c r="N399" t="str">
        <f>VLOOKUP(D399,tblProduct[],3,FALSE)</f>
        <v>Medium</v>
      </c>
      <c r="O399">
        <f>VLOOKUP(D399,tblProduct[],4,FALSE)</f>
        <v>90000</v>
      </c>
      <c r="P399">
        <v>427.06</v>
      </c>
      <c r="Q399" s="19" t="str">
        <f t="shared" si="6"/>
        <v>Sep-2023</v>
      </c>
      <c r="R399" s="26">
        <f>DATE(YEAR(tblEnriched[[#This Row],[Date]]),MONTH(tblEnriched[[#This Row],[Date]]),1)</f>
        <v>45170</v>
      </c>
    </row>
    <row r="400" spans="1:18">
      <c r="A400" t="s">
        <v>1561</v>
      </c>
      <c r="B400" s="10">
        <v>45539</v>
      </c>
      <c r="C400" t="s">
        <v>1562</v>
      </c>
      <c r="D400" t="s">
        <v>31</v>
      </c>
      <c r="E400">
        <v>5</v>
      </c>
      <c r="F400" s="4">
        <v>53.93</v>
      </c>
      <c r="G400" t="s">
        <v>66</v>
      </c>
      <c r="H400" t="s">
        <v>25</v>
      </c>
      <c r="I400">
        <v>7</v>
      </c>
      <c r="J400" t="s">
        <v>27</v>
      </c>
      <c r="K400" t="s">
        <v>28</v>
      </c>
      <c r="L400" s="4">
        <v>269.64999999999998</v>
      </c>
      <c r="M400" t="str">
        <f>VLOOKUP(D400,tblProduct[],2,FALSE)</f>
        <v>Electronics</v>
      </c>
      <c r="N400" t="str">
        <f>VLOOKUP(D400,tblProduct[],3,FALSE)</f>
        <v>High</v>
      </c>
      <c r="O400">
        <f>VLOOKUP(D400,tblProduct[],4,FALSE)</f>
        <v>120000</v>
      </c>
      <c r="P400">
        <v>269.64999999999998</v>
      </c>
      <c r="Q400" s="19" t="str">
        <f t="shared" si="6"/>
        <v>Sep-2024</v>
      </c>
      <c r="R400" s="26">
        <f>DATE(YEAR(tblEnriched[[#This Row],[Date]]),MONTH(tblEnriched[[#This Row],[Date]]),1)</f>
        <v>45536</v>
      </c>
    </row>
    <row r="401" spans="1:18">
      <c r="A401" t="s">
        <v>1564</v>
      </c>
      <c r="B401" s="10">
        <v>45298</v>
      </c>
      <c r="C401" t="s">
        <v>1565</v>
      </c>
      <c r="D401" t="s">
        <v>38</v>
      </c>
      <c r="E401">
        <v>5</v>
      </c>
      <c r="F401" s="4">
        <v>423.93</v>
      </c>
      <c r="G401" t="s">
        <v>24</v>
      </c>
      <c r="H401" t="s">
        <v>49</v>
      </c>
      <c r="I401">
        <v>5</v>
      </c>
      <c r="J401" t="s">
        <v>43</v>
      </c>
      <c r="K401" t="s">
        <v>51</v>
      </c>
      <c r="L401" s="4">
        <v>2119.65</v>
      </c>
      <c r="M401" t="str">
        <f>VLOOKUP(D401,tblProduct[],2,FALSE)</f>
        <v>Electronics</v>
      </c>
      <c r="N401" t="str">
        <f>VLOOKUP(D401,tblProduct[],3,FALSE)</f>
        <v>Medium</v>
      </c>
      <c r="O401">
        <f>VLOOKUP(D401,tblProduct[],4,FALSE)</f>
        <v>100000</v>
      </c>
      <c r="P401">
        <v>2119.65</v>
      </c>
      <c r="Q401" s="19" t="str">
        <f t="shared" si="6"/>
        <v>Jan-2024</v>
      </c>
      <c r="R401" s="26">
        <f>DATE(YEAR(tblEnriched[[#This Row],[Date]]),MONTH(tblEnriched[[#This Row],[Date]]),1)</f>
        <v>45292</v>
      </c>
    </row>
    <row r="402" spans="1:18">
      <c r="A402" t="s">
        <v>1568</v>
      </c>
      <c r="B402" s="10">
        <v>45563</v>
      </c>
      <c r="C402" t="s">
        <v>1569</v>
      </c>
      <c r="D402" t="s">
        <v>79</v>
      </c>
      <c r="E402">
        <v>4</v>
      </c>
      <c r="F402" s="4">
        <v>160.22</v>
      </c>
      <c r="G402" t="s">
        <v>24</v>
      </c>
      <c r="H402" t="s">
        <v>49</v>
      </c>
      <c r="I402">
        <v>9</v>
      </c>
      <c r="J402" t="s">
        <v>87</v>
      </c>
      <c r="K402" t="s">
        <v>28</v>
      </c>
      <c r="L402" s="4">
        <v>640.88</v>
      </c>
      <c r="M402" t="str">
        <f>VLOOKUP(D402,tblProduct[],2,FALSE)</f>
        <v>Furniture</v>
      </c>
      <c r="N402" t="str">
        <f>VLOOKUP(D402,tblProduct[],3,FALSE)</f>
        <v>High</v>
      </c>
      <c r="O402">
        <f>VLOOKUP(D402,tblProduct[],4,FALSE)</f>
        <v>75000</v>
      </c>
      <c r="P402">
        <v>640.88</v>
      </c>
      <c r="Q402" s="19" t="str">
        <f t="shared" si="6"/>
        <v>Sep-2024</v>
      </c>
      <c r="R402" s="26">
        <f>DATE(YEAR(tblEnriched[[#This Row],[Date]]),MONTH(tblEnriched[[#This Row],[Date]]),1)</f>
        <v>45536</v>
      </c>
    </row>
    <row r="403" spans="1:18">
      <c r="A403" t="s">
        <v>1572</v>
      </c>
      <c r="B403" s="10">
        <v>45756</v>
      </c>
      <c r="C403" t="s">
        <v>1573</v>
      </c>
      <c r="D403" t="s">
        <v>54</v>
      </c>
      <c r="E403">
        <v>1</v>
      </c>
      <c r="F403" s="4">
        <v>538.67999999999995</v>
      </c>
      <c r="G403" t="s">
        <v>24</v>
      </c>
      <c r="H403" t="s">
        <v>49</v>
      </c>
      <c r="I403">
        <v>6</v>
      </c>
      <c r="K403" t="s">
        <v>35</v>
      </c>
      <c r="L403" s="4">
        <v>538.67999999999995</v>
      </c>
      <c r="M403" t="str">
        <f>VLOOKUP(D403,tblProduct[],2,FALSE)</f>
        <v>Electronics</v>
      </c>
      <c r="N403" t="str">
        <f>VLOOKUP(D403,tblProduct[],3,FALSE)</f>
        <v>Medium</v>
      </c>
      <c r="O403">
        <f>VLOOKUP(D403,tblProduct[],4,FALSE)</f>
        <v>80000</v>
      </c>
      <c r="P403">
        <v>538.67999999999995</v>
      </c>
      <c r="Q403" s="19" t="str">
        <f t="shared" si="6"/>
        <v>Apr-2025</v>
      </c>
      <c r="R403" s="26">
        <f>DATE(YEAR(tblEnriched[[#This Row],[Date]]),MONTH(tblEnriched[[#This Row],[Date]]),1)</f>
        <v>45748</v>
      </c>
    </row>
    <row r="404" spans="1:18">
      <c r="A404" t="s">
        <v>1575</v>
      </c>
      <c r="B404" s="10">
        <v>45025</v>
      </c>
      <c r="C404" t="s">
        <v>1576</v>
      </c>
      <c r="D404" t="s">
        <v>54</v>
      </c>
      <c r="E404">
        <v>5</v>
      </c>
      <c r="F404" s="4">
        <v>337.38</v>
      </c>
      <c r="G404" t="s">
        <v>66</v>
      </c>
      <c r="H404" t="s">
        <v>25</v>
      </c>
      <c r="I404">
        <v>5</v>
      </c>
      <c r="K404" t="s">
        <v>35</v>
      </c>
      <c r="L404" s="4">
        <v>1686.9</v>
      </c>
      <c r="M404" t="str">
        <f>VLOOKUP(D404,tblProduct[],2,FALSE)</f>
        <v>Electronics</v>
      </c>
      <c r="N404" t="str">
        <f>VLOOKUP(D404,tblProduct[],3,FALSE)</f>
        <v>Medium</v>
      </c>
      <c r="O404">
        <f>VLOOKUP(D404,tblProduct[],4,FALSE)</f>
        <v>80000</v>
      </c>
      <c r="P404">
        <v>1686.9</v>
      </c>
      <c r="Q404" s="19" t="str">
        <f t="shared" si="6"/>
        <v>Apr-2023</v>
      </c>
      <c r="R404" s="26">
        <f>DATE(YEAR(tblEnriched[[#This Row],[Date]]),MONTH(tblEnriched[[#This Row],[Date]]),1)</f>
        <v>45017</v>
      </c>
    </row>
    <row r="405" spans="1:18">
      <c r="A405" t="s">
        <v>1579</v>
      </c>
      <c r="B405" s="10">
        <v>45606</v>
      </c>
      <c r="C405" t="s">
        <v>1580</v>
      </c>
      <c r="D405" t="s">
        <v>38</v>
      </c>
      <c r="E405">
        <v>1</v>
      </c>
      <c r="F405" s="4">
        <v>620.21</v>
      </c>
      <c r="G405" t="s">
        <v>33</v>
      </c>
      <c r="H405" t="s">
        <v>49</v>
      </c>
      <c r="I405">
        <v>1</v>
      </c>
      <c r="J405" t="s">
        <v>43</v>
      </c>
      <c r="K405" t="s">
        <v>35</v>
      </c>
      <c r="L405" s="4">
        <v>620.21</v>
      </c>
      <c r="M405" t="str">
        <f>VLOOKUP(D405,tblProduct[],2,FALSE)</f>
        <v>Electronics</v>
      </c>
      <c r="N405" t="str">
        <f>VLOOKUP(D405,tblProduct[],3,FALSE)</f>
        <v>Medium</v>
      </c>
      <c r="O405">
        <f>VLOOKUP(D405,tblProduct[],4,FALSE)</f>
        <v>100000</v>
      </c>
      <c r="P405">
        <v>620.21</v>
      </c>
      <c r="Q405" s="19" t="str">
        <f t="shared" si="6"/>
        <v>Nov-2024</v>
      </c>
      <c r="R405" s="26">
        <f>DATE(YEAR(tblEnriched[[#This Row],[Date]]),MONTH(tblEnriched[[#This Row],[Date]]),1)</f>
        <v>45597</v>
      </c>
    </row>
    <row r="406" spans="1:18">
      <c r="A406" t="s">
        <v>1582</v>
      </c>
      <c r="B406" s="10">
        <v>44994</v>
      </c>
      <c r="C406" t="s">
        <v>1583</v>
      </c>
      <c r="D406" t="s">
        <v>22</v>
      </c>
      <c r="E406">
        <v>2</v>
      </c>
      <c r="F406" s="4">
        <v>99.1</v>
      </c>
      <c r="G406" t="s">
        <v>71</v>
      </c>
      <c r="H406" t="s">
        <v>56</v>
      </c>
      <c r="I406">
        <v>6</v>
      </c>
      <c r="K406" t="s">
        <v>28</v>
      </c>
      <c r="L406" s="4">
        <v>198.2</v>
      </c>
      <c r="M406" t="str">
        <f>VLOOKUP(D406,tblProduct[],2,FALSE)</f>
        <v>Electronics</v>
      </c>
      <c r="N406" t="str">
        <f>VLOOKUP(D406,tblProduct[],3,FALSE)</f>
        <v>Medium</v>
      </c>
      <c r="O406">
        <f>VLOOKUP(D406,tblProduct[],4,FALSE)</f>
        <v>90000</v>
      </c>
      <c r="P406">
        <v>198.2</v>
      </c>
      <c r="Q406" s="19" t="str">
        <f t="shared" si="6"/>
        <v>Mar-2023</v>
      </c>
      <c r="R406" s="26">
        <f>DATE(YEAR(tblEnriched[[#This Row],[Date]]),MONTH(tblEnriched[[#This Row],[Date]]),1)</f>
        <v>44986</v>
      </c>
    </row>
    <row r="407" spans="1:18">
      <c r="A407" t="s">
        <v>1585</v>
      </c>
      <c r="B407" s="10">
        <v>45683</v>
      </c>
      <c r="C407" t="s">
        <v>1586</v>
      </c>
      <c r="D407" t="s">
        <v>22</v>
      </c>
      <c r="E407">
        <v>4</v>
      </c>
      <c r="F407" s="4">
        <v>451.97</v>
      </c>
      <c r="G407" t="s">
        <v>33</v>
      </c>
      <c r="H407" t="s">
        <v>41</v>
      </c>
      <c r="I407">
        <v>7</v>
      </c>
      <c r="J407" t="s">
        <v>87</v>
      </c>
      <c r="K407" t="s">
        <v>44</v>
      </c>
      <c r="L407" s="4">
        <v>1807.88</v>
      </c>
      <c r="M407" t="str">
        <f>VLOOKUP(D407,tblProduct[],2,FALSE)</f>
        <v>Electronics</v>
      </c>
      <c r="N407" t="str">
        <f>VLOOKUP(D407,tblProduct[],3,FALSE)</f>
        <v>Medium</v>
      </c>
      <c r="O407">
        <f>VLOOKUP(D407,tblProduct[],4,FALSE)</f>
        <v>90000</v>
      </c>
      <c r="P407">
        <v>1807.88</v>
      </c>
      <c r="Q407" s="19" t="str">
        <f t="shared" si="6"/>
        <v>Jan-2025</v>
      </c>
      <c r="R407" s="26">
        <f>DATE(YEAR(tblEnriched[[#This Row],[Date]]),MONTH(tblEnriched[[#This Row],[Date]]),1)</f>
        <v>45658</v>
      </c>
    </row>
    <row r="408" spans="1:18">
      <c r="A408" t="s">
        <v>1588</v>
      </c>
      <c r="B408" s="10">
        <v>45270</v>
      </c>
      <c r="C408" t="s">
        <v>1589</v>
      </c>
      <c r="D408" t="s">
        <v>38</v>
      </c>
      <c r="E408">
        <v>4</v>
      </c>
      <c r="F408" s="4">
        <v>66.099999999999994</v>
      </c>
      <c r="G408" t="s">
        <v>71</v>
      </c>
      <c r="H408" t="s">
        <v>49</v>
      </c>
      <c r="I408">
        <v>9</v>
      </c>
      <c r="J408" t="s">
        <v>87</v>
      </c>
      <c r="K408" t="s">
        <v>82</v>
      </c>
      <c r="L408" s="4">
        <v>264.39999999999998</v>
      </c>
      <c r="M408" t="str">
        <f>VLOOKUP(D408,tblProduct[],2,FALSE)</f>
        <v>Electronics</v>
      </c>
      <c r="N408" t="str">
        <f>VLOOKUP(D408,tblProduct[],3,FALSE)</f>
        <v>Medium</v>
      </c>
      <c r="O408">
        <f>VLOOKUP(D408,tblProduct[],4,FALSE)</f>
        <v>100000</v>
      </c>
      <c r="P408">
        <v>264.39999999999998</v>
      </c>
      <c r="Q408" s="19" t="str">
        <f t="shared" si="6"/>
        <v>Dec-2023</v>
      </c>
      <c r="R408" s="26">
        <f>DATE(YEAR(tblEnriched[[#This Row],[Date]]),MONTH(tblEnriched[[#This Row],[Date]]),1)</f>
        <v>45261</v>
      </c>
    </row>
    <row r="409" spans="1:18">
      <c r="A409" t="s">
        <v>1591</v>
      </c>
      <c r="B409" s="10">
        <v>45151</v>
      </c>
      <c r="C409" t="s">
        <v>1592</v>
      </c>
      <c r="D409" t="s">
        <v>38</v>
      </c>
      <c r="E409">
        <v>4</v>
      </c>
      <c r="F409" s="4">
        <v>547.32000000000005</v>
      </c>
      <c r="G409" t="s">
        <v>71</v>
      </c>
      <c r="H409" t="s">
        <v>49</v>
      </c>
      <c r="I409">
        <v>8</v>
      </c>
      <c r="J409" t="s">
        <v>43</v>
      </c>
      <c r="K409" t="s">
        <v>28</v>
      </c>
      <c r="L409" s="4">
        <v>2189.2800000000002</v>
      </c>
      <c r="M409" t="str">
        <f>VLOOKUP(D409,tblProduct[],2,FALSE)</f>
        <v>Electronics</v>
      </c>
      <c r="N409" t="str">
        <f>VLOOKUP(D409,tblProduct[],3,FALSE)</f>
        <v>Medium</v>
      </c>
      <c r="O409">
        <f>VLOOKUP(D409,tblProduct[],4,FALSE)</f>
        <v>100000</v>
      </c>
      <c r="P409">
        <v>2189.2800000000002</v>
      </c>
      <c r="Q409" s="19" t="str">
        <f t="shared" si="6"/>
        <v>Aug-2023</v>
      </c>
      <c r="R409" s="26">
        <f>DATE(YEAR(tblEnriched[[#This Row],[Date]]),MONTH(tblEnriched[[#This Row],[Date]]),1)</f>
        <v>45139</v>
      </c>
    </row>
    <row r="410" spans="1:18">
      <c r="A410" t="s">
        <v>1594</v>
      </c>
      <c r="B410" s="10">
        <v>45658</v>
      </c>
      <c r="C410" t="s">
        <v>1595</v>
      </c>
      <c r="D410" t="s">
        <v>54</v>
      </c>
      <c r="E410">
        <v>3</v>
      </c>
      <c r="F410" s="4">
        <v>412.53</v>
      </c>
      <c r="G410" t="s">
        <v>33</v>
      </c>
      <c r="H410" t="s">
        <v>95</v>
      </c>
      <c r="I410">
        <v>6</v>
      </c>
      <c r="J410" t="s">
        <v>87</v>
      </c>
      <c r="K410" t="s">
        <v>82</v>
      </c>
      <c r="L410" s="4">
        <v>1237.5899999999999</v>
      </c>
      <c r="M410" t="str">
        <f>VLOOKUP(D410,tblProduct[],2,FALSE)</f>
        <v>Electronics</v>
      </c>
      <c r="N410" t="str">
        <f>VLOOKUP(D410,tblProduct[],3,FALSE)</f>
        <v>Medium</v>
      </c>
      <c r="O410">
        <f>VLOOKUP(D410,tblProduct[],4,FALSE)</f>
        <v>80000</v>
      </c>
      <c r="P410">
        <v>1237.5899999999999</v>
      </c>
      <c r="Q410" s="19" t="str">
        <f t="shared" si="6"/>
        <v>Jan-2025</v>
      </c>
      <c r="R410" s="26">
        <f>DATE(YEAR(tblEnriched[[#This Row],[Date]]),MONTH(tblEnriched[[#This Row],[Date]]),1)</f>
        <v>45658</v>
      </c>
    </row>
    <row r="411" spans="1:18">
      <c r="A411" t="s">
        <v>1598</v>
      </c>
      <c r="B411" s="10">
        <v>45105</v>
      </c>
      <c r="C411" t="s">
        <v>1599</v>
      </c>
      <c r="D411" t="s">
        <v>79</v>
      </c>
      <c r="E411">
        <v>5</v>
      </c>
      <c r="F411" s="4">
        <v>84.13</v>
      </c>
      <c r="G411" t="s">
        <v>33</v>
      </c>
      <c r="H411" t="s">
        <v>56</v>
      </c>
      <c r="I411">
        <v>9</v>
      </c>
      <c r="J411" t="s">
        <v>27</v>
      </c>
      <c r="K411" t="s">
        <v>82</v>
      </c>
      <c r="L411" s="4">
        <v>420.65</v>
      </c>
      <c r="M411" t="str">
        <f>VLOOKUP(D411,tblProduct[],2,FALSE)</f>
        <v>Furniture</v>
      </c>
      <c r="N411" t="str">
        <f>VLOOKUP(D411,tblProduct[],3,FALSE)</f>
        <v>High</v>
      </c>
      <c r="O411">
        <f>VLOOKUP(D411,tblProduct[],4,FALSE)</f>
        <v>75000</v>
      </c>
      <c r="P411">
        <v>420.65</v>
      </c>
      <c r="Q411" s="19" t="str">
        <f t="shared" si="6"/>
        <v>Jun-2023</v>
      </c>
      <c r="R411" s="26">
        <f>DATE(YEAR(tblEnriched[[#This Row],[Date]]),MONTH(tblEnriched[[#This Row],[Date]]),1)</f>
        <v>45078</v>
      </c>
    </row>
    <row r="412" spans="1:18">
      <c r="A412" t="s">
        <v>1602</v>
      </c>
      <c r="B412" s="10">
        <v>45309</v>
      </c>
      <c r="C412" t="s">
        <v>1603</v>
      </c>
      <c r="D412" t="s">
        <v>38</v>
      </c>
      <c r="E412">
        <v>2</v>
      </c>
      <c r="F412" s="4">
        <v>518.23</v>
      </c>
      <c r="G412" t="s">
        <v>24</v>
      </c>
      <c r="H412" t="s">
        <v>25</v>
      </c>
      <c r="I412">
        <v>5</v>
      </c>
      <c r="K412" t="s">
        <v>44</v>
      </c>
      <c r="L412" s="4">
        <v>1036.46</v>
      </c>
      <c r="M412" t="str">
        <f>VLOOKUP(D412,tblProduct[],2,FALSE)</f>
        <v>Electronics</v>
      </c>
      <c r="N412" t="str">
        <f>VLOOKUP(D412,tblProduct[],3,FALSE)</f>
        <v>Medium</v>
      </c>
      <c r="O412">
        <f>VLOOKUP(D412,tblProduct[],4,FALSE)</f>
        <v>100000</v>
      </c>
      <c r="P412">
        <v>1036.46</v>
      </c>
      <c r="Q412" s="19" t="str">
        <f t="shared" si="6"/>
        <v>Jan-2024</v>
      </c>
      <c r="R412" s="26">
        <f>DATE(YEAR(tblEnriched[[#This Row],[Date]]),MONTH(tblEnriched[[#This Row],[Date]]),1)</f>
        <v>45292</v>
      </c>
    </row>
    <row r="413" spans="1:18">
      <c r="A413" t="s">
        <v>1606</v>
      </c>
      <c r="B413" s="10">
        <v>45462</v>
      </c>
      <c r="C413" t="s">
        <v>1607</v>
      </c>
      <c r="D413" t="s">
        <v>79</v>
      </c>
      <c r="E413">
        <v>2</v>
      </c>
      <c r="F413" s="4">
        <v>39.51</v>
      </c>
      <c r="G413" t="s">
        <v>33</v>
      </c>
      <c r="H413" t="s">
        <v>25</v>
      </c>
      <c r="I413">
        <v>5</v>
      </c>
      <c r="K413" t="s">
        <v>51</v>
      </c>
      <c r="L413" s="4">
        <v>79.02</v>
      </c>
      <c r="M413" t="str">
        <f>VLOOKUP(D413,tblProduct[],2,FALSE)</f>
        <v>Furniture</v>
      </c>
      <c r="N413" t="str">
        <f>VLOOKUP(D413,tblProduct[],3,FALSE)</f>
        <v>High</v>
      </c>
      <c r="O413">
        <f>VLOOKUP(D413,tblProduct[],4,FALSE)</f>
        <v>75000</v>
      </c>
      <c r="P413">
        <v>79.02</v>
      </c>
      <c r="Q413" s="19" t="str">
        <f t="shared" si="6"/>
        <v>Jun-2024</v>
      </c>
      <c r="R413" s="26">
        <f>DATE(YEAR(tblEnriched[[#This Row],[Date]]),MONTH(tblEnriched[[#This Row],[Date]]),1)</f>
        <v>45444</v>
      </c>
    </row>
    <row r="414" spans="1:18">
      <c r="A414" t="s">
        <v>1609</v>
      </c>
      <c r="B414" s="10">
        <v>45758</v>
      </c>
      <c r="C414" t="s">
        <v>1610</v>
      </c>
      <c r="D414" t="s">
        <v>38</v>
      </c>
      <c r="E414">
        <v>5</v>
      </c>
      <c r="F414" s="4">
        <v>133.01</v>
      </c>
      <c r="G414" t="s">
        <v>40</v>
      </c>
      <c r="H414" t="s">
        <v>49</v>
      </c>
      <c r="I414">
        <v>10</v>
      </c>
      <c r="K414" t="s">
        <v>51</v>
      </c>
      <c r="L414" s="4">
        <v>665.05</v>
      </c>
      <c r="M414" t="str">
        <f>VLOOKUP(D414,tblProduct[],2,FALSE)</f>
        <v>Electronics</v>
      </c>
      <c r="N414" t="str">
        <f>VLOOKUP(D414,tblProduct[],3,FALSE)</f>
        <v>Medium</v>
      </c>
      <c r="O414">
        <f>VLOOKUP(D414,tblProduct[],4,FALSE)</f>
        <v>100000</v>
      </c>
      <c r="P414">
        <v>665.05</v>
      </c>
      <c r="Q414" s="19" t="str">
        <f t="shared" si="6"/>
        <v>Apr-2025</v>
      </c>
      <c r="R414" s="26">
        <f>DATE(YEAR(tblEnriched[[#This Row],[Date]]),MONTH(tblEnriched[[#This Row],[Date]]),1)</f>
        <v>45748</v>
      </c>
    </row>
    <row r="415" spans="1:18">
      <c r="A415" t="s">
        <v>1613</v>
      </c>
      <c r="B415" s="10">
        <v>45207</v>
      </c>
      <c r="C415" t="s">
        <v>1614</v>
      </c>
      <c r="D415" t="s">
        <v>38</v>
      </c>
      <c r="E415">
        <v>1</v>
      </c>
      <c r="F415" s="4">
        <v>118.8</v>
      </c>
      <c r="G415" t="s">
        <v>33</v>
      </c>
      <c r="H415" t="s">
        <v>56</v>
      </c>
      <c r="I415">
        <v>6</v>
      </c>
      <c r="J415" t="s">
        <v>27</v>
      </c>
      <c r="K415" t="s">
        <v>44</v>
      </c>
      <c r="L415" s="4">
        <v>118.8</v>
      </c>
      <c r="M415" t="str">
        <f>VLOOKUP(D415,tblProduct[],2,FALSE)</f>
        <v>Electronics</v>
      </c>
      <c r="N415" t="str">
        <f>VLOOKUP(D415,tblProduct[],3,FALSE)</f>
        <v>Medium</v>
      </c>
      <c r="O415">
        <f>VLOOKUP(D415,tblProduct[],4,FALSE)</f>
        <v>100000</v>
      </c>
      <c r="P415">
        <v>118.8</v>
      </c>
      <c r="Q415" s="19" t="str">
        <f t="shared" si="6"/>
        <v>Oct-2023</v>
      </c>
      <c r="R415" s="26">
        <f>DATE(YEAR(tblEnriched[[#This Row],[Date]]),MONTH(tblEnriched[[#This Row],[Date]]),1)</f>
        <v>45200</v>
      </c>
    </row>
    <row r="416" spans="1:18">
      <c r="A416" t="s">
        <v>1617</v>
      </c>
      <c r="B416" s="10">
        <v>45781</v>
      </c>
      <c r="C416" t="s">
        <v>1618</v>
      </c>
      <c r="D416" t="s">
        <v>79</v>
      </c>
      <c r="E416">
        <v>2</v>
      </c>
      <c r="F416" s="4">
        <v>139.57</v>
      </c>
      <c r="G416" t="s">
        <v>71</v>
      </c>
      <c r="H416" t="s">
        <v>56</v>
      </c>
      <c r="I416">
        <v>4</v>
      </c>
      <c r="J416" t="s">
        <v>87</v>
      </c>
      <c r="K416" t="s">
        <v>51</v>
      </c>
      <c r="L416" s="4">
        <v>279.14</v>
      </c>
      <c r="M416" t="str">
        <f>VLOOKUP(D416,tblProduct[],2,FALSE)</f>
        <v>Furniture</v>
      </c>
      <c r="N416" t="str">
        <f>VLOOKUP(D416,tblProduct[],3,FALSE)</f>
        <v>High</v>
      </c>
      <c r="O416">
        <f>VLOOKUP(D416,tblProduct[],4,FALSE)</f>
        <v>75000</v>
      </c>
      <c r="P416">
        <v>279.14</v>
      </c>
      <c r="Q416" s="19" t="str">
        <f t="shared" si="6"/>
        <v>May-2025</v>
      </c>
      <c r="R416" s="26">
        <f>DATE(YEAR(tblEnriched[[#This Row],[Date]]),MONTH(tblEnriched[[#This Row],[Date]]),1)</f>
        <v>45778</v>
      </c>
    </row>
    <row r="417" spans="1:18">
      <c r="A417" t="s">
        <v>1621</v>
      </c>
      <c r="B417" s="10">
        <v>45753</v>
      </c>
      <c r="C417" t="s">
        <v>1622</v>
      </c>
      <c r="D417" t="s">
        <v>47</v>
      </c>
      <c r="E417">
        <v>1</v>
      </c>
      <c r="F417" s="4">
        <v>184.15</v>
      </c>
      <c r="G417" t="s">
        <v>66</v>
      </c>
      <c r="H417" t="s">
        <v>25</v>
      </c>
      <c r="I417">
        <v>5</v>
      </c>
      <c r="J417" t="s">
        <v>43</v>
      </c>
      <c r="K417" t="s">
        <v>51</v>
      </c>
      <c r="L417" s="4">
        <v>184.15</v>
      </c>
      <c r="M417" t="str">
        <f>VLOOKUP(D417,tblProduct[],2,FALSE)</f>
        <v>Furniture</v>
      </c>
      <c r="N417" t="str">
        <f>VLOOKUP(D417,tblProduct[],3,FALSE)</f>
        <v>Medium</v>
      </c>
      <c r="O417">
        <f>VLOOKUP(D417,tblProduct[],4,FALSE)</f>
        <v>70000</v>
      </c>
      <c r="P417">
        <v>184.15</v>
      </c>
      <c r="Q417" s="19" t="str">
        <f t="shared" si="6"/>
        <v>Apr-2025</v>
      </c>
      <c r="R417" s="26">
        <f>DATE(YEAR(tblEnriched[[#This Row],[Date]]),MONTH(tblEnriched[[#This Row],[Date]]),1)</f>
        <v>45748</v>
      </c>
    </row>
    <row r="418" spans="1:18">
      <c r="A418" t="s">
        <v>1624</v>
      </c>
      <c r="B418" s="10">
        <v>45125</v>
      </c>
      <c r="C418" t="s">
        <v>1625</v>
      </c>
      <c r="D418" t="s">
        <v>64</v>
      </c>
      <c r="E418">
        <v>2</v>
      </c>
      <c r="F418" s="4">
        <v>644.04999999999995</v>
      </c>
      <c r="G418" t="s">
        <v>66</v>
      </c>
      <c r="H418" t="s">
        <v>41</v>
      </c>
      <c r="I418">
        <v>5</v>
      </c>
      <c r="J418" t="s">
        <v>87</v>
      </c>
      <c r="K418" t="s">
        <v>35</v>
      </c>
      <c r="L418" s="4">
        <v>1288.0999999999999</v>
      </c>
      <c r="M418" t="str">
        <f>VLOOKUP(D418,tblProduct[],2,FALSE)</f>
        <v>Electronics</v>
      </c>
      <c r="N418" t="str">
        <f>VLOOKUP(D418,tblProduct[],3,FALSE)</f>
        <v>High</v>
      </c>
      <c r="O418">
        <f>VLOOKUP(D418,tblProduct[],4,FALSE)</f>
        <v>150000</v>
      </c>
      <c r="P418">
        <v>1288.0999999999999</v>
      </c>
      <c r="Q418" s="19" t="str">
        <f t="shared" si="6"/>
        <v>Jul-2023</v>
      </c>
      <c r="R418" s="26">
        <f>DATE(YEAR(tblEnriched[[#This Row],[Date]]),MONTH(tblEnriched[[#This Row],[Date]]),1)</f>
        <v>45108</v>
      </c>
    </row>
    <row r="419" spans="1:18">
      <c r="A419" t="s">
        <v>1628</v>
      </c>
      <c r="B419" s="10">
        <v>45223</v>
      </c>
      <c r="C419" t="s">
        <v>1629</v>
      </c>
      <c r="D419" t="s">
        <v>64</v>
      </c>
      <c r="E419">
        <v>5</v>
      </c>
      <c r="F419" s="4">
        <v>55.41</v>
      </c>
      <c r="G419" t="s">
        <v>33</v>
      </c>
      <c r="H419" t="s">
        <v>41</v>
      </c>
      <c r="I419">
        <v>5</v>
      </c>
      <c r="K419" t="s">
        <v>82</v>
      </c>
      <c r="L419" s="4">
        <v>277.05</v>
      </c>
      <c r="M419" t="str">
        <f>VLOOKUP(D419,tblProduct[],2,FALSE)</f>
        <v>Electronics</v>
      </c>
      <c r="N419" t="str">
        <f>VLOOKUP(D419,tblProduct[],3,FALSE)</f>
        <v>High</v>
      </c>
      <c r="O419">
        <f>VLOOKUP(D419,tblProduct[],4,FALSE)</f>
        <v>150000</v>
      </c>
      <c r="P419">
        <v>277.05</v>
      </c>
      <c r="Q419" s="19" t="str">
        <f t="shared" si="6"/>
        <v>Oct-2023</v>
      </c>
      <c r="R419" s="26">
        <f>DATE(YEAR(tblEnriched[[#This Row],[Date]]),MONTH(tblEnriched[[#This Row],[Date]]),1)</f>
        <v>45200</v>
      </c>
    </row>
    <row r="420" spans="1:18">
      <c r="A420" t="s">
        <v>1632</v>
      </c>
      <c r="B420" s="10">
        <v>44937</v>
      </c>
      <c r="C420" t="s">
        <v>1633</v>
      </c>
      <c r="D420" t="s">
        <v>54</v>
      </c>
      <c r="E420">
        <v>1</v>
      </c>
      <c r="F420" s="4">
        <v>310.93</v>
      </c>
      <c r="G420" t="s">
        <v>33</v>
      </c>
      <c r="H420" t="s">
        <v>41</v>
      </c>
      <c r="I420">
        <v>3</v>
      </c>
      <c r="K420" t="s">
        <v>51</v>
      </c>
      <c r="L420" s="4">
        <v>310.93</v>
      </c>
      <c r="M420" t="str">
        <f>VLOOKUP(D420,tblProduct[],2,FALSE)</f>
        <v>Electronics</v>
      </c>
      <c r="N420" t="str">
        <f>VLOOKUP(D420,tblProduct[],3,FALSE)</f>
        <v>Medium</v>
      </c>
      <c r="O420">
        <f>VLOOKUP(D420,tblProduct[],4,FALSE)</f>
        <v>80000</v>
      </c>
      <c r="P420">
        <v>310.93</v>
      </c>
      <c r="Q420" s="19" t="str">
        <f t="shared" si="6"/>
        <v>Jan-2023</v>
      </c>
      <c r="R420" s="26">
        <f>DATE(YEAR(tblEnriched[[#This Row],[Date]]),MONTH(tblEnriched[[#This Row],[Date]]),1)</f>
        <v>44927</v>
      </c>
    </row>
    <row r="421" spans="1:18">
      <c r="A421" t="s">
        <v>1636</v>
      </c>
      <c r="B421" s="10">
        <v>45399</v>
      </c>
      <c r="C421" t="s">
        <v>1637</v>
      </c>
      <c r="D421" t="s">
        <v>38</v>
      </c>
      <c r="E421">
        <v>2</v>
      </c>
      <c r="F421" s="4">
        <v>216.66</v>
      </c>
      <c r="G421" t="s">
        <v>24</v>
      </c>
      <c r="H421" t="s">
        <v>95</v>
      </c>
      <c r="I421">
        <v>6</v>
      </c>
      <c r="J421" t="s">
        <v>43</v>
      </c>
      <c r="K421" t="s">
        <v>28</v>
      </c>
      <c r="L421" s="4">
        <v>433.32</v>
      </c>
      <c r="M421" t="str">
        <f>VLOOKUP(D421,tblProduct[],2,FALSE)</f>
        <v>Electronics</v>
      </c>
      <c r="N421" t="str">
        <f>VLOOKUP(D421,tblProduct[],3,FALSE)</f>
        <v>Medium</v>
      </c>
      <c r="O421">
        <f>VLOOKUP(D421,tblProduct[],4,FALSE)</f>
        <v>100000</v>
      </c>
      <c r="P421">
        <v>433.32</v>
      </c>
      <c r="Q421" s="19" t="str">
        <f t="shared" si="6"/>
        <v>Apr-2024</v>
      </c>
      <c r="R421" s="26">
        <f>DATE(YEAR(tblEnriched[[#This Row],[Date]]),MONTH(tblEnriched[[#This Row],[Date]]),1)</f>
        <v>45383</v>
      </c>
    </row>
    <row r="422" spans="1:18">
      <c r="A422" t="s">
        <v>1639</v>
      </c>
      <c r="B422" s="10">
        <v>45625</v>
      </c>
      <c r="C422" t="s">
        <v>1640</v>
      </c>
      <c r="D422" t="s">
        <v>31</v>
      </c>
      <c r="E422">
        <v>1</v>
      </c>
      <c r="F422" s="4">
        <v>452.7</v>
      </c>
      <c r="G422" t="s">
        <v>24</v>
      </c>
      <c r="H422" t="s">
        <v>25</v>
      </c>
      <c r="I422">
        <v>5</v>
      </c>
      <c r="J422" t="s">
        <v>43</v>
      </c>
      <c r="K422" t="s">
        <v>28</v>
      </c>
      <c r="L422" s="4">
        <v>452.7</v>
      </c>
      <c r="M422" t="str">
        <f>VLOOKUP(D422,tblProduct[],2,FALSE)</f>
        <v>Electronics</v>
      </c>
      <c r="N422" t="str">
        <f>VLOOKUP(D422,tblProduct[],3,FALSE)</f>
        <v>High</v>
      </c>
      <c r="O422">
        <f>VLOOKUP(D422,tblProduct[],4,FALSE)</f>
        <v>120000</v>
      </c>
      <c r="P422">
        <v>452.7</v>
      </c>
      <c r="Q422" s="19" t="str">
        <f t="shared" si="6"/>
        <v>Nov-2024</v>
      </c>
      <c r="R422" s="26">
        <f>DATE(YEAR(tblEnriched[[#This Row],[Date]]),MONTH(tblEnriched[[#This Row],[Date]]),1)</f>
        <v>45597</v>
      </c>
    </row>
    <row r="423" spans="1:18">
      <c r="A423" t="s">
        <v>1643</v>
      </c>
      <c r="B423" s="10">
        <v>45214</v>
      </c>
      <c r="C423" t="s">
        <v>1644</v>
      </c>
      <c r="D423" t="s">
        <v>47</v>
      </c>
      <c r="E423">
        <v>2</v>
      </c>
      <c r="F423" s="4">
        <v>288.20999999999998</v>
      </c>
      <c r="G423" t="s">
        <v>24</v>
      </c>
      <c r="H423" t="s">
        <v>41</v>
      </c>
      <c r="I423">
        <v>5</v>
      </c>
      <c r="K423" t="s">
        <v>44</v>
      </c>
      <c r="L423" s="4">
        <v>576.41999999999996</v>
      </c>
      <c r="M423" t="str">
        <f>VLOOKUP(D423,tblProduct[],2,FALSE)</f>
        <v>Furniture</v>
      </c>
      <c r="N423" t="str">
        <f>VLOOKUP(D423,tblProduct[],3,FALSE)</f>
        <v>Medium</v>
      </c>
      <c r="O423">
        <f>VLOOKUP(D423,tblProduct[],4,FALSE)</f>
        <v>70000</v>
      </c>
      <c r="P423">
        <v>576.41999999999996</v>
      </c>
      <c r="Q423" s="19" t="str">
        <f t="shared" si="6"/>
        <v>Oct-2023</v>
      </c>
      <c r="R423" s="26">
        <f>DATE(YEAR(tblEnriched[[#This Row],[Date]]),MONTH(tblEnriched[[#This Row],[Date]]),1)</f>
        <v>45200</v>
      </c>
    </row>
    <row r="424" spans="1:18">
      <c r="A424" t="s">
        <v>1647</v>
      </c>
      <c r="B424" s="10">
        <v>45082</v>
      </c>
      <c r="C424" t="s">
        <v>1648</v>
      </c>
      <c r="D424" t="s">
        <v>31</v>
      </c>
      <c r="E424">
        <v>4</v>
      </c>
      <c r="F424" s="4">
        <v>206.6</v>
      </c>
      <c r="G424" t="s">
        <v>66</v>
      </c>
      <c r="H424" t="s">
        <v>49</v>
      </c>
      <c r="I424">
        <v>6</v>
      </c>
      <c r="J424" t="s">
        <v>87</v>
      </c>
      <c r="K424" t="s">
        <v>35</v>
      </c>
      <c r="L424" s="4">
        <v>826.4</v>
      </c>
      <c r="M424" t="str">
        <f>VLOOKUP(D424,tblProduct[],2,FALSE)</f>
        <v>Electronics</v>
      </c>
      <c r="N424" t="str">
        <f>VLOOKUP(D424,tblProduct[],3,FALSE)</f>
        <v>High</v>
      </c>
      <c r="O424">
        <f>VLOOKUP(D424,tblProduct[],4,FALSE)</f>
        <v>120000</v>
      </c>
      <c r="P424">
        <v>826.4</v>
      </c>
      <c r="Q424" s="19" t="str">
        <f t="shared" si="6"/>
        <v>Jun-2023</v>
      </c>
      <c r="R424" s="26">
        <f>DATE(YEAR(tblEnriched[[#This Row],[Date]]),MONTH(tblEnriched[[#This Row],[Date]]),1)</f>
        <v>45078</v>
      </c>
    </row>
    <row r="425" spans="1:18">
      <c r="A425" t="s">
        <v>1650</v>
      </c>
      <c r="B425" s="10">
        <v>45493</v>
      </c>
      <c r="C425" t="s">
        <v>1651</v>
      </c>
      <c r="D425" t="s">
        <v>54</v>
      </c>
      <c r="E425">
        <v>4</v>
      </c>
      <c r="F425" s="4">
        <v>685.2</v>
      </c>
      <c r="G425" t="s">
        <v>66</v>
      </c>
      <c r="H425" t="s">
        <v>41</v>
      </c>
      <c r="I425">
        <v>6</v>
      </c>
      <c r="J425" t="s">
        <v>87</v>
      </c>
      <c r="K425" t="s">
        <v>82</v>
      </c>
      <c r="L425" s="4">
        <v>2740.8</v>
      </c>
      <c r="M425" t="str">
        <f>VLOOKUP(D425,tblProduct[],2,FALSE)</f>
        <v>Electronics</v>
      </c>
      <c r="N425" t="str">
        <f>VLOOKUP(D425,tblProduct[],3,FALSE)</f>
        <v>Medium</v>
      </c>
      <c r="O425">
        <f>VLOOKUP(D425,tblProduct[],4,FALSE)</f>
        <v>80000</v>
      </c>
      <c r="P425">
        <v>2740.8</v>
      </c>
      <c r="Q425" s="19" t="str">
        <f t="shared" si="6"/>
        <v>Jul-2024</v>
      </c>
      <c r="R425" s="26">
        <f>DATE(YEAR(tblEnriched[[#This Row],[Date]]),MONTH(tblEnriched[[#This Row],[Date]]),1)</f>
        <v>45474</v>
      </c>
    </row>
    <row r="426" spans="1:18">
      <c r="A426" t="s">
        <v>1653</v>
      </c>
      <c r="B426" s="10">
        <v>45028</v>
      </c>
      <c r="C426" t="s">
        <v>1654</v>
      </c>
      <c r="D426" t="s">
        <v>47</v>
      </c>
      <c r="E426">
        <v>5</v>
      </c>
      <c r="F426" s="4">
        <v>22.94</v>
      </c>
      <c r="G426" t="s">
        <v>71</v>
      </c>
      <c r="H426" t="s">
        <v>95</v>
      </c>
      <c r="I426">
        <v>10</v>
      </c>
      <c r="K426" t="s">
        <v>44</v>
      </c>
      <c r="L426" s="4">
        <v>114.7</v>
      </c>
      <c r="M426" t="str">
        <f>VLOOKUP(D426,tblProduct[],2,FALSE)</f>
        <v>Furniture</v>
      </c>
      <c r="N426" t="str">
        <f>VLOOKUP(D426,tblProduct[],3,FALSE)</f>
        <v>Medium</v>
      </c>
      <c r="O426">
        <f>VLOOKUP(D426,tblProduct[],4,FALSE)</f>
        <v>70000</v>
      </c>
      <c r="P426">
        <v>114.7</v>
      </c>
      <c r="Q426" s="19" t="str">
        <f t="shared" si="6"/>
        <v>Apr-2023</v>
      </c>
      <c r="R426" s="26">
        <f>DATE(YEAR(tblEnriched[[#This Row],[Date]]),MONTH(tblEnriched[[#This Row],[Date]]),1)</f>
        <v>45017</v>
      </c>
    </row>
    <row r="427" spans="1:18">
      <c r="A427" t="s">
        <v>1656</v>
      </c>
      <c r="B427" s="10">
        <v>44994</v>
      </c>
      <c r="C427" t="s">
        <v>1657</v>
      </c>
      <c r="D427" t="s">
        <v>64</v>
      </c>
      <c r="E427">
        <v>2</v>
      </c>
      <c r="F427" s="4">
        <v>301.88</v>
      </c>
      <c r="G427" t="s">
        <v>66</v>
      </c>
      <c r="H427" t="s">
        <v>49</v>
      </c>
      <c r="I427">
        <v>5</v>
      </c>
      <c r="J427" t="s">
        <v>87</v>
      </c>
      <c r="K427" t="s">
        <v>44</v>
      </c>
      <c r="L427" s="4">
        <v>603.76</v>
      </c>
      <c r="M427" t="str">
        <f>VLOOKUP(D427,tblProduct[],2,FALSE)</f>
        <v>Electronics</v>
      </c>
      <c r="N427" t="str">
        <f>VLOOKUP(D427,tblProduct[],3,FALSE)</f>
        <v>High</v>
      </c>
      <c r="O427">
        <f>VLOOKUP(D427,tblProduct[],4,FALSE)</f>
        <v>150000</v>
      </c>
      <c r="P427">
        <v>603.76</v>
      </c>
      <c r="Q427" s="19" t="str">
        <f t="shared" si="6"/>
        <v>Mar-2023</v>
      </c>
      <c r="R427" s="26">
        <f>DATE(YEAR(tblEnriched[[#This Row],[Date]]),MONTH(tblEnriched[[#This Row],[Date]]),1)</f>
        <v>44986</v>
      </c>
    </row>
    <row r="428" spans="1:18">
      <c r="A428" t="s">
        <v>1660</v>
      </c>
      <c r="B428" s="10">
        <v>45732</v>
      </c>
      <c r="C428" t="s">
        <v>1661</v>
      </c>
      <c r="D428" t="s">
        <v>22</v>
      </c>
      <c r="E428">
        <v>5</v>
      </c>
      <c r="F428" s="4">
        <v>57.45</v>
      </c>
      <c r="G428" t="s">
        <v>71</v>
      </c>
      <c r="H428" t="s">
        <v>41</v>
      </c>
      <c r="I428">
        <v>10</v>
      </c>
      <c r="K428" t="s">
        <v>51</v>
      </c>
      <c r="L428" s="4">
        <v>287.25</v>
      </c>
      <c r="M428" t="str">
        <f>VLOOKUP(D428,tblProduct[],2,FALSE)</f>
        <v>Electronics</v>
      </c>
      <c r="N428" t="str">
        <f>VLOOKUP(D428,tblProduct[],3,FALSE)</f>
        <v>Medium</v>
      </c>
      <c r="O428">
        <f>VLOOKUP(D428,tblProduct[],4,FALSE)</f>
        <v>90000</v>
      </c>
      <c r="P428">
        <v>287.25</v>
      </c>
      <c r="Q428" s="19" t="str">
        <f t="shared" si="6"/>
        <v>Mar-2025</v>
      </c>
      <c r="R428" s="26">
        <f>DATE(YEAR(tblEnriched[[#This Row],[Date]]),MONTH(tblEnriched[[#This Row],[Date]]),1)</f>
        <v>45717</v>
      </c>
    </row>
    <row r="429" spans="1:18">
      <c r="A429" t="s">
        <v>1664</v>
      </c>
      <c r="B429" s="10">
        <v>45644</v>
      </c>
      <c r="C429" t="s">
        <v>1665</v>
      </c>
      <c r="D429" t="s">
        <v>79</v>
      </c>
      <c r="E429">
        <v>1</v>
      </c>
      <c r="F429" s="4">
        <v>161.24</v>
      </c>
      <c r="G429" t="s">
        <v>40</v>
      </c>
      <c r="H429" t="s">
        <v>95</v>
      </c>
      <c r="I429">
        <v>3</v>
      </c>
      <c r="J429" t="s">
        <v>87</v>
      </c>
      <c r="K429" t="s">
        <v>28</v>
      </c>
      <c r="L429" s="4">
        <v>161.24</v>
      </c>
      <c r="M429" t="str">
        <f>VLOOKUP(D429,tblProduct[],2,FALSE)</f>
        <v>Furniture</v>
      </c>
      <c r="N429" t="str">
        <f>VLOOKUP(D429,tblProduct[],3,FALSE)</f>
        <v>High</v>
      </c>
      <c r="O429">
        <f>VLOOKUP(D429,tblProduct[],4,FALSE)</f>
        <v>75000</v>
      </c>
      <c r="P429">
        <v>161.24</v>
      </c>
      <c r="Q429" s="19" t="str">
        <f t="shared" si="6"/>
        <v>Dec-2024</v>
      </c>
      <c r="R429" s="26">
        <f>DATE(YEAR(tblEnriched[[#This Row],[Date]]),MONTH(tblEnriched[[#This Row],[Date]]),1)</f>
        <v>45627</v>
      </c>
    </row>
    <row r="430" spans="1:18">
      <c r="A430" t="s">
        <v>1668</v>
      </c>
      <c r="B430" s="10">
        <v>45622</v>
      </c>
      <c r="C430" t="s">
        <v>1669</v>
      </c>
      <c r="D430" t="s">
        <v>47</v>
      </c>
      <c r="E430">
        <v>4</v>
      </c>
      <c r="F430" s="4">
        <v>262.58</v>
      </c>
      <c r="G430" t="s">
        <v>33</v>
      </c>
      <c r="H430" t="s">
        <v>41</v>
      </c>
      <c r="I430">
        <v>8</v>
      </c>
      <c r="J430" t="s">
        <v>87</v>
      </c>
      <c r="K430" t="s">
        <v>44</v>
      </c>
      <c r="L430" s="4">
        <v>1050.32</v>
      </c>
      <c r="M430" t="str">
        <f>VLOOKUP(D430,tblProduct[],2,FALSE)</f>
        <v>Furniture</v>
      </c>
      <c r="N430" t="str">
        <f>VLOOKUP(D430,tblProduct[],3,FALSE)</f>
        <v>Medium</v>
      </c>
      <c r="O430">
        <f>VLOOKUP(D430,tblProduct[],4,FALSE)</f>
        <v>70000</v>
      </c>
      <c r="P430">
        <v>1050.32</v>
      </c>
      <c r="Q430" s="19" t="str">
        <f t="shared" si="6"/>
        <v>Nov-2024</v>
      </c>
      <c r="R430" s="26">
        <f>DATE(YEAR(tblEnriched[[#This Row],[Date]]),MONTH(tblEnriched[[#This Row],[Date]]),1)</f>
        <v>45597</v>
      </c>
    </row>
    <row r="431" spans="1:18">
      <c r="A431" t="s">
        <v>1671</v>
      </c>
      <c r="B431" s="10">
        <v>45645</v>
      </c>
      <c r="C431" t="s">
        <v>1672</v>
      </c>
      <c r="D431" t="s">
        <v>54</v>
      </c>
      <c r="E431">
        <v>4</v>
      </c>
      <c r="F431" s="4">
        <v>515.19000000000005</v>
      </c>
      <c r="G431" t="s">
        <v>40</v>
      </c>
      <c r="H431" t="s">
        <v>95</v>
      </c>
      <c r="I431">
        <v>9</v>
      </c>
      <c r="J431" t="s">
        <v>27</v>
      </c>
      <c r="K431" t="s">
        <v>51</v>
      </c>
      <c r="L431" s="4">
        <v>2060.7600000000002</v>
      </c>
      <c r="M431" t="str">
        <f>VLOOKUP(D431,tblProduct[],2,FALSE)</f>
        <v>Electronics</v>
      </c>
      <c r="N431" t="str">
        <f>VLOOKUP(D431,tblProduct[],3,FALSE)</f>
        <v>Medium</v>
      </c>
      <c r="O431">
        <f>VLOOKUP(D431,tblProduct[],4,FALSE)</f>
        <v>80000</v>
      </c>
      <c r="P431">
        <v>2060.7600000000002</v>
      </c>
      <c r="Q431" s="19" t="str">
        <f t="shared" si="6"/>
        <v>Dec-2024</v>
      </c>
      <c r="R431" s="26">
        <f>DATE(YEAR(tblEnriched[[#This Row],[Date]]),MONTH(tblEnriched[[#This Row],[Date]]),1)</f>
        <v>45627</v>
      </c>
    </row>
    <row r="432" spans="1:18">
      <c r="A432" t="s">
        <v>1674</v>
      </c>
      <c r="B432" s="10">
        <v>45084</v>
      </c>
      <c r="C432" t="s">
        <v>1675</v>
      </c>
      <c r="D432" t="s">
        <v>31</v>
      </c>
      <c r="E432">
        <v>1</v>
      </c>
      <c r="F432" s="4">
        <v>450.07</v>
      </c>
      <c r="G432" t="s">
        <v>66</v>
      </c>
      <c r="H432" t="s">
        <v>25</v>
      </c>
      <c r="I432">
        <v>6</v>
      </c>
      <c r="J432" t="s">
        <v>43</v>
      </c>
      <c r="K432" t="s">
        <v>82</v>
      </c>
      <c r="L432" s="4">
        <v>450.07</v>
      </c>
      <c r="M432" t="str">
        <f>VLOOKUP(D432,tblProduct[],2,FALSE)</f>
        <v>Electronics</v>
      </c>
      <c r="N432" t="str">
        <f>VLOOKUP(D432,tblProduct[],3,FALSE)</f>
        <v>High</v>
      </c>
      <c r="O432">
        <f>VLOOKUP(D432,tblProduct[],4,FALSE)</f>
        <v>120000</v>
      </c>
      <c r="P432">
        <v>450.07</v>
      </c>
      <c r="Q432" s="19" t="str">
        <f t="shared" si="6"/>
        <v>Jun-2023</v>
      </c>
      <c r="R432" s="26">
        <f>DATE(YEAR(tblEnriched[[#This Row],[Date]]),MONTH(tblEnriched[[#This Row],[Date]]),1)</f>
        <v>45078</v>
      </c>
    </row>
    <row r="433" spans="1:18">
      <c r="A433" t="s">
        <v>1678</v>
      </c>
      <c r="B433" s="10">
        <v>45571</v>
      </c>
      <c r="C433" t="s">
        <v>1679</v>
      </c>
      <c r="D433" t="s">
        <v>54</v>
      </c>
      <c r="E433">
        <v>1</v>
      </c>
      <c r="F433" s="4">
        <v>52.54</v>
      </c>
      <c r="G433" t="s">
        <v>24</v>
      </c>
      <c r="H433" t="s">
        <v>41</v>
      </c>
      <c r="I433">
        <v>6</v>
      </c>
      <c r="J433" t="s">
        <v>87</v>
      </c>
      <c r="K433" t="s">
        <v>51</v>
      </c>
      <c r="L433" s="4">
        <v>52.54</v>
      </c>
      <c r="M433" t="str">
        <f>VLOOKUP(D433,tblProduct[],2,FALSE)</f>
        <v>Electronics</v>
      </c>
      <c r="N433" t="str">
        <f>VLOOKUP(D433,tblProduct[],3,FALSE)</f>
        <v>Medium</v>
      </c>
      <c r="O433">
        <f>VLOOKUP(D433,tblProduct[],4,FALSE)</f>
        <v>80000</v>
      </c>
      <c r="P433">
        <v>52.54</v>
      </c>
      <c r="Q433" s="19" t="str">
        <f t="shared" si="6"/>
        <v>Oct-2024</v>
      </c>
      <c r="R433" s="26">
        <f>DATE(YEAR(tblEnriched[[#This Row],[Date]]),MONTH(tblEnriched[[#This Row],[Date]]),1)</f>
        <v>45566</v>
      </c>
    </row>
    <row r="434" spans="1:18">
      <c r="A434" t="s">
        <v>1681</v>
      </c>
      <c r="B434" s="10">
        <v>45173</v>
      </c>
      <c r="C434" t="s">
        <v>1682</v>
      </c>
      <c r="D434" t="s">
        <v>38</v>
      </c>
      <c r="E434">
        <v>2</v>
      </c>
      <c r="F434" s="4">
        <v>424.32</v>
      </c>
      <c r="G434" t="s">
        <v>40</v>
      </c>
      <c r="H434" t="s">
        <v>49</v>
      </c>
      <c r="I434">
        <v>6</v>
      </c>
      <c r="K434" t="s">
        <v>35</v>
      </c>
      <c r="L434" s="4">
        <v>848.64</v>
      </c>
      <c r="M434" t="str">
        <f>VLOOKUP(D434,tblProduct[],2,FALSE)</f>
        <v>Electronics</v>
      </c>
      <c r="N434" t="str">
        <f>VLOOKUP(D434,tblProduct[],3,FALSE)</f>
        <v>Medium</v>
      </c>
      <c r="O434">
        <f>VLOOKUP(D434,tblProduct[],4,FALSE)</f>
        <v>100000</v>
      </c>
      <c r="P434">
        <v>848.64</v>
      </c>
      <c r="Q434" s="19" t="str">
        <f t="shared" si="6"/>
        <v>Sep-2023</v>
      </c>
      <c r="R434" s="26">
        <f>DATE(YEAR(tblEnriched[[#This Row],[Date]]),MONTH(tblEnriched[[#This Row],[Date]]),1)</f>
        <v>45170</v>
      </c>
    </row>
    <row r="435" spans="1:18">
      <c r="A435" t="s">
        <v>1685</v>
      </c>
      <c r="B435" s="10">
        <v>45164</v>
      </c>
      <c r="C435" t="s">
        <v>1686</v>
      </c>
      <c r="D435" t="s">
        <v>22</v>
      </c>
      <c r="E435">
        <v>3</v>
      </c>
      <c r="F435" s="4">
        <v>631.64</v>
      </c>
      <c r="G435" t="s">
        <v>40</v>
      </c>
      <c r="H435" t="s">
        <v>49</v>
      </c>
      <c r="I435">
        <v>3</v>
      </c>
      <c r="J435" t="s">
        <v>43</v>
      </c>
      <c r="K435" t="s">
        <v>51</v>
      </c>
      <c r="L435" s="4">
        <v>1894.92</v>
      </c>
      <c r="M435" t="str">
        <f>VLOOKUP(D435,tblProduct[],2,FALSE)</f>
        <v>Electronics</v>
      </c>
      <c r="N435" t="str">
        <f>VLOOKUP(D435,tblProduct[],3,FALSE)</f>
        <v>Medium</v>
      </c>
      <c r="O435">
        <f>VLOOKUP(D435,tblProduct[],4,FALSE)</f>
        <v>90000</v>
      </c>
      <c r="P435">
        <v>1894.92</v>
      </c>
      <c r="Q435" s="19" t="str">
        <f t="shared" si="6"/>
        <v>Aug-2023</v>
      </c>
      <c r="R435" s="26">
        <f>DATE(YEAR(tblEnriched[[#This Row],[Date]]),MONTH(tblEnriched[[#This Row],[Date]]),1)</f>
        <v>45139</v>
      </c>
    </row>
    <row r="436" spans="1:18">
      <c r="A436" t="s">
        <v>1688</v>
      </c>
      <c r="B436" s="10">
        <v>45221</v>
      </c>
      <c r="C436" t="s">
        <v>1689</v>
      </c>
      <c r="D436" t="s">
        <v>54</v>
      </c>
      <c r="E436">
        <v>5</v>
      </c>
      <c r="F436" s="4">
        <v>327.68</v>
      </c>
      <c r="G436" t="s">
        <v>40</v>
      </c>
      <c r="H436" t="s">
        <v>49</v>
      </c>
      <c r="I436">
        <v>6</v>
      </c>
      <c r="K436" t="s">
        <v>51</v>
      </c>
      <c r="L436" s="4">
        <v>1638.4</v>
      </c>
      <c r="M436" t="str">
        <f>VLOOKUP(D436,tblProduct[],2,FALSE)</f>
        <v>Electronics</v>
      </c>
      <c r="N436" t="str">
        <f>VLOOKUP(D436,tblProduct[],3,FALSE)</f>
        <v>Medium</v>
      </c>
      <c r="O436">
        <f>VLOOKUP(D436,tblProduct[],4,FALSE)</f>
        <v>80000</v>
      </c>
      <c r="P436">
        <v>1638.4</v>
      </c>
      <c r="Q436" s="19" t="str">
        <f t="shared" si="6"/>
        <v>Oct-2023</v>
      </c>
      <c r="R436" s="26">
        <f>DATE(YEAR(tblEnriched[[#This Row],[Date]]),MONTH(tblEnriched[[#This Row],[Date]]),1)</f>
        <v>45200</v>
      </c>
    </row>
    <row r="437" spans="1:18">
      <c r="A437" t="s">
        <v>1691</v>
      </c>
      <c r="B437" s="10">
        <v>45073</v>
      </c>
      <c r="C437" t="s">
        <v>1692</v>
      </c>
      <c r="D437" t="s">
        <v>54</v>
      </c>
      <c r="E437">
        <v>1</v>
      </c>
      <c r="F437" s="4">
        <v>414.47</v>
      </c>
      <c r="G437" t="s">
        <v>24</v>
      </c>
      <c r="H437" t="s">
        <v>49</v>
      </c>
      <c r="I437">
        <v>3</v>
      </c>
      <c r="J437" t="s">
        <v>43</v>
      </c>
      <c r="K437" t="s">
        <v>28</v>
      </c>
      <c r="L437" s="4">
        <v>414.47</v>
      </c>
      <c r="M437" t="str">
        <f>VLOOKUP(D437,tblProduct[],2,FALSE)</f>
        <v>Electronics</v>
      </c>
      <c r="N437" t="str">
        <f>VLOOKUP(D437,tblProduct[],3,FALSE)</f>
        <v>Medium</v>
      </c>
      <c r="O437">
        <f>VLOOKUP(D437,tblProduct[],4,FALSE)</f>
        <v>80000</v>
      </c>
      <c r="P437">
        <v>414.47</v>
      </c>
      <c r="Q437" s="19" t="str">
        <f t="shared" si="6"/>
        <v>May-2023</v>
      </c>
      <c r="R437" s="26">
        <f>DATE(YEAR(tblEnriched[[#This Row],[Date]]),MONTH(tblEnriched[[#This Row],[Date]]),1)</f>
        <v>45047</v>
      </c>
    </row>
    <row r="438" spans="1:18">
      <c r="A438" t="s">
        <v>1694</v>
      </c>
      <c r="B438" s="10">
        <v>44968</v>
      </c>
      <c r="C438" t="s">
        <v>1695</v>
      </c>
      <c r="D438" t="s">
        <v>64</v>
      </c>
      <c r="E438">
        <v>4</v>
      </c>
      <c r="F438" s="4">
        <v>221.33</v>
      </c>
      <c r="G438" t="s">
        <v>33</v>
      </c>
      <c r="H438" t="s">
        <v>95</v>
      </c>
      <c r="I438">
        <v>5</v>
      </c>
      <c r="K438" t="s">
        <v>82</v>
      </c>
      <c r="L438" s="4">
        <v>885.32</v>
      </c>
      <c r="M438" t="str">
        <f>VLOOKUP(D438,tblProduct[],2,FALSE)</f>
        <v>Electronics</v>
      </c>
      <c r="N438" t="str">
        <f>VLOOKUP(D438,tblProduct[],3,FALSE)</f>
        <v>High</v>
      </c>
      <c r="O438">
        <f>VLOOKUP(D438,tblProduct[],4,FALSE)</f>
        <v>150000</v>
      </c>
      <c r="P438">
        <v>885.32</v>
      </c>
      <c r="Q438" s="19" t="str">
        <f t="shared" si="6"/>
        <v>Feb-2023</v>
      </c>
      <c r="R438" s="26">
        <f>DATE(YEAR(tblEnriched[[#This Row],[Date]]),MONTH(tblEnriched[[#This Row],[Date]]),1)</f>
        <v>44958</v>
      </c>
    </row>
    <row r="439" spans="1:18">
      <c r="A439" t="s">
        <v>1697</v>
      </c>
      <c r="B439" s="10">
        <v>45400</v>
      </c>
      <c r="C439" t="s">
        <v>1698</v>
      </c>
      <c r="D439" t="s">
        <v>31</v>
      </c>
      <c r="E439">
        <v>1</v>
      </c>
      <c r="F439" s="4">
        <v>512.39</v>
      </c>
      <c r="G439" t="s">
        <v>33</v>
      </c>
      <c r="H439" t="s">
        <v>56</v>
      </c>
      <c r="I439">
        <v>2</v>
      </c>
      <c r="J439" t="s">
        <v>43</v>
      </c>
      <c r="K439" t="s">
        <v>28</v>
      </c>
      <c r="L439" s="4">
        <v>512.39</v>
      </c>
      <c r="M439" t="str">
        <f>VLOOKUP(D439,tblProduct[],2,FALSE)</f>
        <v>Electronics</v>
      </c>
      <c r="N439" t="str">
        <f>VLOOKUP(D439,tblProduct[],3,FALSE)</f>
        <v>High</v>
      </c>
      <c r="O439">
        <f>VLOOKUP(D439,tblProduct[],4,FALSE)</f>
        <v>120000</v>
      </c>
      <c r="P439">
        <v>512.39</v>
      </c>
      <c r="Q439" s="19" t="str">
        <f t="shared" si="6"/>
        <v>Apr-2024</v>
      </c>
      <c r="R439" s="26">
        <f>DATE(YEAR(tblEnriched[[#This Row],[Date]]),MONTH(tblEnriched[[#This Row],[Date]]),1)</f>
        <v>45383</v>
      </c>
    </row>
    <row r="440" spans="1:18">
      <c r="A440" t="s">
        <v>1701</v>
      </c>
      <c r="B440" s="10">
        <v>45660</v>
      </c>
      <c r="C440" t="s">
        <v>1702</v>
      </c>
      <c r="D440" t="s">
        <v>38</v>
      </c>
      <c r="E440">
        <v>3</v>
      </c>
      <c r="F440" s="4">
        <v>459.34</v>
      </c>
      <c r="G440" t="s">
        <v>66</v>
      </c>
      <c r="H440" t="s">
        <v>95</v>
      </c>
      <c r="I440">
        <v>3</v>
      </c>
      <c r="J440" t="s">
        <v>27</v>
      </c>
      <c r="K440" t="s">
        <v>28</v>
      </c>
      <c r="L440" s="4">
        <v>1378.02</v>
      </c>
      <c r="M440" t="str">
        <f>VLOOKUP(D440,tblProduct[],2,FALSE)</f>
        <v>Electronics</v>
      </c>
      <c r="N440" t="str">
        <f>VLOOKUP(D440,tblProduct[],3,FALSE)</f>
        <v>Medium</v>
      </c>
      <c r="O440">
        <f>VLOOKUP(D440,tblProduct[],4,FALSE)</f>
        <v>100000</v>
      </c>
      <c r="P440">
        <v>1378.02</v>
      </c>
      <c r="Q440" s="19" t="str">
        <f t="shared" si="6"/>
        <v>Jan-2025</v>
      </c>
      <c r="R440" s="26">
        <f>DATE(YEAR(tblEnriched[[#This Row],[Date]]),MONTH(tblEnriched[[#This Row],[Date]]),1)</f>
        <v>45658</v>
      </c>
    </row>
    <row r="441" spans="1:18">
      <c r="A441" t="s">
        <v>1705</v>
      </c>
      <c r="B441" s="10">
        <v>45543</v>
      </c>
      <c r="C441" t="s">
        <v>1706</v>
      </c>
      <c r="D441" t="s">
        <v>38</v>
      </c>
      <c r="E441">
        <v>1</v>
      </c>
      <c r="F441" s="4">
        <v>146.32</v>
      </c>
      <c r="G441" t="s">
        <v>33</v>
      </c>
      <c r="H441" t="s">
        <v>25</v>
      </c>
      <c r="I441">
        <v>4</v>
      </c>
      <c r="J441" t="s">
        <v>87</v>
      </c>
      <c r="K441" t="s">
        <v>51</v>
      </c>
      <c r="L441" s="4">
        <v>146.32</v>
      </c>
      <c r="M441" t="str">
        <f>VLOOKUP(D441,tblProduct[],2,FALSE)</f>
        <v>Electronics</v>
      </c>
      <c r="N441" t="str">
        <f>VLOOKUP(D441,tblProduct[],3,FALSE)</f>
        <v>Medium</v>
      </c>
      <c r="O441">
        <f>VLOOKUP(D441,tblProduct[],4,FALSE)</f>
        <v>100000</v>
      </c>
      <c r="P441">
        <v>146.32</v>
      </c>
      <c r="Q441" s="19" t="str">
        <f t="shared" si="6"/>
        <v>Sep-2024</v>
      </c>
      <c r="R441" s="26">
        <f>DATE(YEAR(tblEnriched[[#This Row],[Date]]),MONTH(tblEnriched[[#This Row],[Date]]),1)</f>
        <v>45536</v>
      </c>
    </row>
    <row r="442" spans="1:18">
      <c r="A442" t="s">
        <v>1709</v>
      </c>
      <c r="B442" s="10">
        <v>45601</v>
      </c>
      <c r="C442" t="s">
        <v>1710</v>
      </c>
      <c r="D442" t="s">
        <v>79</v>
      </c>
      <c r="E442">
        <v>4</v>
      </c>
      <c r="F442" s="4">
        <v>83.6</v>
      </c>
      <c r="G442" t="s">
        <v>24</v>
      </c>
      <c r="H442" t="s">
        <v>95</v>
      </c>
      <c r="I442">
        <v>4</v>
      </c>
      <c r="J442" t="s">
        <v>27</v>
      </c>
      <c r="K442" t="s">
        <v>51</v>
      </c>
      <c r="L442" s="4">
        <v>334.4</v>
      </c>
      <c r="M442" t="str">
        <f>VLOOKUP(D442,tblProduct[],2,FALSE)</f>
        <v>Furniture</v>
      </c>
      <c r="N442" t="str">
        <f>VLOOKUP(D442,tblProduct[],3,FALSE)</f>
        <v>High</v>
      </c>
      <c r="O442">
        <f>VLOOKUP(D442,tblProduct[],4,FALSE)</f>
        <v>75000</v>
      </c>
      <c r="P442">
        <v>334.4</v>
      </c>
      <c r="Q442" s="19" t="str">
        <f t="shared" si="6"/>
        <v>Nov-2024</v>
      </c>
      <c r="R442" s="26">
        <f>DATE(YEAR(tblEnriched[[#This Row],[Date]]),MONTH(tblEnriched[[#This Row],[Date]]),1)</f>
        <v>45597</v>
      </c>
    </row>
    <row r="443" spans="1:18">
      <c r="A443" t="s">
        <v>1712</v>
      </c>
      <c r="B443" s="10">
        <v>45273</v>
      </c>
      <c r="C443" t="s">
        <v>1713</v>
      </c>
      <c r="D443" t="s">
        <v>54</v>
      </c>
      <c r="E443">
        <v>2</v>
      </c>
      <c r="F443" s="4">
        <v>328.54</v>
      </c>
      <c r="G443" t="s">
        <v>66</v>
      </c>
      <c r="H443" t="s">
        <v>49</v>
      </c>
      <c r="I443">
        <v>6</v>
      </c>
      <c r="J443" t="s">
        <v>43</v>
      </c>
      <c r="K443" t="s">
        <v>44</v>
      </c>
      <c r="L443" s="4">
        <v>657.08</v>
      </c>
      <c r="M443" t="str">
        <f>VLOOKUP(D443,tblProduct[],2,FALSE)</f>
        <v>Electronics</v>
      </c>
      <c r="N443" t="str">
        <f>VLOOKUP(D443,tblProduct[],3,FALSE)</f>
        <v>Medium</v>
      </c>
      <c r="O443">
        <f>VLOOKUP(D443,tblProduct[],4,FALSE)</f>
        <v>80000</v>
      </c>
      <c r="P443">
        <v>657.08</v>
      </c>
      <c r="Q443" s="19" t="str">
        <f t="shared" si="6"/>
        <v>Dec-2023</v>
      </c>
      <c r="R443" s="26">
        <f>DATE(YEAR(tblEnriched[[#This Row],[Date]]),MONTH(tblEnriched[[#This Row],[Date]]),1)</f>
        <v>45261</v>
      </c>
    </row>
    <row r="444" spans="1:18">
      <c r="A444" t="s">
        <v>1716</v>
      </c>
      <c r="B444" s="10">
        <v>45418</v>
      </c>
      <c r="C444" t="s">
        <v>1717</v>
      </c>
      <c r="D444" t="s">
        <v>47</v>
      </c>
      <c r="E444">
        <v>5</v>
      </c>
      <c r="F444" s="4">
        <v>314.94</v>
      </c>
      <c r="G444" t="s">
        <v>71</v>
      </c>
      <c r="H444" t="s">
        <v>95</v>
      </c>
      <c r="I444">
        <v>8</v>
      </c>
      <c r="J444" t="s">
        <v>27</v>
      </c>
      <c r="K444" t="s">
        <v>28</v>
      </c>
      <c r="L444" s="4">
        <v>1574.7</v>
      </c>
      <c r="M444" t="str">
        <f>VLOOKUP(D444,tblProduct[],2,FALSE)</f>
        <v>Furniture</v>
      </c>
      <c r="N444" t="str">
        <f>VLOOKUP(D444,tblProduct[],3,FALSE)</f>
        <v>Medium</v>
      </c>
      <c r="O444">
        <f>VLOOKUP(D444,tblProduct[],4,FALSE)</f>
        <v>70000</v>
      </c>
      <c r="P444">
        <v>1574.7</v>
      </c>
      <c r="Q444" s="19" t="str">
        <f t="shared" si="6"/>
        <v>May-2024</v>
      </c>
      <c r="R444" s="26">
        <f>DATE(YEAR(tblEnriched[[#This Row],[Date]]),MONTH(tblEnriched[[#This Row],[Date]]),1)</f>
        <v>45413</v>
      </c>
    </row>
    <row r="445" spans="1:18">
      <c r="A445" t="s">
        <v>1720</v>
      </c>
      <c r="B445" s="10">
        <v>45426</v>
      </c>
      <c r="C445" t="s">
        <v>1721</v>
      </c>
      <c r="D445" t="s">
        <v>47</v>
      </c>
      <c r="E445">
        <v>2</v>
      </c>
      <c r="F445" s="4">
        <v>69.64</v>
      </c>
      <c r="G445" t="s">
        <v>71</v>
      </c>
      <c r="H445" t="s">
        <v>49</v>
      </c>
      <c r="I445">
        <v>6</v>
      </c>
      <c r="K445" t="s">
        <v>51</v>
      </c>
      <c r="L445" s="4">
        <v>139.28</v>
      </c>
      <c r="M445" t="str">
        <f>VLOOKUP(D445,tblProduct[],2,FALSE)</f>
        <v>Furniture</v>
      </c>
      <c r="N445" t="str">
        <f>VLOOKUP(D445,tblProduct[],3,FALSE)</f>
        <v>Medium</v>
      </c>
      <c r="O445">
        <f>VLOOKUP(D445,tblProduct[],4,FALSE)</f>
        <v>70000</v>
      </c>
      <c r="P445">
        <v>139.28</v>
      </c>
      <c r="Q445" s="19" t="str">
        <f t="shared" si="6"/>
        <v>May-2024</v>
      </c>
      <c r="R445" s="26">
        <f>DATE(YEAR(tblEnriched[[#This Row],[Date]]),MONTH(tblEnriched[[#This Row],[Date]]),1)</f>
        <v>45413</v>
      </c>
    </row>
    <row r="446" spans="1:18">
      <c r="A446" t="s">
        <v>1723</v>
      </c>
      <c r="B446" s="10">
        <v>45451</v>
      </c>
      <c r="C446" t="s">
        <v>1724</v>
      </c>
      <c r="D446" t="s">
        <v>54</v>
      </c>
      <c r="E446">
        <v>1</v>
      </c>
      <c r="F446" s="4">
        <v>135.16999999999999</v>
      </c>
      <c r="G446" t="s">
        <v>33</v>
      </c>
      <c r="H446" t="s">
        <v>25</v>
      </c>
      <c r="I446">
        <v>6</v>
      </c>
      <c r="J446" t="s">
        <v>43</v>
      </c>
      <c r="K446" t="s">
        <v>28</v>
      </c>
      <c r="L446" s="4">
        <v>135.16999999999999</v>
      </c>
      <c r="M446" t="str">
        <f>VLOOKUP(D446,tblProduct[],2,FALSE)</f>
        <v>Electronics</v>
      </c>
      <c r="N446" t="str">
        <f>VLOOKUP(D446,tblProduct[],3,FALSE)</f>
        <v>Medium</v>
      </c>
      <c r="O446">
        <f>VLOOKUP(D446,tblProduct[],4,FALSE)</f>
        <v>80000</v>
      </c>
      <c r="P446">
        <v>135.16999999999999</v>
      </c>
      <c r="Q446" s="19" t="str">
        <f t="shared" si="6"/>
        <v>Jun-2024</v>
      </c>
      <c r="R446" s="26">
        <f>DATE(YEAR(tblEnriched[[#This Row],[Date]]),MONTH(tblEnriched[[#This Row],[Date]]),1)</f>
        <v>45444</v>
      </c>
    </row>
    <row r="447" spans="1:18">
      <c r="A447" t="s">
        <v>1727</v>
      </c>
      <c r="B447" s="10">
        <v>45374</v>
      </c>
      <c r="C447" t="s">
        <v>1728</v>
      </c>
      <c r="D447" t="s">
        <v>31</v>
      </c>
      <c r="E447">
        <v>1</v>
      </c>
      <c r="F447" s="4">
        <v>487.21</v>
      </c>
      <c r="G447" t="s">
        <v>71</v>
      </c>
      <c r="H447" t="s">
        <v>56</v>
      </c>
      <c r="I447">
        <v>3</v>
      </c>
      <c r="J447" t="s">
        <v>27</v>
      </c>
      <c r="K447" t="s">
        <v>35</v>
      </c>
      <c r="L447" s="4">
        <v>487.21</v>
      </c>
      <c r="M447" t="str">
        <f>VLOOKUP(D447,tblProduct[],2,FALSE)</f>
        <v>Electronics</v>
      </c>
      <c r="N447" t="str">
        <f>VLOOKUP(D447,tblProduct[],3,FALSE)</f>
        <v>High</v>
      </c>
      <c r="O447">
        <f>VLOOKUP(D447,tblProduct[],4,FALSE)</f>
        <v>120000</v>
      </c>
      <c r="P447">
        <v>487.21</v>
      </c>
      <c r="Q447" s="19" t="str">
        <f t="shared" si="6"/>
        <v>Mar-2024</v>
      </c>
      <c r="R447" s="26">
        <f>DATE(YEAR(tblEnriched[[#This Row],[Date]]),MONTH(tblEnriched[[#This Row],[Date]]),1)</f>
        <v>45352</v>
      </c>
    </row>
    <row r="448" spans="1:18">
      <c r="A448" t="s">
        <v>1731</v>
      </c>
      <c r="B448" s="10">
        <v>45217</v>
      </c>
      <c r="C448" t="s">
        <v>1732</v>
      </c>
      <c r="D448" t="s">
        <v>64</v>
      </c>
      <c r="E448">
        <v>5</v>
      </c>
      <c r="F448" s="4">
        <v>509.58</v>
      </c>
      <c r="G448" t="s">
        <v>33</v>
      </c>
      <c r="H448" t="s">
        <v>56</v>
      </c>
      <c r="I448">
        <v>6</v>
      </c>
      <c r="J448" t="s">
        <v>43</v>
      </c>
      <c r="K448" t="s">
        <v>28</v>
      </c>
      <c r="L448" s="4">
        <v>2547.9</v>
      </c>
      <c r="M448" t="str">
        <f>VLOOKUP(D448,tblProduct[],2,FALSE)</f>
        <v>Electronics</v>
      </c>
      <c r="N448" t="str">
        <f>VLOOKUP(D448,tblProduct[],3,FALSE)</f>
        <v>High</v>
      </c>
      <c r="O448">
        <f>VLOOKUP(D448,tblProduct[],4,FALSE)</f>
        <v>150000</v>
      </c>
      <c r="P448">
        <v>2547.9</v>
      </c>
      <c r="Q448" s="19" t="str">
        <f t="shared" si="6"/>
        <v>Oct-2023</v>
      </c>
      <c r="R448" s="26">
        <f>DATE(YEAR(tblEnriched[[#This Row],[Date]]),MONTH(tblEnriched[[#This Row],[Date]]),1)</f>
        <v>45200</v>
      </c>
    </row>
    <row r="449" spans="1:18">
      <c r="A449" t="s">
        <v>1735</v>
      </c>
      <c r="B449" s="10">
        <v>45389</v>
      </c>
      <c r="C449" t="s">
        <v>1736</v>
      </c>
      <c r="D449" t="s">
        <v>54</v>
      </c>
      <c r="E449">
        <v>2</v>
      </c>
      <c r="F449" s="4">
        <v>416.81</v>
      </c>
      <c r="G449" t="s">
        <v>71</v>
      </c>
      <c r="H449" t="s">
        <v>49</v>
      </c>
      <c r="I449">
        <v>2</v>
      </c>
      <c r="K449" t="s">
        <v>51</v>
      </c>
      <c r="L449" s="4">
        <v>833.62</v>
      </c>
      <c r="M449" t="str">
        <f>VLOOKUP(D449,tblProduct[],2,FALSE)</f>
        <v>Electronics</v>
      </c>
      <c r="N449" t="str">
        <f>VLOOKUP(D449,tblProduct[],3,FALSE)</f>
        <v>Medium</v>
      </c>
      <c r="O449">
        <f>VLOOKUP(D449,tblProduct[],4,FALSE)</f>
        <v>80000</v>
      </c>
      <c r="P449">
        <v>833.62</v>
      </c>
      <c r="Q449" s="19" t="str">
        <f t="shared" si="6"/>
        <v>Apr-2024</v>
      </c>
      <c r="R449" s="26">
        <f>DATE(YEAR(tblEnriched[[#This Row],[Date]]),MONTH(tblEnriched[[#This Row],[Date]]),1)</f>
        <v>45383</v>
      </c>
    </row>
    <row r="450" spans="1:18">
      <c r="A450" t="s">
        <v>1739</v>
      </c>
      <c r="B450" s="10">
        <v>45173</v>
      </c>
      <c r="C450" t="s">
        <v>1740</v>
      </c>
      <c r="D450" t="s">
        <v>64</v>
      </c>
      <c r="E450">
        <v>2</v>
      </c>
      <c r="F450" s="4">
        <v>160</v>
      </c>
      <c r="G450" t="s">
        <v>71</v>
      </c>
      <c r="H450" t="s">
        <v>95</v>
      </c>
      <c r="I450">
        <v>4</v>
      </c>
      <c r="J450" t="s">
        <v>27</v>
      </c>
      <c r="K450" t="s">
        <v>28</v>
      </c>
      <c r="L450" s="4">
        <v>320</v>
      </c>
      <c r="M450" t="str">
        <f>VLOOKUP(D450,tblProduct[],2,FALSE)</f>
        <v>Electronics</v>
      </c>
      <c r="N450" t="str">
        <f>VLOOKUP(D450,tblProduct[],3,FALSE)</f>
        <v>High</v>
      </c>
      <c r="O450">
        <f>VLOOKUP(D450,tblProduct[],4,FALSE)</f>
        <v>150000</v>
      </c>
      <c r="P450">
        <v>320</v>
      </c>
      <c r="Q450" s="19" t="str">
        <f t="shared" ref="Q450:Q513" si="7">TEXT(B450,"mmm-yyyy")</f>
        <v>Sep-2023</v>
      </c>
      <c r="R450" s="26">
        <f>DATE(YEAR(tblEnriched[[#This Row],[Date]]),MONTH(tblEnriched[[#This Row],[Date]]),1)</f>
        <v>45170</v>
      </c>
    </row>
    <row r="451" spans="1:18">
      <c r="A451" t="s">
        <v>1743</v>
      </c>
      <c r="B451" s="10">
        <v>45530</v>
      </c>
      <c r="C451" t="s">
        <v>1744</v>
      </c>
      <c r="D451" t="s">
        <v>38</v>
      </c>
      <c r="E451">
        <v>3</v>
      </c>
      <c r="F451" s="4">
        <v>253.05</v>
      </c>
      <c r="G451" t="s">
        <v>33</v>
      </c>
      <c r="H451" t="s">
        <v>95</v>
      </c>
      <c r="I451">
        <v>3</v>
      </c>
      <c r="K451" t="s">
        <v>28</v>
      </c>
      <c r="L451" s="4">
        <v>759.15000000000009</v>
      </c>
      <c r="M451" t="str">
        <f>VLOOKUP(D451,tblProduct[],2,FALSE)</f>
        <v>Electronics</v>
      </c>
      <c r="N451" t="str">
        <f>VLOOKUP(D451,tblProduct[],3,FALSE)</f>
        <v>Medium</v>
      </c>
      <c r="O451">
        <f>VLOOKUP(D451,tblProduct[],4,FALSE)</f>
        <v>100000</v>
      </c>
      <c r="P451">
        <v>759.15000000000009</v>
      </c>
      <c r="Q451" s="19" t="str">
        <f t="shared" si="7"/>
        <v>Aug-2024</v>
      </c>
      <c r="R451" s="26">
        <f>DATE(YEAR(tblEnriched[[#This Row],[Date]]),MONTH(tblEnriched[[#This Row],[Date]]),1)</f>
        <v>45505</v>
      </c>
    </row>
    <row r="452" spans="1:18">
      <c r="A452" t="s">
        <v>1747</v>
      </c>
      <c r="B452" s="10">
        <v>45306</v>
      </c>
      <c r="C452" t="s">
        <v>1748</v>
      </c>
      <c r="D452" t="s">
        <v>22</v>
      </c>
      <c r="E452">
        <v>5</v>
      </c>
      <c r="F452" s="4">
        <v>615.1</v>
      </c>
      <c r="G452" t="s">
        <v>66</v>
      </c>
      <c r="H452" t="s">
        <v>49</v>
      </c>
      <c r="I452">
        <v>10</v>
      </c>
      <c r="J452" t="s">
        <v>87</v>
      </c>
      <c r="K452" t="s">
        <v>28</v>
      </c>
      <c r="L452" s="4">
        <v>3075.5</v>
      </c>
      <c r="M452" t="str">
        <f>VLOOKUP(D452,tblProduct[],2,FALSE)</f>
        <v>Electronics</v>
      </c>
      <c r="N452" t="str">
        <f>VLOOKUP(D452,tblProduct[],3,FALSE)</f>
        <v>Medium</v>
      </c>
      <c r="O452">
        <f>VLOOKUP(D452,tblProduct[],4,FALSE)</f>
        <v>90000</v>
      </c>
      <c r="P452">
        <v>3075.5</v>
      </c>
      <c r="Q452" s="19" t="str">
        <f t="shared" si="7"/>
        <v>Jan-2024</v>
      </c>
      <c r="R452" s="26">
        <f>DATE(YEAR(tblEnriched[[#This Row],[Date]]),MONTH(tblEnriched[[#This Row],[Date]]),1)</f>
        <v>45292</v>
      </c>
    </row>
    <row r="453" spans="1:18">
      <c r="A453" t="s">
        <v>1751</v>
      </c>
      <c r="B453" s="10">
        <v>45017</v>
      </c>
      <c r="C453" t="s">
        <v>1752</v>
      </c>
      <c r="D453" t="s">
        <v>22</v>
      </c>
      <c r="E453">
        <v>1</v>
      </c>
      <c r="F453" s="4">
        <v>183.18</v>
      </c>
      <c r="G453" t="s">
        <v>24</v>
      </c>
      <c r="H453" t="s">
        <v>41</v>
      </c>
      <c r="I453">
        <v>6</v>
      </c>
      <c r="J453" t="s">
        <v>27</v>
      </c>
      <c r="K453" t="s">
        <v>44</v>
      </c>
      <c r="L453" s="4">
        <v>183.18</v>
      </c>
      <c r="M453" t="str">
        <f>VLOOKUP(D453,tblProduct[],2,FALSE)</f>
        <v>Electronics</v>
      </c>
      <c r="N453" t="str">
        <f>VLOOKUP(D453,tblProduct[],3,FALSE)</f>
        <v>Medium</v>
      </c>
      <c r="O453">
        <f>VLOOKUP(D453,tblProduct[],4,FALSE)</f>
        <v>90000</v>
      </c>
      <c r="P453">
        <v>183.18</v>
      </c>
      <c r="Q453" s="19" t="str">
        <f t="shared" si="7"/>
        <v>Apr-2023</v>
      </c>
      <c r="R453" s="26">
        <f>DATE(YEAR(tblEnriched[[#This Row],[Date]]),MONTH(tblEnriched[[#This Row],[Date]]),1)</f>
        <v>45017</v>
      </c>
    </row>
    <row r="454" spans="1:18">
      <c r="A454" t="s">
        <v>1754</v>
      </c>
      <c r="B454" s="10">
        <v>45130</v>
      </c>
      <c r="C454" t="s">
        <v>1755</v>
      </c>
      <c r="D454" t="s">
        <v>54</v>
      </c>
      <c r="E454">
        <v>1</v>
      </c>
      <c r="F454" s="4">
        <v>75.78</v>
      </c>
      <c r="G454" t="s">
        <v>71</v>
      </c>
      <c r="H454" t="s">
        <v>95</v>
      </c>
      <c r="I454">
        <v>5</v>
      </c>
      <c r="J454" t="s">
        <v>27</v>
      </c>
      <c r="K454" t="s">
        <v>82</v>
      </c>
      <c r="L454" s="4">
        <v>75.78</v>
      </c>
      <c r="M454" t="str">
        <f>VLOOKUP(D454,tblProduct[],2,FALSE)</f>
        <v>Electronics</v>
      </c>
      <c r="N454" t="str">
        <f>VLOOKUP(D454,tblProduct[],3,FALSE)</f>
        <v>Medium</v>
      </c>
      <c r="O454">
        <f>VLOOKUP(D454,tblProduct[],4,FALSE)</f>
        <v>80000</v>
      </c>
      <c r="P454">
        <v>75.78</v>
      </c>
      <c r="Q454" s="19" t="str">
        <f t="shared" si="7"/>
        <v>Jul-2023</v>
      </c>
      <c r="R454" s="26">
        <f>DATE(YEAR(tblEnriched[[#This Row],[Date]]),MONTH(tblEnriched[[#This Row],[Date]]),1)</f>
        <v>45108</v>
      </c>
    </row>
    <row r="455" spans="1:18">
      <c r="A455" t="s">
        <v>1758</v>
      </c>
      <c r="B455" s="10">
        <v>45779</v>
      </c>
      <c r="C455" t="s">
        <v>1759</v>
      </c>
      <c r="D455" t="s">
        <v>38</v>
      </c>
      <c r="E455">
        <v>1</v>
      </c>
      <c r="F455" s="4">
        <v>675.57</v>
      </c>
      <c r="G455" t="s">
        <v>71</v>
      </c>
      <c r="H455" t="s">
        <v>25</v>
      </c>
      <c r="I455">
        <v>1</v>
      </c>
      <c r="J455" t="s">
        <v>87</v>
      </c>
      <c r="K455" t="s">
        <v>51</v>
      </c>
      <c r="L455" s="4">
        <v>675.57</v>
      </c>
      <c r="M455" t="str">
        <f>VLOOKUP(D455,tblProduct[],2,FALSE)</f>
        <v>Electronics</v>
      </c>
      <c r="N455" t="str">
        <f>VLOOKUP(D455,tblProduct[],3,FALSE)</f>
        <v>Medium</v>
      </c>
      <c r="O455">
        <f>VLOOKUP(D455,tblProduct[],4,FALSE)</f>
        <v>100000</v>
      </c>
      <c r="P455">
        <v>675.57</v>
      </c>
      <c r="Q455" s="19" t="str">
        <f t="shared" si="7"/>
        <v>May-2025</v>
      </c>
      <c r="R455" s="26">
        <f>DATE(YEAR(tblEnriched[[#This Row],[Date]]),MONTH(tblEnriched[[#This Row],[Date]]),1)</f>
        <v>45778</v>
      </c>
    </row>
    <row r="456" spans="1:18">
      <c r="A456" t="s">
        <v>1762</v>
      </c>
      <c r="B456" s="10">
        <v>45623</v>
      </c>
      <c r="C456" t="s">
        <v>1763</v>
      </c>
      <c r="D456" t="s">
        <v>64</v>
      </c>
      <c r="E456">
        <v>1</v>
      </c>
      <c r="F456" s="4">
        <v>109.29</v>
      </c>
      <c r="G456" t="s">
        <v>24</v>
      </c>
      <c r="H456" t="s">
        <v>41</v>
      </c>
      <c r="I456">
        <v>5</v>
      </c>
      <c r="J456" t="s">
        <v>43</v>
      </c>
      <c r="K456" t="s">
        <v>82</v>
      </c>
      <c r="L456" s="4">
        <v>109.29</v>
      </c>
      <c r="M456" t="str">
        <f>VLOOKUP(D456,tblProduct[],2,FALSE)</f>
        <v>Electronics</v>
      </c>
      <c r="N456" t="str">
        <f>VLOOKUP(D456,tblProduct[],3,FALSE)</f>
        <v>High</v>
      </c>
      <c r="O456">
        <f>VLOOKUP(D456,tblProduct[],4,FALSE)</f>
        <v>150000</v>
      </c>
      <c r="P456">
        <v>109.29</v>
      </c>
      <c r="Q456" s="19" t="str">
        <f t="shared" si="7"/>
        <v>Nov-2024</v>
      </c>
      <c r="R456" s="26">
        <f>DATE(YEAR(tblEnriched[[#This Row],[Date]]),MONTH(tblEnriched[[#This Row],[Date]]),1)</f>
        <v>45597</v>
      </c>
    </row>
    <row r="457" spans="1:18">
      <c r="A457" t="s">
        <v>1766</v>
      </c>
      <c r="B457" s="10">
        <v>45377</v>
      </c>
      <c r="C457" t="s">
        <v>1767</v>
      </c>
      <c r="D457" t="s">
        <v>31</v>
      </c>
      <c r="E457">
        <v>1</v>
      </c>
      <c r="F457" s="4">
        <v>639.83000000000004</v>
      </c>
      <c r="G457" t="s">
        <v>24</v>
      </c>
      <c r="H457" t="s">
        <v>95</v>
      </c>
      <c r="I457">
        <v>2</v>
      </c>
      <c r="J457" t="s">
        <v>27</v>
      </c>
      <c r="K457" t="s">
        <v>35</v>
      </c>
      <c r="L457" s="4">
        <v>639.83000000000004</v>
      </c>
      <c r="M457" t="str">
        <f>VLOOKUP(D457,tblProduct[],2,FALSE)</f>
        <v>Electronics</v>
      </c>
      <c r="N457" t="str">
        <f>VLOOKUP(D457,tblProduct[],3,FALSE)</f>
        <v>High</v>
      </c>
      <c r="O457">
        <f>VLOOKUP(D457,tblProduct[],4,FALSE)</f>
        <v>120000</v>
      </c>
      <c r="P457">
        <v>639.83000000000004</v>
      </c>
      <c r="Q457" s="19" t="str">
        <f t="shared" si="7"/>
        <v>Mar-2024</v>
      </c>
      <c r="R457" s="26">
        <f>DATE(YEAR(tblEnriched[[#This Row],[Date]]),MONTH(tblEnriched[[#This Row],[Date]]),1)</f>
        <v>45352</v>
      </c>
    </row>
    <row r="458" spans="1:18">
      <c r="A458" t="s">
        <v>1770</v>
      </c>
      <c r="B458" s="10">
        <v>45103</v>
      </c>
      <c r="C458" t="s">
        <v>1771</v>
      </c>
      <c r="D458" t="s">
        <v>79</v>
      </c>
      <c r="E458">
        <v>5</v>
      </c>
      <c r="F458" s="4">
        <v>62.81</v>
      </c>
      <c r="G458" t="s">
        <v>40</v>
      </c>
      <c r="H458" t="s">
        <v>25</v>
      </c>
      <c r="I458">
        <v>9</v>
      </c>
      <c r="J458" t="s">
        <v>27</v>
      </c>
      <c r="K458" t="s">
        <v>51</v>
      </c>
      <c r="L458" s="4">
        <v>314.05</v>
      </c>
      <c r="M458" t="str">
        <f>VLOOKUP(D458,tblProduct[],2,FALSE)</f>
        <v>Furniture</v>
      </c>
      <c r="N458" t="str">
        <f>VLOOKUP(D458,tblProduct[],3,FALSE)</f>
        <v>High</v>
      </c>
      <c r="O458">
        <f>VLOOKUP(D458,tblProduct[],4,FALSE)</f>
        <v>75000</v>
      </c>
      <c r="P458">
        <v>314.05</v>
      </c>
      <c r="Q458" s="19" t="str">
        <f t="shared" si="7"/>
        <v>Jun-2023</v>
      </c>
      <c r="R458" s="26">
        <f>DATE(YEAR(tblEnriched[[#This Row],[Date]]),MONTH(tblEnriched[[#This Row],[Date]]),1)</f>
        <v>45078</v>
      </c>
    </row>
    <row r="459" spans="1:18">
      <c r="A459" t="s">
        <v>1773</v>
      </c>
      <c r="B459" s="10">
        <v>45802</v>
      </c>
      <c r="C459" t="s">
        <v>1774</v>
      </c>
      <c r="D459" t="s">
        <v>79</v>
      </c>
      <c r="E459">
        <v>4</v>
      </c>
      <c r="F459" s="4">
        <v>615.83000000000004</v>
      </c>
      <c r="G459" t="s">
        <v>33</v>
      </c>
      <c r="H459" t="s">
        <v>49</v>
      </c>
      <c r="I459">
        <v>4</v>
      </c>
      <c r="J459" t="s">
        <v>87</v>
      </c>
      <c r="K459" t="s">
        <v>28</v>
      </c>
      <c r="L459" s="4">
        <v>2463.3200000000002</v>
      </c>
      <c r="M459" t="str">
        <f>VLOOKUP(D459,tblProduct[],2,FALSE)</f>
        <v>Furniture</v>
      </c>
      <c r="N459" t="str">
        <f>VLOOKUP(D459,tblProduct[],3,FALSE)</f>
        <v>High</v>
      </c>
      <c r="O459">
        <f>VLOOKUP(D459,tblProduct[],4,FALSE)</f>
        <v>75000</v>
      </c>
      <c r="P459">
        <v>2463.3200000000002</v>
      </c>
      <c r="Q459" s="19" t="str">
        <f t="shared" si="7"/>
        <v>May-2025</v>
      </c>
      <c r="R459" s="26">
        <f>DATE(YEAR(tblEnriched[[#This Row],[Date]]),MONTH(tblEnriched[[#This Row],[Date]]),1)</f>
        <v>45778</v>
      </c>
    </row>
    <row r="460" spans="1:18">
      <c r="A460" t="s">
        <v>1777</v>
      </c>
      <c r="B460" s="10">
        <v>45475</v>
      </c>
      <c r="C460" t="s">
        <v>1778</v>
      </c>
      <c r="D460" t="s">
        <v>22</v>
      </c>
      <c r="E460">
        <v>4</v>
      </c>
      <c r="F460" s="4">
        <v>510.58</v>
      </c>
      <c r="G460" t="s">
        <v>40</v>
      </c>
      <c r="H460" t="s">
        <v>49</v>
      </c>
      <c r="I460">
        <v>7</v>
      </c>
      <c r="J460" t="s">
        <v>87</v>
      </c>
      <c r="K460" t="s">
        <v>44</v>
      </c>
      <c r="L460" s="4">
        <v>2042.32</v>
      </c>
      <c r="M460" t="str">
        <f>VLOOKUP(D460,tblProduct[],2,FALSE)</f>
        <v>Electronics</v>
      </c>
      <c r="N460" t="str">
        <f>VLOOKUP(D460,tblProduct[],3,FALSE)</f>
        <v>Medium</v>
      </c>
      <c r="O460">
        <f>VLOOKUP(D460,tblProduct[],4,FALSE)</f>
        <v>90000</v>
      </c>
      <c r="P460">
        <v>2042.32</v>
      </c>
      <c r="Q460" s="19" t="str">
        <f t="shared" si="7"/>
        <v>Jul-2024</v>
      </c>
      <c r="R460" s="26">
        <f>DATE(YEAR(tblEnriched[[#This Row],[Date]]),MONTH(tblEnriched[[#This Row],[Date]]),1)</f>
        <v>45474</v>
      </c>
    </row>
    <row r="461" spans="1:18">
      <c r="A461" t="s">
        <v>1780</v>
      </c>
      <c r="B461" s="10">
        <v>45497</v>
      </c>
      <c r="C461" t="s">
        <v>1781</v>
      </c>
      <c r="D461" t="s">
        <v>79</v>
      </c>
      <c r="E461">
        <v>1</v>
      </c>
      <c r="F461" s="4">
        <v>334.39</v>
      </c>
      <c r="G461" t="s">
        <v>40</v>
      </c>
      <c r="H461" t="s">
        <v>49</v>
      </c>
      <c r="I461">
        <v>2</v>
      </c>
      <c r="K461" t="s">
        <v>28</v>
      </c>
      <c r="L461" s="4">
        <v>334.39</v>
      </c>
      <c r="M461" t="str">
        <f>VLOOKUP(D461,tblProduct[],2,FALSE)</f>
        <v>Furniture</v>
      </c>
      <c r="N461" t="str">
        <f>VLOOKUP(D461,tblProduct[],3,FALSE)</f>
        <v>High</v>
      </c>
      <c r="O461">
        <f>VLOOKUP(D461,tblProduct[],4,FALSE)</f>
        <v>75000</v>
      </c>
      <c r="P461">
        <v>334.39</v>
      </c>
      <c r="Q461" s="19" t="str">
        <f t="shared" si="7"/>
        <v>Jul-2024</v>
      </c>
      <c r="R461" s="26">
        <f>DATE(YEAR(tblEnriched[[#This Row],[Date]]),MONTH(tblEnriched[[#This Row],[Date]]),1)</f>
        <v>45474</v>
      </c>
    </row>
    <row r="462" spans="1:18">
      <c r="A462" t="s">
        <v>1783</v>
      </c>
      <c r="B462" s="10">
        <v>45571</v>
      </c>
      <c r="C462" t="s">
        <v>1784</v>
      </c>
      <c r="D462" t="s">
        <v>64</v>
      </c>
      <c r="E462">
        <v>1</v>
      </c>
      <c r="F462" s="4">
        <v>144.25</v>
      </c>
      <c r="G462" t="s">
        <v>71</v>
      </c>
      <c r="H462" t="s">
        <v>49</v>
      </c>
      <c r="I462">
        <v>2</v>
      </c>
      <c r="J462" t="s">
        <v>87</v>
      </c>
      <c r="K462" t="s">
        <v>35</v>
      </c>
      <c r="L462" s="4">
        <v>144.25</v>
      </c>
      <c r="M462" t="str">
        <f>VLOOKUP(D462,tblProduct[],2,FALSE)</f>
        <v>Electronics</v>
      </c>
      <c r="N462" t="str">
        <f>VLOOKUP(D462,tblProduct[],3,FALSE)</f>
        <v>High</v>
      </c>
      <c r="O462">
        <f>VLOOKUP(D462,tblProduct[],4,FALSE)</f>
        <v>150000</v>
      </c>
      <c r="P462">
        <v>144.25</v>
      </c>
      <c r="Q462" s="19" t="str">
        <f t="shared" si="7"/>
        <v>Oct-2024</v>
      </c>
      <c r="R462" s="26">
        <f>DATE(YEAR(tblEnriched[[#This Row],[Date]]),MONTH(tblEnriched[[#This Row],[Date]]),1)</f>
        <v>45566</v>
      </c>
    </row>
    <row r="463" spans="1:18">
      <c r="A463" t="s">
        <v>1787</v>
      </c>
      <c r="B463" s="10">
        <v>45451</v>
      </c>
      <c r="C463" t="s">
        <v>1788</v>
      </c>
      <c r="D463" t="s">
        <v>38</v>
      </c>
      <c r="E463">
        <v>1</v>
      </c>
      <c r="F463" s="4">
        <v>401.82</v>
      </c>
      <c r="G463" t="s">
        <v>40</v>
      </c>
      <c r="H463" t="s">
        <v>25</v>
      </c>
      <c r="I463">
        <v>5</v>
      </c>
      <c r="J463" t="s">
        <v>43</v>
      </c>
      <c r="K463" t="s">
        <v>82</v>
      </c>
      <c r="L463" s="4">
        <v>401.82</v>
      </c>
      <c r="M463" t="str">
        <f>VLOOKUP(D463,tblProduct[],2,FALSE)</f>
        <v>Electronics</v>
      </c>
      <c r="N463" t="str">
        <f>VLOOKUP(D463,tblProduct[],3,FALSE)</f>
        <v>Medium</v>
      </c>
      <c r="O463">
        <f>VLOOKUP(D463,tblProduct[],4,FALSE)</f>
        <v>100000</v>
      </c>
      <c r="P463">
        <v>401.82</v>
      </c>
      <c r="Q463" s="19" t="str">
        <f t="shared" si="7"/>
        <v>Jun-2024</v>
      </c>
      <c r="R463" s="26">
        <f>DATE(YEAR(tblEnriched[[#This Row],[Date]]),MONTH(tblEnriched[[#This Row],[Date]]),1)</f>
        <v>45444</v>
      </c>
    </row>
    <row r="464" spans="1:18">
      <c r="A464" t="s">
        <v>1790</v>
      </c>
      <c r="B464" s="10">
        <v>45747</v>
      </c>
      <c r="C464" t="s">
        <v>1791</v>
      </c>
      <c r="D464" t="s">
        <v>31</v>
      </c>
      <c r="E464">
        <v>1</v>
      </c>
      <c r="F464" s="4">
        <v>252.68</v>
      </c>
      <c r="G464" t="s">
        <v>33</v>
      </c>
      <c r="H464" t="s">
        <v>41</v>
      </c>
      <c r="I464">
        <v>1</v>
      </c>
      <c r="K464" t="s">
        <v>35</v>
      </c>
      <c r="L464" s="4">
        <v>252.68</v>
      </c>
      <c r="M464" t="str">
        <f>VLOOKUP(D464,tblProduct[],2,FALSE)</f>
        <v>Electronics</v>
      </c>
      <c r="N464" t="str">
        <f>VLOOKUP(D464,tblProduct[],3,FALSE)</f>
        <v>High</v>
      </c>
      <c r="O464">
        <f>VLOOKUP(D464,tblProduct[],4,FALSE)</f>
        <v>120000</v>
      </c>
      <c r="P464">
        <v>252.68</v>
      </c>
      <c r="Q464" s="19" t="str">
        <f t="shared" si="7"/>
        <v>Mar-2025</v>
      </c>
      <c r="R464" s="26">
        <f>DATE(YEAR(tblEnriched[[#This Row],[Date]]),MONTH(tblEnriched[[#This Row],[Date]]),1)</f>
        <v>45717</v>
      </c>
    </row>
    <row r="465" spans="1:18">
      <c r="A465" t="s">
        <v>1794</v>
      </c>
      <c r="B465" s="10">
        <v>45072</v>
      </c>
      <c r="C465" t="s">
        <v>1795</v>
      </c>
      <c r="D465" t="s">
        <v>64</v>
      </c>
      <c r="E465">
        <v>5</v>
      </c>
      <c r="F465" s="4">
        <v>662.78</v>
      </c>
      <c r="G465" t="s">
        <v>24</v>
      </c>
      <c r="H465" t="s">
        <v>25</v>
      </c>
      <c r="I465">
        <v>9</v>
      </c>
      <c r="J465" t="s">
        <v>27</v>
      </c>
      <c r="K465" t="s">
        <v>28</v>
      </c>
      <c r="L465" s="4">
        <v>3313.9</v>
      </c>
      <c r="M465" t="str">
        <f>VLOOKUP(D465,tblProduct[],2,FALSE)</f>
        <v>Electronics</v>
      </c>
      <c r="N465" t="str">
        <f>VLOOKUP(D465,tblProduct[],3,FALSE)</f>
        <v>High</v>
      </c>
      <c r="O465">
        <f>VLOOKUP(D465,tblProduct[],4,FALSE)</f>
        <v>150000</v>
      </c>
      <c r="P465">
        <v>3313.9</v>
      </c>
      <c r="Q465" s="19" t="str">
        <f t="shared" si="7"/>
        <v>May-2023</v>
      </c>
      <c r="R465" s="26">
        <f>DATE(YEAR(tblEnriched[[#This Row],[Date]]),MONTH(tblEnriched[[#This Row],[Date]]),1)</f>
        <v>45047</v>
      </c>
    </row>
    <row r="466" spans="1:18">
      <c r="A466" t="s">
        <v>1798</v>
      </c>
      <c r="B466" s="10">
        <v>44999</v>
      </c>
      <c r="C466" t="s">
        <v>1799</v>
      </c>
      <c r="D466" t="s">
        <v>38</v>
      </c>
      <c r="E466">
        <v>4</v>
      </c>
      <c r="F466" s="4">
        <v>434.42</v>
      </c>
      <c r="G466" t="s">
        <v>33</v>
      </c>
      <c r="H466" t="s">
        <v>41</v>
      </c>
      <c r="I466">
        <v>6</v>
      </c>
      <c r="J466" t="s">
        <v>43</v>
      </c>
      <c r="K466" t="s">
        <v>82</v>
      </c>
      <c r="L466" s="4">
        <v>1737.68</v>
      </c>
      <c r="M466" t="str">
        <f>VLOOKUP(D466,tblProduct[],2,FALSE)</f>
        <v>Electronics</v>
      </c>
      <c r="N466" t="str">
        <f>VLOOKUP(D466,tblProduct[],3,FALSE)</f>
        <v>Medium</v>
      </c>
      <c r="O466">
        <f>VLOOKUP(D466,tblProduct[],4,FALSE)</f>
        <v>100000</v>
      </c>
      <c r="P466">
        <v>1737.68</v>
      </c>
      <c r="Q466" s="19" t="str">
        <f t="shared" si="7"/>
        <v>Mar-2023</v>
      </c>
      <c r="R466" s="26">
        <f>DATE(YEAR(tblEnriched[[#This Row],[Date]]),MONTH(tblEnriched[[#This Row],[Date]]),1)</f>
        <v>44986</v>
      </c>
    </row>
    <row r="467" spans="1:18">
      <c r="A467" t="s">
        <v>1802</v>
      </c>
      <c r="B467" s="10">
        <v>45348</v>
      </c>
      <c r="C467" t="s">
        <v>1803</v>
      </c>
      <c r="D467" t="s">
        <v>54</v>
      </c>
      <c r="E467">
        <v>5</v>
      </c>
      <c r="F467" s="4">
        <v>513.49</v>
      </c>
      <c r="G467" t="s">
        <v>66</v>
      </c>
      <c r="H467" t="s">
        <v>41</v>
      </c>
      <c r="I467">
        <v>8</v>
      </c>
      <c r="K467" t="s">
        <v>82</v>
      </c>
      <c r="L467" s="4">
        <v>2567.4499999999998</v>
      </c>
      <c r="M467" t="str">
        <f>VLOOKUP(D467,tblProduct[],2,FALSE)</f>
        <v>Electronics</v>
      </c>
      <c r="N467" t="str">
        <f>VLOOKUP(D467,tblProduct[],3,FALSE)</f>
        <v>Medium</v>
      </c>
      <c r="O467">
        <f>VLOOKUP(D467,tblProduct[],4,FALSE)</f>
        <v>80000</v>
      </c>
      <c r="P467">
        <v>2567.4499999999998</v>
      </c>
      <c r="Q467" s="19" t="str">
        <f t="shared" si="7"/>
        <v>Feb-2024</v>
      </c>
      <c r="R467" s="26">
        <f>DATE(YEAR(tblEnriched[[#This Row],[Date]]),MONTH(tblEnriched[[#This Row],[Date]]),1)</f>
        <v>45323</v>
      </c>
    </row>
    <row r="468" spans="1:18">
      <c r="A468" t="s">
        <v>1806</v>
      </c>
      <c r="B468" s="10">
        <v>45125</v>
      </c>
      <c r="C468" t="s">
        <v>1807</v>
      </c>
      <c r="D468" t="s">
        <v>31</v>
      </c>
      <c r="E468">
        <v>1</v>
      </c>
      <c r="F468" s="4">
        <v>432.47</v>
      </c>
      <c r="G468" t="s">
        <v>71</v>
      </c>
      <c r="H468" t="s">
        <v>56</v>
      </c>
      <c r="I468">
        <v>4</v>
      </c>
      <c r="J468" t="s">
        <v>43</v>
      </c>
      <c r="K468" t="s">
        <v>35</v>
      </c>
      <c r="L468" s="4">
        <v>432.47</v>
      </c>
      <c r="M468" t="str">
        <f>VLOOKUP(D468,tblProduct[],2,FALSE)</f>
        <v>Electronics</v>
      </c>
      <c r="N468" t="str">
        <f>VLOOKUP(D468,tblProduct[],3,FALSE)</f>
        <v>High</v>
      </c>
      <c r="O468">
        <f>VLOOKUP(D468,tblProduct[],4,FALSE)</f>
        <v>120000</v>
      </c>
      <c r="P468">
        <v>432.47</v>
      </c>
      <c r="Q468" s="19" t="str">
        <f t="shared" si="7"/>
        <v>Jul-2023</v>
      </c>
      <c r="R468" s="26">
        <f>DATE(YEAR(tblEnriched[[#This Row],[Date]]),MONTH(tblEnriched[[#This Row],[Date]]),1)</f>
        <v>45108</v>
      </c>
    </row>
    <row r="469" spans="1:18">
      <c r="A469" t="s">
        <v>1809</v>
      </c>
      <c r="B469" s="10">
        <v>45534</v>
      </c>
      <c r="C469" t="s">
        <v>1810</v>
      </c>
      <c r="D469" t="s">
        <v>79</v>
      </c>
      <c r="E469">
        <v>1</v>
      </c>
      <c r="F469" s="4">
        <v>45.94</v>
      </c>
      <c r="G469" t="s">
        <v>71</v>
      </c>
      <c r="H469" t="s">
        <v>41</v>
      </c>
      <c r="I469">
        <v>2</v>
      </c>
      <c r="J469" t="s">
        <v>87</v>
      </c>
      <c r="K469" t="s">
        <v>44</v>
      </c>
      <c r="L469" s="4">
        <v>45.94</v>
      </c>
      <c r="M469" t="str">
        <f>VLOOKUP(D469,tblProduct[],2,FALSE)</f>
        <v>Furniture</v>
      </c>
      <c r="N469" t="str">
        <f>VLOOKUP(D469,tblProduct[],3,FALSE)</f>
        <v>High</v>
      </c>
      <c r="O469">
        <f>VLOOKUP(D469,tblProduct[],4,FALSE)</f>
        <v>75000</v>
      </c>
      <c r="P469">
        <v>45.94</v>
      </c>
      <c r="Q469" s="19" t="str">
        <f t="shared" si="7"/>
        <v>Aug-2024</v>
      </c>
      <c r="R469" s="26">
        <f>DATE(YEAR(tblEnriched[[#This Row],[Date]]),MONTH(tblEnriched[[#This Row],[Date]]),1)</f>
        <v>45505</v>
      </c>
    </row>
    <row r="470" spans="1:18">
      <c r="A470" t="s">
        <v>1812</v>
      </c>
      <c r="B470" s="10">
        <v>45829</v>
      </c>
      <c r="C470" t="s">
        <v>1813</v>
      </c>
      <c r="D470" t="s">
        <v>31</v>
      </c>
      <c r="E470">
        <v>1</v>
      </c>
      <c r="F470" s="4">
        <v>418.36</v>
      </c>
      <c r="G470" t="s">
        <v>40</v>
      </c>
      <c r="H470" t="s">
        <v>56</v>
      </c>
      <c r="I470">
        <v>5</v>
      </c>
      <c r="J470" t="s">
        <v>43</v>
      </c>
      <c r="K470" t="s">
        <v>44</v>
      </c>
      <c r="L470" s="4">
        <v>418.36</v>
      </c>
      <c r="M470" t="str">
        <f>VLOOKUP(D470,tblProduct[],2,FALSE)</f>
        <v>Electronics</v>
      </c>
      <c r="N470" t="str">
        <f>VLOOKUP(D470,tblProduct[],3,FALSE)</f>
        <v>High</v>
      </c>
      <c r="O470">
        <f>VLOOKUP(D470,tblProduct[],4,FALSE)</f>
        <v>120000</v>
      </c>
      <c r="P470">
        <v>418.36</v>
      </c>
      <c r="Q470" s="19" t="str">
        <f t="shared" si="7"/>
        <v>Jun-2025</v>
      </c>
      <c r="R470" s="26">
        <f>DATE(YEAR(tblEnriched[[#This Row],[Date]]),MONTH(tblEnriched[[#This Row],[Date]]),1)</f>
        <v>45809</v>
      </c>
    </row>
    <row r="471" spans="1:18">
      <c r="A471" t="s">
        <v>1816</v>
      </c>
      <c r="B471" s="10">
        <v>45256</v>
      </c>
      <c r="C471" t="s">
        <v>1817</v>
      </c>
      <c r="D471" t="s">
        <v>47</v>
      </c>
      <c r="E471">
        <v>5</v>
      </c>
      <c r="F471" s="4">
        <v>676.98</v>
      </c>
      <c r="G471" t="s">
        <v>71</v>
      </c>
      <c r="H471" t="s">
        <v>41</v>
      </c>
      <c r="I471">
        <v>5</v>
      </c>
      <c r="K471" t="s">
        <v>51</v>
      </c>
      <c r="L471" s="4">
        <v>3384.9</v>
      </c>
      <c r="M471" t="str">
        <f>VLOOKUP(D471,tblProduct[],2,FALSE)</f>
        <v>Furniture</v>
      </c>
      <c r="N471" t="str">
        <f>VLOOKUP(D471,tblProduct[],3,FALSE)</f>
        <v>Medium</v>
      </c>
      <c r="O471">
        <f>VLOOKUP(D471,tblProduct[],4,FALSE)</f>
        <v>70000</v>
      </c>
      <c r="P471">
        <v>3384.9</v>
      </c>
      <c r="Q471" s="19" t="str">
        <f t="shared" si="7"/>
        <v>Nov-2023</v>
      </c>
      <c r="R471" s="26">
        <f>DATE(YEAR(tblEnriched[[#This Row],[Date]]),MONTH(tblEnriched[[#This Row],[Date]]),1)</f>
        <v>45231</v>
      </c>
    </row>
    <row r="472" spans="1:18">
      <c r="A472" t="s">
        <v>1819</v>
      </c>
      <c r="B472" s="10">
        <v>45198</v>
      </c>
      <c r="C472" t="s">
        <v>1820</v>
      </c>
      <c r="D472" t="s">
        <v>38</v>
      </c>
      <c r="E472">
        <v>4</v>
      </c>
      <c r="F472" s="4">
        <v>263.62</v>
      </c>
      <c r="G472" t="s">
        <v>71</v>
      </c>
      <c r="H472" t="s">
        <v>25</v>
      </c>
      <c r="I472">
        <v>5</v>
      </c>
      <c r="J472" t="s">
        <v>27</v>
      </c>
      <c r="K472" t="s">
        <v>44</v>
      </c>
      <c r="L472" s="4">
        <v>1054.48</v>
      </c>
      <c r="M472" t="str">
        <f>VLOOKUP(D472,tblProduct[],2,FALSE)</f>
        <v>Electronics</v>
      </c>
      <c r="N472" t="str">
        <f>VLOOKUP(D472,tblProduct[],3,FALSE)</f>
        <v>Medium</v>
      </c>
      <c r="O472">
        <f>VLOOKUP(D472,tblProduct[],4,FALSE)</f>
        <v>100000</v>
      </c>
      <c r="P472">
        <v>1054.48</v>
      </c>
      <c r="Q472" s="19" t="str">
        <f t="shared" si="7"/>
        <v>Sep-2023</v>
      </c>
      <c r="R472" s="26">
        <f>DATE(YEAR(tblEnriched[[#This Row],[Date]]),MONTH(tblEnriched[[#This Row],[Date]]),1)</f>
        <v>45170</v>
      </c>
    </row>
    <row r="473" spans="1:18">
      <c r="A473" t="s">
        <v>1823</v>
      </c>
      <c r="B473" s="10">
        <v>45766</v>
      </c>
      <c r="C473" t="s">
        <v>1824</v>
      </c>
      <c r="D473" t="s">
        <v>79</v>
      </c>
      <c r="E473">
        <v>5</v>
      </c>
      <c r="F473" s="4">
        <v>551.27</v>
      </c>
      <c r="G473" t="s">
        <v>33</v>
      </c>
      <c r="H473" t="s">
        <v>41</v>
      </c>
      <c r="I473">
        <v>7</v>
      </c>
      <c r="J473" t="s">
        <v>43</v>
      </c>
      <c r="K473" t="s">
        <v>35</v>
      </c>
      <c r="L473" s="4">
        <v>2756.35</v>
      </c>
      <c r="M473" t="str">
        <f>VLOOKUP(D473,tblProduct[],2,FALSE)</f>
        <v>Furniture</v>
      </c>
      <c r="N473" t="str">
        <f>VLOOKUP(D473,tblProduct[],3,FALSE)</f>
        <v>High</v>
      </c>
      <c r="O473">
        <f>VLOOKUP(D473,tblProduct[],4,FALSE)</f>
        <v>75000</v>
      </c>
      <c r="P473">
        <v>2756.35</v>
      </c>
      <c r="Q473" s="19" t="str">
        <f t="shared" si="7"/>
        <v>Apr-2025</v>
      </c>
      <c r="R473" s="26">
        <f>DATE(YEAR(tblEnriched[[#This Row],[Date]]),MONTH(tblEnriched[[#This Row],[Date]]),1)</f>
        <v>45748</v>
      </c>
    </row>
    <row r="474" spans="1:18">
      <c r="A474" t="s">
        <v>1827</v>
      </c>
      <c r="B474" s="10">
        <v>44932</v>
      </c>
      <c r="C474" t="s">
        <v>1828</v>
      </c>
      <c r="D474" t="s">
        <v>47</v>
      </c>
      <c r="E474">
        <v>3</v>
      </c>
      <c r="F474" s="4">
        <v>508.12</v>
      </c>
      <c r="G474" t="s">
        <v>40</v>
      </c>
      <c r="H474" t="s">
        <v>41</v>
      </c>
      <c r="I474">
        <v>8</v>
      </c>
      <c r="J474" t="s">
        <v>43</v>
      </c>
      <c r="K474" t="s">
        <v>35</v>
      </c>
      <c r="L474" s="4">
        <v>1524.36</v>
      </c>
      <c r="M474" t="str">
        <f>VLOOKUP(D474,tblProduct[],2,FALSE)</f>
        <v>Furniture</v>
      </c>
      <c r="N474" t="str">
        <f>VLOOKUP(D474,tblProduct[],3,FALSE)</f>
        <v>Medium</v>
      </c>
      <c r="O474">
        <f>VLOOKUP(D474,tblProduct[],4,FALSE)</f>
        <v>70000</v>
      </c>
      <c r="P474">
        <v>1524.36</v>
      </c>
      <c r="Q474" s="19" t="str">
        <f t="shared" si="7"/>
        <v>Jan-2023</v>
      </c>
      <c r="R474" s="26">
        <f>DATE(YEAR(tblEnriched[[#This Row],[Date]]),MONTH(tblEnriched[[#This Row],[Date]]),1)</f>
        <v>44927</v>
      </c>
    </row>
    <row r="475" spans="1:18">
      <c r="A475" t="s">
        <v>1831</v>
      </c>
      <c r="B475" s="10">
        <v>45713</v>
      </c>
      <c r="C475" t="s">
        <v>1832</v>
      </c>
      <c r="D475" t="s">
        <v>47</v>
      </c>
      <c r="E475">
        <v>2</v>
      </c>
      <c r="F475" s="4">
        <v>14.93</v>
      </c>
      <c r="G475" t="s">
        <v>33</v>
      </c>
      <c r="H475" t="s">
        <v>25</v>
      </c>
      <c r="I475">
        <v>4</v>
      </c>
      <c r="K475" t="s">
        <v>51</v>
      </c>
      <c r="L475" s="4">
        <v>29.86</v>
      </c>
      <c r="M475" t="str">
        <f>VLOOKUP(D475,tblProduct[],2,FALSE)</f>
        <v>Furniture</v>
      </c>
      <c r="N475" t="str">
        <f>VLOOKUP(D475,tblProduct[],3,FALSE)</f>
        <v>Medium</v>
      </c>
      <c r="O475">
        <f>VLOOKUP(D475,tblProduct[],4,FALSE)</f>
        <v>70000</v>
      </c>
      <c r="P475">
        <v>29.86</v>
      </c>
      <c r="Q475" s="19" t="str">
        <f t="shared" si="7"/>
        <v>Feb-2025</v>
      </c>
      <c r="R475" s="26">
        <f>DATE(YEAR(tblEnriched[[#This Row],[Date]]),MONTH(tblEnriched[[#This Row],[Date]]),1)</f>
        <v>45689</v>
      </c>
    </row>
    <row r="476" spans="1:18">
      <c r="A476" t="s">
        <v>1835</v>
      </c>
      <c r="B476" s="10">
        <v>45245</v>
      </c>
      <c r="C476" t="s">
        <v>1836</v>
      </c>
      <c r="D476" t="s">
        <v>54</v>
      </c>
      <c r="E476">
        <v>3</v>
      </c>
      <c r="F476" s="4">
        <v>229.34</v>
      </c>
      <c r="G476" t="s">
        <v>40</v>
      </c>
      <c r="H476" t="s">
        <v>25</v>
      </c>
      <c r="I476">
        <v>6</v>
      </c>
      <c r="J476" t="s">
        <v>27</v>
      </c>
      <c r="K476" t="s">
        <v>35</v>
      </c>
      <c r="L476" s="4">
        <v>688.02</v>
      </c>
      <c r="M476" t="str">
        <f>VLOOKUP(D476,tblProduct[],2,FALSE)</f>
        <v>Electronics</v>
      </c>
      <c r="N476" t="str">
        <f>VLOOKUP(D476,tblProduct[],3,FALSE)</f>
        <v>Medium</v>
      </c>
      <c r="O476">
        <f>VLOOKUP(D476,tblProduct[],4,FALSE)</f>
        <v>80000</v>
      </c>
      <c r="P476">
        <v>688.02</v>
      </c>
      <c r="Q476" s="19" t="str">
        <f t="shared" si="7"/>
        <v>Nov-2023</v>
      </c>
      <c r="R476" s="26">
        <f>DATE(YEAR(tblEnriched[[#This Row],[Date]]),MONTH(tblEnriched[[#This Row],[Date]]),1)</f>
        <v>45231</v>
      </c>
    </row>
    <row r="477" spans="1:18">
      <c r="A477" t="s">
        <v>1838</v>
      </c>
      <c r="B477" s="10">
        <v>45766</v>
      </c>
      <c r="C477" t="s">
        <v>1839</v>
      </c>
      <c r="D477" t="s">
        <v>38</v>
      </c>
      <c r="E477">
        <v>2</v>
      </c>
      <c r="F477" s="4">
        <v>438.62</v>
      </c>
      <c r="G477" t="s">
        <v>71</v>
      </c>
      <c r="H477" t="s">
        <v>41</v>
      </c>
      <c r="I477">
        <v>3</v>
      </c>
      <c r="J477" t="s">
        <v>27</v>
      </c>
      <c r="K477" t="s">
        <v>51</v>
      </c>
      <c r="L477" s="4">
        <v>877.24</v>
      </c>
      <c r="M477" t="str">
        <f>VLOOKUP(D477,tblProduct[],2,FALSE)</f>
        <v>Electronics</v>
      </c>
      <c r="N477" t="str">
        <f>VLOOKUP(D477,tblProduct[],3,FALSE)</f>
        <v>Medium</v>
      </c>
      <c r="O477">
        <f>VLOOKUP(D477,tblProduct[],4,FALSE)</f>
        <v>100000</v>
      </c>
      <c r="P477">
        <v>877.24</v>
      </c>
      <c r="Q477" s="19" t="str">
        <f t="shared" si="7"/>
        <v>Apr-2025</v>
      </c>
      <c r="R477" s="26">
        <f>DATE(YEAR(tblEnriched[[#This Row],[Date]]),MONTH(tblEnriched[[#This Row],[Date]]),1)</f>
        <v>45748</v>
      </c>
    </row>
    <row r="478" spans="1:18">
      <c r="A478" t="s">
        <v>1842</v>
      </c>
      <c r="B478" s="10">
        <v>45306</v>
      </c>
      <c r="C478" t="s">
        <v>1843</v>
      </c>
      <c r="D478" t="s">
        <v>31</v>
      </c>
      <c r="E478">
        <v>2</v>
      </c>
      <c r="F478" s="4">
        <v>513.59</v>
      </c>
      <c r="G478" t="s">
        <v>33</v>
      </c>
      <c r="H478" t="s">
        <v>49</v>
      </c>
      <c r="I478">
        <v>4</v>
      </c>
      <c r="J478" t="s">
        <v>43</v>
      </c>
      <c r="K478" t="s">
        <v>35</v>
      </c>
      <c r="L478" s="4">
        <v>1027.18</v>
      </c>
      <c r="M478" t="str">
        <f>VLOOKUP(D478,tblProduct[],2,FALSE)</f>
        <v>Electronics</v>
      </c>
      <c r="N478" t="str">
        <f>VLOOKUP(D478,tblProduct[],3,FALSE)</f>
        <v>High</v>
      </c>
      <c r="O478">
        <f>VLOOKUP(D478,tblProduct[],4,FALSE)</f>
        <v>120000</v>
      </c>
      <c r="P478">
        <v>1027.18</v>
      </c>
      <c r="Q478" s="19" t="str">
        <f t="shared" si="7"/>
        <v>Jan-2024</v>
      </c>
      <c r="R478" s="26">
        <f>DATE(YEAR(tblEnriched[[#This Row],[Date]]),MONTH(tblEnriched[[#This Row],[Date]]),1)</f>
        <v>45292</v>
      </c>
    </row>
    <row r="479" spans="1:18">
      <c r="A479" t="s">
        <v>1846</v>
      </c>
      <c r="B479" s="10">
        <v>45721</v>
      </c>
      <c r="C479" t="s">
        <v>1847</v>
      </c>
      <c r="D479" t="s">
        <v>31</v>
      </c>
      <c r="E479">
        <v>2</v>
      </c>
      <c r="F479" s="4">
        <v>253.74</v>
      </c>
      <c r="G479" t="s">
        <v>33</v>
      </c>
      <c r="H479" t="s">
        <v>25</v>
      </c>
      <c r="I479">
        <v>5</v>
      </c>
      <c r="J479" t="s">
        <v>27</v>
      </c>
      <c r="K479" t="s">
        <v>82</v>
      </c>
      <c r="L479" s="4">
        <v>507.48</v>
      </c>
      <c r="M479" t="str">
        <f>VLOOKUP(D479,tblProduct[],2,FALSE)</f>
        <v>Electronics</v>
      </c>
      <c r="N479" t="str">
        <f>VLOOKUP(D479,tblProduct[],3,FALSE)</f>
        <v>High</v>
      </c>
      <c r="O479">
        <f>VLOOKUP(D479,tblProduct[],4,FALSE)</f>
        <v>120000</v>
      </c>
      <c r="P479">
        <v>507.48</v>
      </c>
      <c r="Q479" s="19" t="str">
        <f t="shared" si="7"/>
        <v>Mar-2025</v>
      </c>
      <c r="R479" s="26">
        <f>DATE(YEAR(tblEnriched[[#This Row],[Date]]),MONTH(tblEnriched[[#This Row],[Date]]),1)</f>
        <v>45717</v>
      </c>
    </row>
    <row r="480" spans="1:18">
      <c r="A480" t="s">
        <v>1850</v>
      </c>
      <c r="B480" s="10">
        <v>45597</v>
      </c>
      <c r="C480" t="s">
        <v>1851</v>
      </c>
      <c r="D480" t="s">
        <v>38</v>
      </c>
      <c r="E480">
        <v>3</v>
      </c>
      <c r="F480" s="4">
        <v>62.77</v>
      </c>
      <c r="G480" t="s">
        <v>66</v>
      </c>
      <c r="H480" t="s">
        <v>25</v>
      </c>
      <c r="I480">
        <v>6</v>
      </c>
      <c r="J480" t="s">
        <v>43</v>
      </c>
      <c r="K480" t="s">
        <v>35</v>
      </c>
      <c r="L480" s="4">
        <v>188.31</v>
      </c>
      <c r="M480" t="str">
        <f>VLOOKUP(D480,tblProduct[],2,FALSE)</f>
        <v>Electronics</v>
      </c>
      <c r="N480" t="str">
        <f>VLOOKUP(D480,tblProduct[],3,FALSE)</f>
        <v>Medium</v>
      </c>
      <c r="O480">
        <f>VLOOKUP(D480,tblProduct[],4,FALSE)</f>
        <v>100000</v>
      </c>
      <c r="P480">
        <v>188.31</v>
      </c>
      <c r="Q480" s="19" t="str">
        <f t="shared" si="7"/>
        <v>Nov-2024</v>
      </c>
      <c r="R480" s="26">
        <f>DATE(YEAR(tblEnriched[[#This Row],[Date]]),MONTH(tblEnriched[[#This Row],[Date]]),1)</f>
        <v>45597</v>
      </c>
    </row>
    <row r="481" spans="1:18">
      <c r="A481" t="s">
        <v>1853</v>
      </c>
      <c r="B481" s="10">
        <v>44975</v>
      </c>
      <c r="C481" t="s">
        <v>1854</v>
      </c>
      <c r="D481" t="s">
        <v>22</v>
      </c>
      <c r="E481">
        <v>4</v>
      </c>
      <c r="F481" s="4">
        <v>25.29</v>
      </c>
      <c r="G481" t="s">
        <v>40</v>
      </c>
      <c r="H481" t="s">
        <v>95</v>
      </c>
      <c r="I481">
        <v>8</v>
      </c>
      <c r="K481" t="s">
        <v>82</v>
      </c>
      <c r="L481" s="4">
        <v>101.16</v>
      </c>
      <c r="M481" t="str">
        <f>VLOOKUP(D481,tblProduct[],2,FALSE)</f>
        <v>Electronics</v>
      </c>
      <c r="N481" t="str">
        <f>VLOOKUP(D481,tblProduct[],3,FALSE)</f>
        <v>Medium</v>
      </c>
      <c r="O481">
        <f>VLOOKUP(D481,tblProduct[],4,FALSE)</f>
        <v>90000</v>
      </c>
      <c r="P481">
        <v>101.16</v>
      </c>
      <c r="Q481" s="19" t="str">
        <f t="shared" si="7"/>
        <v>Feb-2023</v>
      </c>
      <c r="R481" s="26">
        <f>DATE(YEAR(tblEnriched[[#This Row],[Date]]),MONTH(tblEnriched[[#This Row],[Date]]),1)</f>
        <v>44958</v>
      </c>
    </row>
    <row r="482" spans="1:18">
      <c r="A482" t="s">
        <v>1857</v>
      </c>
      <c r="B482" s="10">
        <v>45093</v>
      </c>
      <c r="C482" t="s">
        <v>1858</v>
      </c>
      <c r="D482" t="s">
        <v>47</v>
      </c>
      <c r="E482">
        <v>1</v>
      </c>
      <c r="F482" s="4">
        <v>335.1</v>
      </c>
      <c r="G482" t="s">
        <v>24</v>
      </c>
      <c r="H482" t="s">
        <v>95</v>
      </c>
      <c r="I482">
        <v>6</v>
      </c>
      <c r="J482" t="s">
        <v>43</v>
      </c>
      <c r="K482" t="s">
        <v>35</v>
      </c>
      <c r="L482" s="4">
        <v>335.1</v>
      </c>
      <c r="M482" t="str">
        <f>VLOOKUP(D482,tblProduct[],2,FALSE)</f>
        <v>Furniture</v>
      </c>
      <c r="N482" t="str">
        <f>VLOOKUP(D482,tblProduct[],3,FALSE)</f>
        <v>Medium</v>
      </c>
      <c r="O482">
        <f>VLOOKUP(D482,tblProduct[],4,FALSE)</f>
        <v>70000</v>
      </c>
      <c r="P482">
        <v>335.1</v>
      </c>
      <c r="Q482" s="19" t="str">
        <f t="shared" si="7"/>
        <v>Jun-2023</v>
      </c>
      <c r="R482" s="26">
        <f>DATE(YEAR(tblEnriched[[#This Row],[Date]]),MONTH(tblEnriched[[#This Row],[Date]]),1)</f>
        <v>45078</v>
      </c>
    </row>
    <row r="483" spans="1:18">
      <c r="A483" t="s">
        <v>1860</v>
      </c>
      <c r="B483" s="10">
        <v>45039</v>
      </c>
      <c r="C483" t="s">
        <v>1861</v>
      </c>
      <c r="D483" t="s">
        <v>64</v>
      </c>
      <c r="E483">
        <v>4</v>
      </c>
      <c r="F483" s="4">
        <v>484.85</v>
      </c>
      <c r="G483" t="s">
        <v>24</v>
      </c>
      <c r="H483" t="s">
        <v>56</v>
      </c>
      <c r="I483">
        <v>5</v>
      </c>
      <c r="J483" t="s">
        <v>87</v>
      </c>
      <c r="K483" t="s">
        <v>35</v>
      </c>
      <c r="L483" s="4">
        <v>1939.4</v>
      </c>
      <c r="M483" t="str">
        <f>VLOOKUP(D483,tblProduct[],2,FALSE)</f>
        <v>Electronics</v>
      </c>
      <c r="N483" t="str">
        <f>VLOOKUP(D483,tblProduct[],3,FALSE)</f>
        <v>High</v>
      </c>
      <c r="O483">
        <f>VLOOKUP(D483,tblProduct[],4,FALSE)</f>
        <v>150000</v>
      </c>
      <c r="P483">
        <v>1939.4</v>
      </c>
      <c r="Q483" s="19" t="str">
        <f t="shared" si="7"/>
        <v>Apr-2023</v>
      </c>
      <c r="R483" s="26">
        <f>DATE(YEAR(tblEnriched[[#This Row],[Date]]),MONTH(tblEnriched[[#This Row],[Date]]),1)</f>
        <v>45017</v>
      </c>
    </row>
    <row r="484" spans="1:18">
      <c r="A484" t="s">
        <v>1863</v>
      </c>
      <c r="B484" s="10">
        <v>45718</v>
      </c>
      <c r="C484" t="s">
        <v>1864</v>
      </c>
      <c r="D484" t="s">
        <v>22</v>
      </c>
      <c r="E484">
        <v>3</v>
      </c>
      <c r="F484" s="4">
        <v>381.41</v>
      </c>
      <c r="G484" t="s">
        <v>33</v>
      </c>
      <c r="H484" t="s">
        <v>95</v>
      </c>
      <c r="I484">
        <v>6</v>
      </c>
      <c r="K484" t="s">
        <v>28</v>
      </c>
      <c r="L484" s="4">
        <v>1144.23</v>
      </c>
      <c r="M484" t="str">
        <f>VLOOKUP(D484,tblProduct[],2,FALSE)</f>
        <v>Electronics</v>
      </c>
      <c r="N484" t="str">
        <f>VLOOKUP(D484,tblProduct[],3,FALSE)</f>
        <v>Medium</v>
      </c>
      <c r="O484">
        <f>VLOOKUP(D484,tblProduct[],4,FALSE)</f>
        <v>90000</v>
      </c>
      <c r="P484">
        <v>1144.23</v>
      </c>
      <c r="Q484" s="19" t="str">
        <f t="shared" si="7"/>
        <v>Mar-2025</v>
      </c>
      <c r="R484" s="26">
        <f>DATE(YEAR(tblEnriched[[#This Row],[Date]]),MONTH(tblEnriched[[#This Row],[Date]]),1)</f>
        <v>45717</v>
      </c>
    </row>
    <row r="485" spans="1:18">
      <c r="A485" t="s">
        <v>1866</v>
      </c>
      <c r="B485" s="10">
        <v>44944</v>
      </c>
      <c r="C485" t="s">
        <v>1867</v>
      </c>
      <c r="D485" t="s">
        <v>31</v>
      </c>
      <c r="E485">
        <v>5</v>
      </c>
      <c r="F485" s="4">
        <v>347.92</v>
      </c>
      <c r="G485" t="s">
        <v>71</v>
      </c>
      <c r="H485" t="s">
        <v>95</v>
      </c>
      <c r="I485">
        <v>6</v>
      </c>
      <c r="J485" t="s">
        <v>87</v>
      </c>
      <c r="K485" t="s">
        <v>82</v>
      </c>
      <c r="L485" s="4">
        <v>1739.6</v>
      </c>
      <c r="M485" t="str">
        <f>VLOOKUP(D485,tblProduct[],2,FALSE)</f>
        <v>Electronics</v>
      </c>
      <c r="N485" t="str">
        <f>VLOOKUP(D485,tblProduct[],3,FALSE)</f>
        <v>High</v>
      </c>
      <c r="O485">
        <f>VLOOKUP(D485,tblProduct[],4,FALSE)</f>
        <v>120000</v>
      </c>
      <c r="P485">
        <v>1739.6</v>
      </c>
      <c r="Q485" s="19" t="str">
        <f t="shared" si="7"/>
        <v>Jan-2023</v>
      </c>
      <c r="R485" s="26">
        <f>DATE(YEAR(tblEnriched[[#This Row],[Date]]),MONTH(tblEnriched[[#This Row],[Date]]),1)</f>
        <v>44927</v>
      </c>
    </row>
    <row r="486" spans="1:18">
      <c r="A486" t="s">
        <v>1870</v>
      </c>
      <c r="B486" s="10">
        <v>45441</v>
      </c>
      <c r="C486" t="s">
        <v>1871</v>
      </c>
      <c r="D486" t="s">
        <v>47</v>
      </c>
      <c r="E486">
        <v>4</v>
      </c>
      <c r="F486" s="4">
        <v>15.01</v>
      </c>
      <c r="G486" t="s">
        <v>71</v>
      </c>
      <c r="H486" t="s">
        <v>41</v>
      </c>
      <c r="I486">
        <v>6</v>
      </c>
      <c r="K486" t="s">
        <v>51</v>
      </c>
      <c r="L486" s="4">
        <v>60.04</v>
      </c>
      <c r="M486" t="str">
        <f>VLOOKUP(D486,tblProduct[],2,FALSE)</f>
        <v>Furniture</v>
      </c>
      <c r="N486" t="str">
        <f>VLOOKUP(D486,tblProduct[],3,FALSE)</f>
        <v>Medium</v>
      </c>
      <c r="O486">
        <f>VLOOKUP(D486,tblProduct[],4,FALSE)</f>
        <v>70000</v>
      </c>
      <c r="P486">
        <v>60.04</v>
      </c>
      <c r="Q486" s="19" t="str">
        <f t="shared" si="7"/>
        <v>May-2024</v>
      </c>
      <c r="R486" s="26">
        <f>DATE(YEAR(tblEnriched[[#This Row],[Date]]),MONTH(tblEnriched[[#This Row],[Date]]),1)</f>
        <v>45413</v>
      </c>
    </row>
    <row r="487" spans="1:18">
      <c r="A487" t="s">
        <v>1873</v>
      </c>
      <c r="B487" s="10">
        <v>45139</v>
      </c>
      <c r="C487" t="s">
        <v>1874</v>
      </c>
      <c r="D487" t="s">
        <v>47</v>
      </c>
      <c r="E487">
        <v>3</v>
      </c>
      <c r="F487" s="4">
        <v>404.79</v>
      </c>
      <c r="G487" t="s">
        <v>71</v>
      </c>
      <c r="H487" t="s">
        <v>25</v>
      </c>
      <c r="I487">
        <v>6</v>
      </c>
      <c r="J487" t="s">
        <v>27</v>
      </c>
      <c r="K487" t="s">
        <v>28</v>
      </c>
      <c r="L487" s="4">
        <v>1214.3699999999999</v>
      </c>
      <c r="M487" t="str">
        <f>VLOOKUP(D487,tblProduct[],2,FALSE)</f>
        <v>Furniture</v>
      </c>
      <c r="N487" t="str">
        <f>VLOOKUP(D487,tblProduct[],3,FALSE)</f>
        <v>Medium</v>
      </c>
      <c r="O487">
        <f>VLOOKUP(D487,tblProduct[],4,FALSE)</f>
        <v>70000</v>
      </c>
      <c r="P487">
        <v>1214.3699999999999</v>
      </c>
      <c r="Q487" s="19" t="str">
        <f t="shared" si="7"/>
        <v>Aug-2023</v>
      </c>
      <c r="R487" s="26">
        <f>DATE(YEAR(tblEnriched[[#This Row],[Date]]),MONTH(tblEnriched[[#This Row],[Date]]),1)</f>
        <v>45139</v>
      </c>
    </row>
    <row r="488" spans="1:18">
      <c r="A488" t="s">
        <v>1877</v>
      </c>
      <c r="B488" s="10">
        <v>44960</v>
      </c>
      <c r="C488" t="s">
        <v>1878</v>
      </c>
      <c r="D488" t="s">
        <v>54</v>
      </c>
      <c r="E488">
        <v>4</v>
      </c>
      <c r="F488" s="4">
        <v>611.26</v>
      </c>
      <c r="G488" t="s">
        <v>71</v>
      </c>
      <c r="H488" t="s">
        <v>25</v>
      </c>
      <c r="I488">
        <v>5</v>
      </c>
      <c r="J488" t="s">
        <v>27</v>
      </c>
      <c r="K488" t="s">
        <v>35</v>
      </c>
      <c r="L488" s="4">
        <v>2445.04</v>
      </c>
      <c r="M488" t="str">
        <f>VLOOKUP(D488,tblProduct[],2,FALSE)</f>
        <v>Electronics</v>
      </c>
      <c r="N488" t="str">
        <f>VLOOKUP(D488,tblProduct[],3,FALSE)</f>
        <v>Medium</v>
      </c>
      <c r="O488">
        <f>VLOOKUP(D488,tblProduct[],4,FALSE)</f>
        <v>80000</v>
      </c>
      <c r="P488">
        <v>2445.04</v>
      </c>
      <c r="Q488" s="19" t="str">
        <f t="shared" si="7"/>
        <v>Feb-2023</v>
      </c>
      <c r="R488" s="26">
        <f>DATE(YEAR(tblEnriched[[#This Row],[Date]]),MONTH(tblEnriched[[#This Row],[Date]]),1)</f>
        <v>44958</v>
      </c>
    </row>
    <row r="489" spans="1:18">
      <c r="A489" t="s">
        <v>1880</v>
      </c>
      <c r="B489" s="10">
        <v>44994</v>
      </c>
      <c r="C489" t="s">
        <v>1881</v>
      </c>
      <c r="D489" t="s">
        <v>54</v>
      </c>
      <c r="E489">
        <v>3</v>
      </c>
      <c r="F489" s="4">
        <v>346.52</v>
      </c>
      <c r="G489" t="s">
        <v>40</v>
      </c>
      <c r="H489" t="s">
        <v>95</v>
      </c>
      <c r="I489">
        <v>3</v>
      </c>
      <c r="J489" t="s">
        <v>27</v>
      </c>
      <c r="K489" t="s">
        <v>82</v>
      </c>
      <c r="L489" s="4">
        <v>1039.56</v>
      </c>
      <c r="M489" t="str">
        <f>VLOOKUP(D489,tblProduct[],2,FALSE)</f>
        <v>Electronics</v>
      </c>
      <c r="N489" t="str">
        <f>VLOOKUP(D489,tblProduct[],3,FALSE)</f>
        <v>Medium</v>
      </c>
      <c r="O489">
        <f>VLOOKUP(D489,tblProduct[],4,FALSE)</f>
        <v>80000</v>
      </c>
      <c r="P489">
        <v>1039.56</v>
      </c>
      <c r="Q489" s="19" t="str">
        <f t="shared" si="7"/>
        <v>Mar-2023</v>
      </c>
      <c r="R489" s="26">
        <f>DATE(YEAR(tblEnriched[[#This Row],[Date]]),MONTH(tblEnriched[[#This Row],[Date]]),1)</f>
        <v>44986</v>
      </c>
    </row>
    <row r="490" spans="1:18">
      <c r="A490" t="s">
        <v>1884</v>
      </c>
      <c r="B490" s="10">
        <v>45631</v>
      </c>
      <c r="C490" t="s">
        <v>1885</v>
      </c>
      <c r="D490" t="s">
        <v>47</v>
      </c>
      <c r="E490">
        <v>1</v>
      </c>
      <c r="F490" s="4">
        <v>36.65</v>
      </c>
      <c r="G490" t="s">
        <v>33</v>
      </c>
      <c r="H490" t="s">
        <v>41</v>
      </c>
      <c r="I490">
        <v>1</v>
      </c>
      <c r="J490" t="s">
        <v>87</v>
      </c>
      <c r="K490" t="s">
        <v>44</v>
      </c>
      <c r="L490" s="4">
        <v>36.65</v>
      </c>
      <c r="M490" t="str">
        <f>VLOOKUP(D490,tblProduct[],2,FALSE)</f>
        <v>Furniture</v>
      </c>
      <c r="N490" t="str">
        <f>VLOOKUP(D490,tblProduct[],3,FALSE)</f>
        <v>Medium</v>
      </c>
      <c r="O490">
        <f>VLOOKUP(D490,tblProduct[],4,FALSE)</f>
        <v>70000</v>
      </c>
      <c r="P490">
        <v>36.65</v>
      </c>
      <c r="Q490" s="19" t="str">
        <f t="shared" si="7"/>
        <v>Dec-2024</v>
      </c>
      <c r="R490" s="26">
        <f>DATE(YEAR(tblEnriched[[#This Row],[Date]]),MONTH(tblEnriched[[#This Row],[Date]]),1)</f>
        <v>45627</v>
      </c>
    </row>
    <row r="491" spans="1:18">
      <c r="A491" t="s">
        <v>1888</v>
      </c>
      <c r="B491" s="10">
        <v>45174</v>
      </c>
      <c r="C491" t="s">
        <v>1889</v>
      </c>
      <c r="D491" t="s">
        <v>38</v>
      </c>
      <c r="E491">
        <v>3</v>
      </c>
      <c r="F491" s="4">
        <v>149.34</v>
      </c>
      <c r="G491" t="s">
        <v>66</v>
      </c>
      <c r="H491" t="s">
        <v>41</v>
      </c>
      <c r="I491">
        <v>7</v>
      </c>
      <c r="J491" t="s">
        <v>87</v>
      </c>
      <c r="K491" t="s">
        <v>44</v>
      </c>
      <c r="L491" s="4">
        <v>448.02</v>
      </c>
      <c r="M491" t="str">
        <f>VLOOKUP(D491,tblProduct[],2,FALSE)</f>
        <v>Electronics</v>
      </c>
      <c r="N491" t="str">
        <f>VLOOKUP(D491,tblProduct[],3,FALSE)</f>
        <v>Medium</v>
      </c>
      <c r="O491">
        <f>VLOOKUP(D491,tblProduct[],4,FALSE)</f>
        <v>100000</v>
      </c>
      <c r="P491">
        <v>448.02</v>
      </c>
      <c r="Q491" s="19" t="str">
        <f t="shared" si="7"/>
        <v>Sep-2023</v>
      </c>
      <c r="R491" s="26">
        <f>DATE(YEAR(tblEnriched[[#This Row],[Date]]),MONTH(tblEnriched[[#This Row],[Date]]),1)</f>
        <v>45170</v>
      </c>
    </row>
    <row r="492" spans="1:18">
      <c r="A492" t="s">
        <v>1891</v>
      </c>
      <c r="B492" s="10">
        <v>45495</v>
      </c>
      <c r="C492" t="s">
        <v>1892</v>
      </c>
      <c r="D492" t="s">
        <v>47</v>
      </c>
      <c r="E492">
        <v>5</v>
      </c>
      <c r="F492" s="4">
        <v>467.81</v>
      </c>
      <c r="G492" t="s">
        <v>33</v>
      </c>
      <c r="H492" t="s">
        <v>41</v>
      </c>
      <c r="I492">
        <v>10</v>
      </c>
      <c r="K492" t="s">
        <v>51</v>
      </c>
      <c r="L492" s="4">
        <v>2339.0500000000002</v>
      </c>
      <c r="M492" t="str">
        <f>VLOOKUP(D492,tblProduct[],2,FALSE)</f>
        <v>Furniture</v>
      </c>
      <c r="N492" t="str">
        <f>VLOOKUP(D492,tblProduct[],3,FALSE)</f>
        <v>Medium</v>
      </c>
      <c r="O492">
        <f>VLOOKUP(D492,tblProduct[],4,FALSE)</f>
        <v>70000</v>
      </c>
      <c r="P492">
        <v>2339.0500000000002</v>
      </c>
      <c r="Q492" s="19" t="str">
        <f t="shared" si="7"/>
        <v>Jul-2024</v>
      </c>
      <c r="R492" s="26">
        <f>DATE(YEAR(tblEnriched[[#This Row],[Date]]),MONTH(tblEnriched[[#This Row],[Date]]),1)</f>
        <v>45474</v>
      </c>
    </row>
    <row r="493" spans="1:18">
      <c r="A493" t="s">
        <v>1895</v>
      </c>
      <c r="B493" s="10">
        <v>44931</v>
      </c>
      <c r="C493" t="s">
        <v>1896</v>
      </c>
      <c r="D493" t="s">
        <v>31</v>
      </c>
      <c r="E493">
        <v>5</v>
      </c>
      <c r="F493" s="4">
        <v>420.7</v>
      </c>
      <c r="G493" t="s">
        <v>71</v>
      </c>
      <c r="H493" t="s">
        <v>95</v>
      </c>
      <c r="I493">
        <v>5</v>
      </c>
      <c r="J493" t="s">
        <v>87</v>
      </c>
      <c r="K493" t="s">
        <v>51</v>
      </c>
      <c r="L493" s="4">
        <v>2103.5</v>
      </c>
      <c r="M493" t="str">
        <f>VLOOKUP(D493,tblProduct[],2,FALSE)</f>
        <v>Electronics</v>
      </c>
      <c r="N493" t="str">
        <f>VLOOKUP(D493,tblProduct[],3,FALSE)</f>
        <v>High</v>
      </c>
      <c r="O493">
        <f>VLOOKUP(D493,tblProduct[],4,FALSE)</f>
        <v>120000</v>
      </c>
      <c r="P493">
        <v>2103.5</v>
      </c>
      <c r="Q493" s="19" t="str">
        <f t="shared" si="7"/>
        <v>Jan-2023</v>
      </c>
      <c r="R493" s="26">
        <f>DATE(YEAR(tblEnriched[[#This Row],[Date]]),MONTH(tblEnriched[[#This Row],[Date]]),1)</f>
        <v>44927</v>
      </c>
    </row>
    <row r="494" spans="1:18">
      <c r="A494" t="s">
        <v>1898</v>
      </c>
      <c r="B494" s="10">
        <v>45224</v>
      </c>
      <c r="C494" t="s">
        <v>1899</v>
      </c>
      <c r="D494" t="s">
        <v>64</v>
      </c>
      <c r="E494">
        <v>5</v>
      </c>
      <c r="F494" s="4">
        <v>606.52</v>
      </c>
      <c r="G494" t="s">
        <v>24</v>
      </c>
      <c r="H494" t="s">
        <v>25</v>
      </c>
      <c r="I494">
        <v>6</v>
      </c>
      <c r="J494" t="s">
        <v>27</v>
      </c>
      <c r="K494" t="s">
        <v>28</v>
      </c>
      <c r="L494" s="4">
        <v>3032.6</v>
      </c>
      <c r="M494" t="str">
        <f>VLOOKUP(D494,tblProduct[],2,FALSE)</f>
        <v>Electronics</v>
      </c>
      <c r="N494" t="str">
        <f>VLOOKUP(D494,tblProduct[],3,FALSE)</f>
        <v>High</v>
      </c>
      <c r="O494">
        <f>VLOOKUP(D494,tblProduct[],4,FALSE)</f>
        <v>150000</v>
      </c>
      <c r="P494">
        <v>3032.6</v>
      </c>
      <c r="Q494" s="19" t="str">
        <f t="shared" si="7"/>
        <v>Oct-2023</v>
      </c>
      <c r="R494" s="26">
        <f>DATE(YEAR(tblEnriched[[#This Row],[Date]]),MONTH(tblEnriched[[#This Row],[Date]]),1)</f>
        <v>45200</v>
      </c>
    </row>
    <row r="495" spans="1:18">
      <c r="A495" t="s">
        <v>1901</v>
      </c>
      <c r="B495" s="10">
        <v>45685</v>
      </c>
      <c r="C495" t="s">
        <v>1902</v>
      </c>
      <c r="D495" t="s">
        <v>31</v>
      </c>
      <c r="E495">
        <v>1</v>
      </c>
      <c r="F495" s="4">
        <v>420.26</v>
      </c>
      <c r="G495" t="s">
        <v>40</v>
      </c>
      <c r="H495" t="s">
        <v>95</v>
      </c>
      <c r="I495">
        <v>4</v>
      </c>
      <c r="J495" t="s">
        <v>43</v>
      </c>
      <c r="K495" t="s">
        <v>51</v>
      </c>
      <c r="L495" s="4">
        <v>420.26</v>
      </c>
      <c r="M495" t="str">
        <f>VLOOKUP(D495,tblProduct[],2,FALSE)</f>
        <v>Electronics</v>
      </c>
      <c r="N495" t="str">
        <f>VLOOKUP(D495,tblProduct[],3,FALSE)</f>
        <v>High</v>
      </c>
      <c r="O495">
        <f>VLOOKUP(D495,tblProduct[],4,FALSE)</f>
        <v>120000</v>
      </c>
      <c r="P495">
        <v>420.26</v>
      </c>
      <c r="Q495" s="19" t="str">
        <f t="shared" si="7"/>
        <v>Jan-2025</v>
      </c>
      <c r="R495" s="26">
        <f>DATE(YEAR(tblEnriched[[#This Row],[Date]]),MONTH(tblEnriched[[#This Row],[Date]]),1)</f>
        <v>45658</v>
      </c>
    </row>
    <row r="496" spans="1:18">
      <c r="A496" t="s">
        <v>1905</v>
      </c>
      <c r="B496" s="10">
        <v>45126</v>
      </c>
      <c r="C496" t="s">
        <v>1906</v>
      </c>
      <c r="D496" t="s">
        <v>64</v>
      </c>
      <c r="E496">
        <v>3</v>
      </c>
      <c r="F496" s="4">
        <v>505.79</v>
      </c>
      <c r="G496" t="s">
        <v>24</v>
      </c>
      <c r="H496" t="s">
        <v>95</v>
      </c>
      <c r="I496">
        <v>3</v>
      </c>
      <c r="J496" t="s">
        <v>43</v>
      </c>
      <c r="K496" t="s">
        <v>35</v>
      </c>
      <c r="L496" s="4">
        <v>1517.37</v>
      </c>
      <c r="M496" t="str">
        <f>VLOOKUP(D496,tblProduct[],2,FALSE)</f>
        <v>Electronics</v>
      </c>
      <c r="N496" t="str">
        <f>VLOOKUP(D496,tblProduct[],3,FALSE)</f>
        <v>High</v>
      </c>
      <c r="O496">
        <f>VLOOKUP(D496,tblProduct[],4,FALSE)</f>
        <v>150000</v>
      </c>
      <c r="P496">
        <v>1517.37</v>
      </c>
      <c r="Q496" s="19" t="str">
        <f t="shared" si="7"/>
        <v>Jul-2023</v>
      </c>
      <c r="R496" s="26">
        <f>DATE(YEAR(tblEnriched[[#This Row],[Date]]),MONTH(tblEnriched[[#This Row],[Date]]),1)</f>
        <v>45108</v>
      </c>
    </row>
    <row r="497" spans="1:18">
      <c r="A497" t="s">
        <v>1909</v>
      </c>
      <c r="B497" s="10">
        <v>45813</v>
      </c>
      <c r="C497" t="s">
        <v>1910</v>
      </c>
      <c r="D497" t="s">
        <v>31</v>
      </c>
      <c r="E497">
        <v>4</v>
      </c>
      <c r="F497" s="4">
        <v>493.73</v>
      </c>
      <c r="G497" t="s">
        <v>24</v>
      </c>
      <c r="H497" t="s">
        <v>95</v>
      </c>
      <c r="I497">
        <v>6</v>
      </c>
      <c r="J497" t="s">
        <v>27</v>
      </c>
      <c r="K497" t="s">
        <v>51</v>
      </c>
      <c r="L497" s="4">
        <v>1974.92</v>
      </c>
      <c r="M497" t="str">
        <f>VLOOKUP(D497,tblProduct[],2,FALSE)</f>
        <v>Electronics</v>
      </c>
      <c r="N497" t="str">
        <f>VLOOKUP(D497,tblProduct[],3,FALSE)</f>
        <v>High</v>
      </c>
      <c r="O497">
        <f>VLOOKUP(D497,tblProduct[],4,FALSE)</f>
        <v>120000</v>
      </c>
      <c r="P497">
        <v>1974.92</v>
      </c>
      <c r="Q497" s="19" t="str">
        <f t="shared" si="7"/>
        <v>Jun-2025</v>
      </c>
      <c r="R497" s="26">
        <f>DATE(YEAR(tblEnriched[[#This Row],[Date]]),MONTH(tblEnriched[[#This Row],[Date]]),1)</f>
        <v>45809</v>
      </c>
    </row>
    <row r="498" spans="1:18">
      <c r="A498" t="s">
        <v>1912</v>
      </c>
      <c r="B498" s="10">
        <v>45730</v>
      </c>
      <c r="C498" t="s">
        <v>1913</v>
      </c>
      <c r="D498" t="s">
        <v>54</v>
      </c>
      <c r="E498">
        <v>3</v>
      </c>
      <c r="F498" s="4">
        <v>201.21</v>
      </c>
      <c r="G498" t="s">
        <v>33</v>
      </c>
      <c r="H498" t="s">
        <v>41</v>
      </c>
      <c r="I498">
        <v>3</v>
      </c>
      <c r="J498" t="s">
        <v>27</v>
      </c>
      <c r="K498" t="s">
        <v>82</v>
      </c>
      <c r="L498" s="4">
        <v>603.63</v>
      </c>
      <c r="M498" t="str">
        <f>VLOOKUP(D498,tblProduct[],2,FALSE)</f>
        <v>Electronics</v>
      </c>
      <c r="N498" t="str">
        <f>VLOOKUP(D498,tblProduct[],3,FALSE)</f>
        <v>Medium</v>
      </c>
      <c r="O498">
        <f>VLOOKUP(D498,tblProduct[],4,FALSE)</f>
        <v>80000</v>
      </c>
      <c r="P498">
        <v>603.63</v>
      </c>
      <c r="Q498" s="19" t="str">
        <f t="shared" si="7"/>
        <v>Mar-2025</v>
      </c>
      <c r="R498" s="26">
        <f>DATE(YEAR(tblEnriched[[#This Row],[Date]]),MONTH(tblEnriched[[#This Row],[Date]]),1)</f>
        <v>45717</v>
      </c>
    </row>
    <row r="499" spans="1:18">
      <c r="A499" t="s">
        <v>1916</v>
      </c>
      <c r="B499" s="10">
        <v>45589</v>
      </c>
      <c r="C499" t="s">
        <v>1917</v>
      </c>
      <c r="D499" t="s">
        <v>54</v>
      </c>
      <c r="E499">
        <v>3</v>
      </c>
      <c r="F499" s="4">
        <v>112.29</v>
      </c>
      <c r="G499" t="s">
        <v>66</v>
      </c>
      <c r="H499" t="s">
        <v>25</v>
      </c>
      <c r="I499">
        <v>6</v>
      </c>
      <c r="K499" t="s">
        <v>82</v>
      </c>
      <c r="L499" s="4">
        <v>336.87</v>
      </c>
      <c r="M499" t="str">
        <f>VLOOKUP(D499,tblProduct[],2,FALSE)</f>
        <v>Electronics</v>
      </c>
      <c r="N499" t="str">
        <f>VLOOKUP(D499,tblProduct[],3,FALSE)</f>
        <v>Medium</v>
      </c>
      <c r="O499">
        <f>VLOOKUP(D499,tblProduct[],4,FALSE)</f>
        <v>80000</v>
      </c>
      <c r="P499">
        <v>336.87</v>
      </c>
      <c r="Q499" s="19" t="str">
        <f t="shared" si="7"/>
        <v>Oct-2024</v>
      </c>
      <c r="R499" s="26">
        <f>DATE(YEAR(tblEnriched[[#This Row],[Date]]),MONTH(tblEnriched[[#This Row],[Date]]),1)</f>
        <v>45566</v>
      </c>
    </row>
    <row r="500" spans="1:18">
      <c r="A500" t="s">
        <v>1920</v>
      </c>
      <c r="B500" s="10">
        <v>45119</v>
      </c>
      <c r="C500" t="s">
        <v>1921</v>
      </c>
      <c r="D500" t="s">
        <v>38</v>
      </c>
      <c r="E500">
        <v>4</v>
      </c>
      <c r="F500" s="4">
        <v>132.56</v>
      </c>
      <c r="G500" t="s">
        <v>71</v>
      </c>
      <c r="H500" t="s">
        <v>49</v>
      </c>
      <c r="I500">
        <v>8</v>
      </c>
      <c r="J500" t="s">
        <v>87</v>
      </c>
      <c r="K500" t="s">
        <v>28</v>
      </c>
      <c r="L500" s="4">
        <v>530.24</v>
      </c>
      <c r="M500" t="str">
        <f>VLOOKUP(D500,tblProduct[],2,FALSE)</f>
        <v>Electronics</v>
      </c>
      <c r="N500" t="str">
        <f>VLOOKUP(D500,tblProduct[],3,FALSE)</f>
        <v>Medium</v>
      </c>
      <c r="O500">
        <f>VLOOKUP(D500,tblProduct[],4,FALSE)</f>
        <v>100000</v>
      </c>
      <c r="P500">
        <v>530.24</v>
      </c>
      <c r="Q500" s="19" t="str">
        <f t="shared" si="7"/>
        <v>Jul-2023</v>
      </c>
      <c r="R500" s="26">
        <f>DATE(YEAR(tblEnriched[[#This Row],[Date]]),MONTH(tblEnriched[[#This Row],[Date]]),1)</f>
        <v>45108</v>
      </c>
    </row>
    <row r="501" spans="1:18">
      <c r="A501" t="s">
        <v>1923</v>
      </c>
      <c r="B501" s="10">
        <v>45022</v>
      </c>
      <c r="C501" t="s">
        <v>1924</v>
      </c>
      <c r="D501" t="s">
        <v>54</v>
      </c>
      <c r="E501">
        <v>3</v>
      </c>
      <c r="F501" s="4">
        <v>539.46</v>
      </c>
      <c r="G501" t="s">
        <v>40</v>
      </c>
      <c r="H501" t="s">
        <v>25</v>
      </c>
      <c r="I501">
        <v>4</v>
      </c>
      <c r="J501" t="s">
        <v>27</v>
      </c>
      <c r="K501" t="s">
        <v>51</v>
      </c>
      <c r="L501" s="4">
        <v>1618.38</v>
      </c>
      <c r="M501" t="str">
        <f>VLOOKUP(D501,tblProduct[],2,FALSE)</f>
        <v>Electronics</v>
      </c>
      <c r="N501" t="str">
        <f>VLOOKUP(D501,tblProduct[],3,FALSE)</f>
        <v>Medium</v>
      </c>
      <c r="O501">
        <f>VLOOKUP(D501,tblProduct[],4,FALSE)</f>
        <v>80000</v>
      </c>
      <c r="P501">
        <v>1618.38</v>
      </c>
      <c r="Q501" s="19" t="str">
        <f t="shared" si="7"/>
        <v>Apr-2023</v>
      </c>
      <c r="R501" s="26">
        <f>DATE(YEAR(tblEnriched[[#This Row],[Date]]),MONTH(tblEnriched[[#This Row],[Date]]),1)</f>
        <v>45017</v>
      </c>
    </row>
    <row r="502" spans="1:18">
      <c r="A502" t="s">
        <v>1927</v>
      </c>
      <c r="B502" s="10">
        <v>45389</v>
      </c>
      <c r="C502" t="s">
        <v>1928</v>
      </c>
      <c r="D502" t="s">
        <v>64</v>
      </c>
      <c r="E502">
        <v>5</v>
      </c>
      <c r="F502" s="4">
        <v>508.59</v>
      </c>
      <c r="G502" t="s">
        <v>71</v>
      </c>
      <c r="H502" t="s">
        <v>49</v>
      </c>
      <c r="I502">
        <v>8</v>
      </c>
      <c r="J502" t="s">
        <v>87</v>
      </c>
      <c r="K502" t="s">
        <v>51</v>
      </c>
      <c r="L502" s="4">
        <v>2542.9499999999998</v>
      </c>
      <c r="M502" t="str">
        <f>VLOOKUP(D502,tblProduct[],2,FALSE)</f>
        <v>Electronics</v>
      </c>
      <c r="N502" t="str">
        <f>VLOOKUP(D502,tblProduct[],3,FALSE)</f>
        <v>High</v>
      </c>
      <c r="O502">
        <f>VLOOKUP(D502,tblProduct[],4,FALSE)</f>
        <v>150000</v>
      </c>
      <c r="P502">
        <v>2542.9499999999998</v>
      </c>
      <c r="Q502" s="19" t="str">
        <f t="shared" si="7"/>
        <v>Apr-2024</v>
      </c>
      <c r="R502" s="26">
        <f>DATE(YEAR(tblEnriched[[#This Row],[Date]]),MONTH(tblEnriched[[#This Row],[Date]]),1)</f>
        <v>45383</v>
      </c>
    </row>
    <row r="503" spans="1:18">
      <c r="A503" t="s">
        <v>1931</v>
      </c>
      <c r="B503" s="10">
        <v>45326</v>
      </c>
      <c r="C503" t="s">
        <v>1932</v>
      </c>
      <c r="D503" t="s">
        <v>79</v>
      </c>
      <c r="E503">
        <v>4</v>
      </c>
      <c r="F503" s="4">
        <v>203.46</v>
      </c>
      <c r="G503" t="s">
        <v>40</v>
      </c>
      <c r="H503" t="s">
        <v>95</v>
      </c>
      <c r="I503">
        <v>7</v>
      </c>
      <c r="J503" t="s">
        <v>27</v>
      </c>
      <c r="K503" t="s">
        <v>35</v>
      </c>
      <c r="L503" s="4">
        <v>813.84</v>
      </c>
      <c r="M503" t="str">
        <f>VLOOKUP(D503,tblProduct[],2,FALSE)</f>
        <v>Furniture</v>
      </c>
      <c r="N503" t="str">
        <f>VLOOKUP(D503,tblProduct[],3,FALSE)</f>
        <v>High</v>
      </c>
      <c r="O503">
        <f>VLOOKUP(D503,tblProduct[],4,FALSE)</f>
        <v>75000</v>
      </c>
      <c r="P503">
        <v>813.84</v>
      </c>
      <c r="Q503" s="19" t="str">
        <f t="shared" si="7"/>
        <v>Feb-2024</v>
      </c>
      <c r="R503" s="26">
        <f>DATE(YEAR(tblEnriched[[#This Row],[Date]]),MONTH(tblEnriched[[#This Row],[Date]]),1)</f>
        <v>45323</v>
      </c>
    </row>
    <row r="504" spans="1:18">
      <c r="A504" t="s">
        <v>1934</v>
      </c>
      <c r="B504" s="10">
        <v>45066</v>
      </c>
      <c r="C504" t="s">
        <v>1935</v>
      </c>
      <c r="D504" t="s">
        <v>22</v>
      </c>
      <c r="E504">
        <v>3</v>
      </c>
      <c r="F504" s="4">
        <v>565.25</v>
      </c>
      <c r="G504" t="s">
        <v>24</v>
      </c>
      <c r="H504" t="s">
        <v>49</v>
      </c>
      <c r="I504">
        <v>7</v>
      </c>
      <c r="J504" t="s">
        <v>27</v>
      </c>
      <c r="K504" t="s">
        <v>44</v>
      </c>
      <c r="L504" s="4">
        <v>1695.75</v>
      </c>
      <c r="M504" t="str">
        <f>VLOOKUP(D504,tblProduct[],2,FALSE)</f>
        <v>Electronics</v>
      </c>
      <c r="N504" t="str">
        <f>VLOOKUP(D504,tblProduct[],3,FALSE)</f>
        <v>Medium</v>
      </c>
      <c r="O504">
        <f>VLOOKUP(D504,tblProduct[],4,FALSE)</f>
        <v>90000</v>
      </c>
      <c r="P504">
        <v>1695.75</v>
      </c>
      <c r="Q504" s="19" t="str">
        <f t="shared" si="7"/>
        <v>May-2023</v>
      </c>
      <c r="R504" s="26">
        <f>DATE(YEAR(tblEnriched[[#This Row],[Date]]),MONTH(tblEnriched[[#This Row],[Date]]),1)</f>
        <v>45047</v>
      </c>
    </row>
    <row r="505" spans="1:18">
      <c r="A505" t="s">
        <v>1938</v>
      </c>
      <c r="B505" s="10">
        <v>45169</v>
      </c>
      <c r="C505" t="s">
        <v>1939</v>
      </c>
      <c r="D505" t="s">
        <v>38</v>
      </c>
      <c r="E505">
        <v>3</v>
      </c>
      <c r="F505" s="4">
        <v>136.84</v>
      </c>
      <c r="G505" t="s">
        <v>33</v>
      </c>
      <c r="H505" t="s">
        <v>95</v>
      </c>
      <c r="I505">
        <v>4</v>
      </c>
      <c r="J505" t="s">
        <v>43</v>
      </c>
      <c r="K505" t="s">
        <v>51</v>
      </c>
      <c r="L505" s="4">
        <v>410.52</v>
      </c>
      <c r="M505" t="str">
        <f>VLOOKUP(D505,tblProduct[],2,FALSE)</f>
        <v>Electronics</v>
      </c>
      <c r="N505" t="str">
        <f>VLOOKUP(D505,tblProduct[],3,FALSE)</f>
        <v>Medium</v>
      </c>
      <c r="O505">
        <f>VLOOKUP(D505,tblProduct[],4,FALSE)</f>
        <v>100000</v>
      </c>
      <c r="P505">
        <v>410.52</v>
      </c>
      <c r="Q505" s="19" t="str">
        <f t="shared" si="7"/>
        <v>Aug-2023</v>
      </c>
      <c r="R505" s="26">
        <f>DATE(YEAR(tblEnriched[[#This Row],[Date]]),MONTH(tblEnriched[[#This Row],[Date]]),1)</f>
        <v>45139</v>
      </c>
    </row>
    <row r="506" spans="1:18">
      <c r="A506" t="s">
        <v>1942</v>
      </c>
      <c r="B506" s="10">
        <v>45819</v>
      </c>
      <c r="C506" t="s">
        <v>1943</v>
      </c>
      <c r="D506" t="s">
        <v>22</v>
      </c>
      <c r="E506">
        <v>2</v>
      </c>
      <c r="F506" s="4">
        <v>464.5</v>
      </c>
      <c r="G506" t="s">
        <v>33</v>
      </c>
      <c r="H506" t="s">
        <v>41</v>
      </c>
      <c r="I506">
        <v>2</v>
      </c>
      <c r="J506" t="s">
        <v>87</v>
      </c>
      <c r="K506" t="s">
        <v>28</v>
      </c>
      <c r="L506" s="4">
        <v>929</v>
      </c>
      <c r="M506" t="str">
        <f>VLOOKUP(D506,tblProduct[],2,FALSE)</f>
        <v>Electronics</v>
      </c>
      <c r="N506" t="str">
        <f>VLOOKUP(D506,tblProduct[],3,FALSE)</f>
        <v>Medium</v>
      </c>
      <c r="O506">
        <f>VLOOKUP(D506,tblProduct[],4,FALSE)</f>
        <v>90000</v>
      </c>
      <c r="P506">
        <v>929</v>
      </c>
      <c r="Q506" s="19" t="str">
        <f t="shared" si="7"/>
        <v>Jun-2025</v>
      </c>
      <c r="R506" s="26">
        <f>DATE(YEAR(tblEnriched[[#This Row],[Date]]),MONTH(tblEnriched[[#This Row],[Date]]),1)</f>
        <v>45809</v>
      </c>
    </row>
    <row r="507" spans="1:18">
      <c r="A507" t="s">
        <v>1946</v>
      </c>
      <c r="B507" s="10">
        <v>45088</v>
      </c>
      <c r="C507" t="s">
        <v>1947</v>
      </c>
      <c r="D507" t="s">
        <v>54</v>
      </c>
      <c r="E507">
        <v>2</v>
      </c>
      <c r="F507" s="4">
        <v>434.97</v>
      </c>
      <c r="G507" t="s">
        <v>33</v>
      </c>
      <c r="H507" t="s">
        <v>25</v>
      </c>
      <c r="I507">
        <v>7</v>
      </c>
      <c r="K507" t="s">
        <v>44</v>
      </c>
      <c r="L507" s="4">
        <v>869.94</v>
      </c>
      <c r="M507" t="str">
        <f>VLOOKUP(D507,tblProduct[],2,FALSE)</f>
        <v>Electronics</v>
      </c>
      <c r="N507" t="str">
        <f>VLOOKUP(D507,tblProduct[],3,FALSE)</f>
        <v>Medium</v>
      </c>
      <c r="O507">
        <f>VLOOKUP(D507,tblProduct[],4,FALSE)</f>
        <v>80000</v>
      </c>
      <c r="P507">
        <v>869.94</v>
      </c>
      <c r="Q507" s="19" t="str">
        <f t="shared" si="7"/>
        <v>Jun-2023</v>
      </c>
      <c r="R507" s="26">
        <f>DATE(YEAR(tblEnriched[[#This Row],[Date]]),MONTH(tblEnriched[[#This Row],[Date]]),1)</f>
        <v>45078</v>
      </c>
    </row>
    <row r="508" spans="1:18">
      <c r="A508" t="s">
        <v>1949</v>
      </c>
      <c r="B508" s="10">
        <v>45132</v>
      </c>
      <c r="C508" t="s">
        <v>1950</v>
      </c>
      <c r="D508" t="s">
        <v>22</v>
      </c>
      <c r="E508">
        <v>2</v>
      </c>
      <c r="F508" s="4">
        <v>43.67</v>
      </c>
      <c r="G508" t="s">
        <v>71</v>
      </c>
      <c r="H508" t="s">
        <v>49</v>
      </c>
      <c r="I508">
        <v>4</v>
      </c>
      <c r="J508" t="s">
        <v>87</v>
      </c>
      <c r="K508" t="s">
        <v>28</v>
      </c>
      <c r="L508" s="4">
        <v>87.34</v>
      </c>
      <c r="M508" t="str">
        <f>VLOOKUP(D508,tblProduct[],2,FALSE)</f>
        <v>Electronics</v>
      </c>
      <c r="N508" t="str">
        <f>VLOOKUP(D508,tblProduct[],3,FALSE)</f>
        <v>Medium</v>
      </c>
      <c r="O508">
        <f>VLOOKUP(D508,tblProduct[],4,FALSE)</f>
        <v>90000</v>
      </c>
      <c r="P508">
        <v>87.34</v>
      </c>
      <c r="Q508" s="19" t="str">
        <f t="shared" si="7"/>
        <v>Jul-2023</v>
      </c>
      <c r="R508" s="26">
        <f>DATE(YEAR(tblEnriched[[#This Row],[Date]]),MONTH(tblEnriched[[#This Row],[Date]]),1)</f>
        <v>45108</v>
      </c>
    </row>
    <row r="509" spans="1:18">
      <c r="A509" t="s">
        <v>1953</v>
      </c>
      <c r="B509" s="10">
        <v>45112</v>
      </c>
      <c r="C509" t="s">
        <v>1954</v>
      </c>
      <c r="D509" t="s">
        <v>31</v>
      </c>
      <c r="E509">
        <v>1</v>
      </c>
      <c r="F509" s="4">
        <v>171.59</v>
      </c>
      <c r="G509" t="s">
        <v>40</v>
      </c>
      <c r="H509" t="s">
        <v>95</v>
      </c>
      <c r="I509">
        <v>5</v>
      </c>
      <c r="J509" t="s">
        <v>87</v>
      </c>
      <c r="K509" t="s">
        <v>44</v>
      </c>
      <c r="L509" s="4">
        <v>171.59</v>
      </c>
      <c r="M509" t="str">
        <f>VLOOKUP(D509,tblProduct[],2,FALSE)</f>
        <v>Electronics</v>
      </c>
      <c r="N509" t="str">
        <f>VLOOKUP(D509,tblProduct[],3,FALSE)</f>
        <v>High</v>
      </c>
      <c r="O509">
        <f>VLOOKUP(D509,tblProduct[],4,FALSE)</f>
        <v>120000</v>
      </c>
      <c r="P509">
        <v>171.59</v>
      </c>
      <c r="Q509" s="19" t="str">
        <f t="shared" si="7"/>
        <v>Jul-2023</v>
      </c>
      <c r="R509" s="26">
        <f>DATE(YEAR(tblEnriched[[#This Row],[Date]]),MONTH(tblEnriched[[#This Row],[Date]]),1)</f>
        <v>45108</v>
      </c>
    </row>
    <row r="510" spans="1:18">
      <c r="A510" t="s">
        <v>1956</v>
      </c>
      <c r="B510" s="10">
        <v>45791</v>
      </c>
      <c r="C510" t="s">
        <v>1957</v>
      </c>
      <c r="D510" t="s">
        <v>31</v>
      </c>
      <c r="E510">
        <v>1</v>
      </c>
      <c r="F510" s="4">
        <v>558.27</v>
      </c>
      <c r="G510" t="s">
        <v>33</v>
      </c>
      <c r="H510" t="s">
        <v>56</v>
      </c>
      <c r="I510">
        <v>1</v>
      </c>
      <c r="K510" t="s">
        <v>35</v>
      </c>
      <c r="L510" s="4">
        <v>558.27</v>
      </c>
      <c r="M510" t="str">
        <f>VLOOKUP(D510,tblProduct[],2,FALSE)</f>
        <v>Electronics</v>
      </c>
      <c r="N510" t="str">
        <f>VLOOKUP(D510,tblProduct[],3,FALSE)</f>
        <v>High</v>
      </c>
      <c r="O510">
        <f>VLOOKUP(D510,tblProduct[],4,FALSE)</f>
        <v>120000</v>
      </c>
      <c r="P510">
        <v>558.27</v>
      </c>
      <c r="Q510" s="19" t="str">
        <f t="shared" si="7"/>
        <v>May-2025</v>
      </c>
      <c r="R510" s="26">
        <f>DATE(YEAR(tblEnriched[[#This Row],[Date]]),MONTH(tblEnriched[[#This Row],[Date]]),1)</f>
        <v>45778</v>
      </c>
    </row>
    <row r="511" spans="1:18">
      <c r="A511" t="s">
        <v>1960</v>
      </c>
      <c r="B511" s="10">
        <v>44972</v>
      </c>
      <c r="C511" t="s">
        <v>1961</v>
      </c>
      <c r="D511" t="s">
        <v>64</v>
      </c>
      <c r="E511">
        <v>2</v>
      </c>
      <c r="F511" s="4">
        <v>425.03</v>
      </c>
      <c r="G511" t="s">
        <v>71</v>
      </c>
      <c r="H511" t="s">
        <v>49</v>
      </c>
      <c r="I511">
        <v>2</v>
      </c>
      <c r="J511" t="s">
        <v>87</v>
      </c>
      <c r="K511" t="s">
        <v>82</v>
      </c>
      <c r="L511" s="4">
        <v>850.06</v>
      </c>
      <c r="M511" t="str">
        <f>VLOOKUP(D511,tblProduct[],2,FALSE)</f>
        <v>Electronics</v>
      </c>
      <c r="N511" t="str">
        <f>VLOOKUP(D511,tblProduct[],3,FALSE)</f>
        <v>High</v>
      </c>
      <c r="O511">
        <f>VLOOKUP(D511,tblProduct[],4,FALSE)</f>
        <v>150000</v>
      </c>
      <c r="P511">
        <v>850.06</v>
      </c>
      <c r="Q511" s="19" t="str">
        <f t="shared" si="7"/>
        <v>Feb-2023</v>
      </c>
      <c r="R511" s="26">
        <f>DATE(YEAR(tblEnriched[[#This Row],[Date]]),MONTH(tblEnriched[[#This Row],[Date]]),1)</f>
        <v>44958</v>
      </c>
    </row>
    <row r="512" spans="1:18">
      <c r="A512" t="s">
        <v>1964</v>
      </c>
      <c r="B512" s="10">
        <v>45642</v>
      </c>
      <c r="C512" t="s">
        <v>1965</v>
      </c>
      <c r="D512" t="s">
        <v>54</v>
      </c>
      <c r="E512">
        <v>1</v>
      </c>
      <c r="F512" s="4">
        <v>376.76</v>
      </c>
      <c r="G512" t="s">
        <v>24</v>
      </c>
      <c r="H512" t="s">
        <v>56</v>
      </c>
      <c r="I512">
        <v>5</v>
      </c>
      <c r="J512" t="s">
        <v>27</v>
      </c>
      <c r="K512" t="s">
        <v>44</v>
      </c>
      <c r="L512" s="4">
        <v>376.76</v>
      </c>
      <c r="M512" t="str">
        <f>VLOOKUP(D512,tblProduct[],2,FALSE)</f>
        <v>Electronics</v>
      </c>
      <c r="N512" t="str">
        <f>VLOOKUP(D512,tblProduct[],3,FALSE)</f>
        <v>Medium</v>
      </c>
      <c r="O512">
        <f>VLOOKUP(D512,tblProduct[],4,FALSE)</f>
        <v>80000</v>
      </c>
      <c r="P512">
        <v>376.76</v>
      </c>
      <c r="Q512" s="19" t="str">
        <f t="shared" si="7"/>
        <v>Dec-2024</v>
      </c>
      <c r="R512" s="26">
        <f>DATE(YEAR(tblEnriched[[#This Row],[Date]]),MONTH(tblEnriched[[#This Row],[Date]]),1)</f>
        <v>45627</v>
      </c>
    </row>
    <row r="513" spans="1:18">
      <c r="A513" t="s">
        <v>1968</v>
      </c>
      <c r="B513" s="10">
        <v>45366</v>
      </c>
      <c r="C513" t="s">
        <v>1969</v>
      </c>
      <c r="D513" t="s">
        <v>22</v>
      </c>
      <c r="E513">
        <v>5</v>
      </c>
      <c r="F513" s="4">
        <v>575.24</v>
      </c>
      <c r="G513" t="s">
        <v>71</v>
      </c>
      <c r="H513" t="s">
        <v>56</v>
      </c>
      <c r="I513">
        <v>7</v>
      </c>
      <c r="J513" t="s">
        <v>87</v>
      </c>
      <c r="K513" t="s">
        <v>44</v>
      </c>
      <c r="L513" s="4">
        <v>2876.2</v>
      </c>
      <c r="M513" t="str">
        <f>VLOOKUP(D513,tblProduct[],2,FALSE)</f>
        <v>Electronics</v>
      </c>
      <c r="N513" t="str">
        <f>VLOOKUP(D513,tblProduct[],3,FALSE)</f>
        <v>Medium</v>
      </c>
      <c r="O513">
        <f>VLOOKUP(D513,tblProduct[],4,FALSE)</f>
        <v>90000</v>
      </c>
      <c r="P513">
        <v>2876.2</v>
      </c>
      <c r="Q513" s="19" t="str">
        <f t="shared" si="7"/>
        <v>Mar-2024</v>
      </c>
      <c r="R513" s="26">
        <f>DATE(YEAR(tblEnriched[[#This Row],[Date]]),MONTH(tblEnriched[[#This Row],[Date]]),1)</f>
        <v>45352</v>
      </c>
    </row>
    <row r="514" spans="1:18">
      <c r="A514" t="s">
        <v>1971</v>
      </c>
      <c r="B514" s="10">
        <v>45562</v>
      </c>
      <c r="C514" t="s">
        <v>1972</v>
      </c>
      <c r="D514" t="s">
        <v>79</v>
      </c>
      <c r="E514">
        <v>3</v>
      </c>
      <c r="F514" s="4">
        <v>568.02</v>
      </c>
      <c r="G514" t="s">
        <v>33</v>
      </c>
      <c r="H514" t="s">
        <v>95</v>
      </c>
      <c r="I514">
        <v>3</v>
      </c>
      <c r="J514" t="s">
        <v>43</v>
      </c>
      <c r="K514" t="s">
        <v>28</v>
      </c>
      <c r="L514" s="4">
        <v>1704.06</v>
      </c>
      <c r="M514" t="str">
        <f>VLOOKUP(D514,tblProduct[],2,FALSE)</f>
        <v>Furniture</v>
      </c>
      <c r="N514" t="str">
        <f>VLOOKUP(D514,tblProduct[],3,FALSE)</f>
        <v>High</v>
      </c>
      <c r="O514">
        <f>VLOOKUP(D514,tblProduct[],4,FALSE)</f>
        <v>75000</v>
      </c>
      <c r="P514">
        <v>1704.06</v>
      </c>
      <c r="Q514" s="19" t="str">
        <f t="shared" ref="Q514:Q577" si="8">TEXT(B514,"mmm-yyyy")</f>
        <v>Sep-2024</v>
      </c>
      <c r="R514" s="26">
        <f>DATE(YEAR(tblEnriched[[#This Row],[Date]]),MONTH(tblEnriched[[#This Row],[Date]]),1)</f>
        <v>45536</v>
      </c>
    </row>
    <row r="515" spans="1:18">
      <c r="A515" t="s">
        <v>1974</v>
      </c>
      <c r="B515" s="10">
        <v>45697</v>
      </c>
      <c r="C515" t="s">
        <v>1975</v>
      </c>
      <c r="D515" t="s">
        <v>38</v>
      </c>
      <c r="E515">
        <v>3</v>
      </c>
      <c r="F515" s="4">
        <v>94.88</v>
      </c>
      <c r="G515" t="s">
        <v>66</v>
      </c>
      <c r="H515" t="s">
        <v>25</v>
      </c>
      <c r="I515">
        <v>8</v>
      </c>
      <c r="K515" t="s">
        <v>35</v>
      </c>
      <c r="L515" s="4">
        <v>284.64</v>
      </c>
      <c r="M515" t="str">
        <f>VLOOKUP(D515,tblProduct[],2,FALSE)</f>
        <v>Electronics</v>
      </c>
      <c r="N515" t="str">
        <f>VLOOKUP(D515,tblProduct[],3,FALSE)</f>
        <v>Medium</v>
      </c>
      <c r="O515">
        <f>VLOOKUP(D515,tblProduct[],4,FALSE)</f>
        <v>100000</v>
      </c>
      <c r="P515">
        <v>284.64</v>
      </c>
      <c r="Q515" s="19" t="str">
        <f t="shared" si="8"/>
        <v>Feb-2025</v>
      </c>
      <c r="R515" s="26">
        <f>DATE(YEAR(tblEnriched[[#This Row],[Date]]),MONTH(tblEnriched[[#This Row],[Date]]),1)</f>
        <v>45689</v>
      </c>
    </row>
    <row r="516" spans="1:18">
      <c r="A516" t="s">
        <v>1977</v>
      </c>
      <c r="B516" s="10">
        <v>45032</v>
      </c>
      <c r="C516" t="s">
        <v>1978</v>
      </c>
      <c r="D516" t="s">
        <v>54</v>
      </c>
      <c r="E516">
        <v>3</v>
      </c>
      <c r="F516" s="4">
        <v>304.14999999999998</v>
      </c>
      <c r="G516" t="s">
        <v>66</v>
      </c>
      <c r="H516" t="s">
        <v>25</v>
      </c>
      <c r="I516">
        <v>3</v>
      </c>
      <c r="J516" t="s">
        <v>87</v>
      </c>
      <c r="K516" t="s">
        <v>28</v>
      </c>
      <c r="L516" s="4">
        <v>912.44999999999993</v>
      </c>
      <c r="M516" t="str">
        <f>VLOOKUP(D516,tblProduct[],2,FALSE)</f>
        <v>Electronics</v>
      </c>
      <c r="N516" t="str">
        <f>VLOOKUP(D516,tblProduct[],3,FALSE)</f>
        <v>Medium</v>
      </c>
      <c r="O516">
        <f>VLOOKUP(D516,tblProduct[],4,FALSE)</f>
        <v>80000</v>
      </c>
      <c r="P516">
        <v>912.44999999999993</v>
      </c>
      <c r="Q516" s="19" t="str">
        <f t="shared" si="8"/>
        <v>Apr-2023</v>
      </c>
      <c r="R516" s="26">
        <f>DATE(YEAR(tblEnriched[[#This Row],[Date]]),MONTH(tblEnriched[[#This Row],[Date]]),1)</f>
        <v>45017</v>
      </c>
    </row>
    <row r="517" spans="1:18">
      <c r="A517" t="s">
        <v>1980</v>
      </c>
      <c r="B517" s="10">
        <v>44999</v>
      </c>
      <c r="C517" t="s">
        <v>1981</v>
      </c>
      <c r="D517" t="s">
        <v>31</v>
      </c>
      <c r="E517">
        <v>3</v>
      </c>
      <c r="F517" s="4">
        <v>553.52</v>
      </c>
      <c r="G517" t="s">
        <v>66</v>
      </c>
      <c r="H517" t="s">
        <v>25</v>
      </c>
      <c r="I517">
        <v>4</v>
      </c>
      <c r="J517" t="s">
        <v>43</v>
      </c>
      <c r="K517" t="s">
        <v>51</v>
      </c>
      <c r="L517" s="4">
        <v>1660.56</v>
      </c>
      <c r="M517" t="str">
        <f>VLOOKUP(D517,tblProduct[],2,FALSE)</f>
        <v>Electronics</v>
      </c>
      <c r="N517" t="str">
        <f>VLOOKUP(D517,tblProduct[],3,FALSE)</f>
        <v>High</v>
      </c>
      <c r="O517">
        <f>VLOOKUP(D517,tblProduct[],4,FALSE)</f>
        <v>120000</v>
      </c>
      <c r="P517">
        <v>1660.56</v>
      </c>
      <c r="Q517" s="19" t="str">
        <f t="shared" si="8"/>
        <v>Mar-2023</v>
      </c>
      <c r="R517" s="26">
        <f>DATE(YEAR(tblEnriched[[#This Row],[Date]]),MONTH(tblEnriched[[#This Row],[Date]]),1)</f>
        <v>44986</v>
      </c>
    </row>
    <row r="518" spans="1:18">
      <c r="A518" t="s">
        <v>1983</v>
      </c>
      <c r="B518" s="10">
        <v>45389</v>
      </c>
      <c r="C518" t="s">
        <v>1984</v>
      </c>
      <c r="D518" t="s">
        <v>22</v>
      </c>
      <c r="E518">
        <v>3</v>
      </c>
      <c r="F518" s="4">
        <v>166.99</v>
      </c>
      <c r="G518" t="s">
        <v>71</v>
      </c>
      <c r="H518" t="s">
        <v>49</v>
      </c>
      <c r="I518">
        <v>8</v>
      </c>
      <c r="K518" t="s">
        <v>51</v>
      </c>
      <c r="L518" s="4">
        <v>500.97</v>
      </c>
      <c r="M518" t="str">
        <f>VLOOKUP(D518,tblProduct[],2,FALSE)</f>
        <v>Electronics</v>
      </c>
      <c r="N518" t="str">
        <f>VLOOKUP(D518,tblProduct[],3,FALSE)</f>
        <v>Medium</v>
      </c>
      <c r="O518">
        <f>VLOOKUP(D518,tblProduct[],4,FALSE)</f>
        <v>90000</v>
      </c>
      <c r="P518">
        <v>500.97</v>
      </c>
      <c r="Q518" s="19" t="str">
        <f t="shared" si="8"/>
        <v>Apr-2024</v>
      </c>
      <c r="R518" s="26">
        <f>DATE(YEAR(tblEnriched[[#This Row],[Date]]),MONTH(tblEnriched[[#This Row],[Date]]),1)</f>
        <v>45383</v>
      </c>
    </row>
    <row r="519" spans="1:18">
      <c r="A519" t="s">
        <v>1986</v>
      </c>
      <c r="B519" s="10">
        <v>45391</v>
      </c>
      <c r="C519" t="s">
        <v>1987</v>
      </c>
      <c r="D519" t="s">
        <v>38</v>
      </c>
      <c r="E519">
        <v>4</v>
      </c>
      <c r="F519" s="4">
        <v>198.35</v>
      </c>
      <c r="G519" t="s">
        <v>71</v>
      </c>
      <c r="H519" t="s">
        <v>41</v>
      </c>
      <c r="I519">
        <v>7</v>
      </c>
      <c r="J519" t="s">
        <v>43</v>
      </c>
      <c r="K519" t="s">
        <v>82</v>
      </c>
      <c r="L519" s="4">
        <v>793.4</v>
      </c>
      <c r="M519" t="str">
        <f>VLOOKUP(D519,tblProduct[],2,FALSE)</f>
        <v>Electronics</v>
      </c>
      <c r="N519" t="str">
        <f>VLOOKUP(D519,tblProduct[],3,FALSE)</f>
        <v>Medium</v>
      </c>
      <c r="O519">
        <f>VLOOKUP(D519,tblProduct[],4,FALSE)</f>
        <v>100000</v>
      </c>
      <c r="P519">
        <v>793.4</v>
      </c>
      <c r="Q519" s="19" t="str">
        <f t="shared" si="8"/>
        <v>Apr-2024</v>
      </c>
      <c r="R519" s="26">
        <f>DATE(YEAR(tblEnriched[[#This Row],[Date]]),MONTH(tblEnriched[[#This Row],[Date]]),1)</f>
        <v>45383</v>
      </c>
    </row>
    <row r="520" spans="1:18">
      <c r="A520" t="s">
        <v>1989</v>
      </c>
      <c r="B520" s="10">
        <v>45821</v>
      </c>
      <c r="C520" t="s">
        <v>1990</v>
      </c>
      <c r="D520" t="s">
        <v>54</v>
      </c>
      <c r="E520">
        <v>4</v>
      </c>
      <c r="F520" s="4">
        <v>403.58</v>
      </c>
      <c r="G520" t="s">
        <v>33</v>
      </c>
      <c r="H520" t="s">
        <v>95</v>
      </c>
      <c r="I520">
        <v>9</v>
      </c>
      <c r="J520" t="s">
        <v>27</v>
      </c>
      <c r="K520" t="s">
        <v>35</v>
      </c>
      <c r="L520" s="4">
        <v>1614.32</v>
      </c>
      <c r="M520" t="str">
        <f>VLOOKUP(D520,tblProduct[],2,FALSE)</f>
        <v>Electronics</v>
      </c>
      <c r="N520" t="str">
        <f>VLOOKUP(D520,tblProduct[],3,FALSE)</f>
        <v>Medium</v>
      </c>
      <c r="O520">
        <f>VLOOKUP(D520,tblProduct[],4,FALSE)</f>
        <v>80000</v>
      </c>
      <c r="P520">
        <v>1614.32</v>
      </c>
      <c r="Q520" s="19" t="str">
        <f t="shared" si="8"/>
        <v>Jun-2025</v>
      </c>
      <c r="R520" s="26">
        <f>DATE(YEAR(tblEnriched[[#This Row],[Date]]),MONTH(tblEnriched[[#This Row],[Date]]),1)</f>
        <v>45809</v>
      </c>
    </row>
    <row r="521" spans="1:18">
      <c r="A521" t="s">
        <v>1992</v>
      </c>
      <c r="B521" s="10">
        <v>45787</v>
      </c>
      <c r="C521" t="s">
        <v>1993</v>
      </c>
      <c r="D521" t="s">
        <v>64</v>
      </c>
      <c r="E521">
        <v>4</v>
      </c>
      <c r="F521" s="4">
        <v>464.29</v>
      </c>
      <c r="G521" t="s">
        <v>24</v>
      </c>
      <c r="H521" t="s">
        <v>49</v>
      </c>
      <c r="I521">
        <v>5</v>
      </c>
      <c r="J521" t="s">
        <v>27</v>
      </c>
      <c r="K521" t="s">
        <v>44</v>
      </c>
      <c r="L521" s="4">
        <v>1857.16</v>
      </c>
      <c r="M521" t="str">
        <f>VLOOKUP(D521,tblProduct[],2,FALSE)</f>
        <v>Electronics</v>
      </c>
      <c r="N521" t="str">
        <f>VLOOKUP(D521,tblProduct[],3,FALSE)</f>
        <v>High</v>
      </c>
      <c r="O521">
        <f>VLOOKUP(D521,tblProduct[],4,FALSE)</f>
        <v>150000</v>
      </c>
      <c r="P521">
        <v>1857.16</v>
      </c>
      <c r="Q521" s="19" t="str">
        <f t="shared" si="8"/>
        <v>May-2025</v>
      </c>
      <c r="R521" s="26">
        <f>DATE(YEAR(tblEnriched[[#This Row],[Date]]),MONTH(tblEnriched[[#This Row],[Date]]),1)</f>
        <v>45778</v>
      </c>
    </row>
    <row r="522" spans="1:18">
      <c r="A522" t="s">
        <v>1996</v>
      </c>
      <c r="B522" s="10">
        <v>44995</v>
      </c>
      <c r="C522" t="s">
        <v>1997</v>
      </c>
      <c r="D522" t="s">
        <v>22</v>
      </c>
      <c r="E522">
        <v>3</v>
      </c>
      <c r="F522" s="4">
        <v>635.98</v>
      </c>
      <c r="G522" t="s">
        <v>71</v>
      </c>
      <c r="H522" t="s">
        <v>49</v>
      </c>
      <c r="I522">
        <v>5</v>
      </c>
      <c r="K522" t="s">
        <v>35</v>
      </c>
      <c r="L522" s="4">
        <v>1907.94</v>
      </c>
      <c r="M522" t="str">
        <f>VLOOKUP(D522,tblProduct[],2,FALSE)</f>
        <v>Electronics</v>
      </c>
      <c r="N522" t="str">
        <f>VLOOKUP(D522,tblProduct[],3,FALSE)</f>
        <v>Medium</v>
      </c>
      <c r="O522">
        <f>VLOOKUP(D522,tblProduct[],4,FALSE)</f>
        <v>90000</v>
      </c>
      <c r="P522">
        <v>1907.94</v>
      </c>
      <c r="Q522" s="19" t="str">
        <f t="shared" si="8"/>
        <v>Mar-2023</v>
      </c>
      <c r="R522" s="26">
        <f>DATE(YEAR(tblEnriched[[#This Row],[Date]]),MONTH(tblEnriched[[#This Row],[Date]]),1)</f>
        <v>44986</v>
      </c>
    </row>
    <row r="523" spans="1:18">
      <c r="A523" t="s">
        <v>2000</v>
      </c>
      <c r="B523" s="10">
        <v>45347</v>
      </c>
      <c r="C523" t="s">
        <v>2001</v>
      </c>
      <c r="D523" t="s">
        <v>31</v>
      </c>
      <c r="E523">
        <v>1</v>
      </c>
      <c r="F523" s="4">
        <v>528.05999999999995</v>
      </c>
      <c r="G523" t="s">
        <v>40</v>
      </c>
      <c r="H523" t="s">
        <v>25</v>
      </c>
      <c r="I523">
        <v>2</v>
      </c>
      <c r="K523" t="s">
        <v>51</v>
      </c>
      <c r="L523" s="4">
        <v>528.05999999999995</v>
      </c>
      <c r="M523" t="str">
        <f>VLOOKUP(D523,tblProduct[],2,FALSE)</f>
        <v>Electronics</v>
      </c>
      <c r="N523" t="str">
        <f>VLOOKUP(D523,tblProduct[],3,FALSE)</f>
        <v>High</v>
      </c>
      <c r="O523">
        <f>VLOOKUP(D523,tblProduct[],4,FALSE)</f>
        <v>120000</v>
      </c>
      <c r="P523">
        <v>528.05999999999995</v>
      </c>
      <c r="Q523" s="19" t="str">
        <f t="shared" si="8"/>
        <v>Feb-2024</v>
      </c>
      <c r="R523" s="26">
        <f>DATE(YEAR(tblEnriched[[#This Row],[Date]]),MONTH(tblEnriched[[#This Row],[Date]]),1)</f>
        <v>45323</v>
      </c>
    </row>
    <row r="524" spans="1:18">
      <c r="A524" t="s">
        <v>2004</v>
      </c>
      <c r="B524" s="10">
        <v>45402</v>
      </c>
      <c r="C524" t="s">
        <v>2005</v>
      </c>
      <c r="D524" t="s">
        <v>47</v>
      </c>
      <c r="E524">
        <v>1</v>
      </c>
      <c r="F524" s="4">
        <v>515.32000000000005</v>
      </c>
      <c r="G524" t="s">
        <v>66</v>
      </c>
      <c r="H524" t="s">
        <v>41</v>
      </c>
      <c r="I524">
        <v>1</v>
      </c>
      <c r="J524" t="s">
        <v>43</v>
      </c>
      <c r="K524" t="s">
        <v>44</v>
      </c>
      <c r="L524" s="4">
        <v>515.32000000000005</v>
      </c>
      <c r="M524" t="str">
        <f>VLOOKUP(D524,tblProduct[],2,FALSE)</f>
        <v>Furniture</v>
      </c>
      <c r="N524" t="str">
        <f>VLOOKUP(D524,tblProduct[],3,FALSE)</f>
        <v>Medium</v>
      </c>
      <c r="O524">
        <f>VLOOKUP(D524,tblProduct[],4,FALSE)</f>
        <v>70000</v>
      </c>
      <c r="P524">
        <v>515.32000000000005</v>
      </c>
      <c r="Q524" s="19" t="str">
        <f t="shared" si="8"/>
        <v>Apr-2024</v>
      </c>
      <c r="R524" s="26">
        <f>DATE(YEAR(tblEnriched[[#This Row],[Date]]),MONTH(tblEnriched[[#This Row],[Date]]),1)</f>
        <v>45383</v>
      </c>
    </row>
    <row r="525" spans="1:18">
      <c r="A525" t="s">
        <v>2007</v>
      </c>
      <c r="B525" s="10">
        <v>45706</v>
      </c>
      <c r="C525" t="s">
        <v>2008</v>
      </c>
      <c r="D525" t="s">
        <v>79</v>
      </c>
      <c r="E525">
        <v>4</v>
      </c>
      <c r="F525" s="4">
        <v>657.79</v>
      </c>
      <c r="G525" t="s">
        <v>40</v>
      </c>
      <c r="H525" t="s">
        <v>49</v>
      </c>
      <c r="I525">
        <v>6</v>
      </c>
      <c r="J525" t="s">
        <v>87</v>
      </c>
      <c r="K525" t="s">
        <v>82</v>
      </c>
      <c r="L525" s="4">
        <v>2631.16</v>
      </c>
      <c r="M525" t="str">
        <f>VLOOKUP(D525,tblProduct[],2,FALSE)</f>
        <v>Furniture</v>
      </c>
      <c r="N525" t="str">
        <f>VLOOKUP(D525,tblProduct[],3,FALSE)</f>
        <v>High</v>
      </c>
      <c r="O525">
        <f>VLOOKUP(D525,tblProduct[],4,FALSE)</f>
        <v>75000</v>
      </c>
      <c r="P525">
        <v>2631.16</v>
      </c>
      <c r="Q525" s="19" t="str">
        <f t="shared" si="8"/>
        <v>Feb-2025</v>
      </c>
      <c r="R525" s="26">
        <f>DATE(YEAR(tblEnriched[[#This Row],[Date]]),MONTH(tblEnriched[[#This Row],[Date]]),1)</f>
        <v>45689</v>
      </c>
    </row>
    <row r="526" spans="1:18">
      <c r="A526" t="s">
        <v>2010</v>
      </c>
      <c r="B526" s="10">
        <v>45224</v>
      </c>
      <c r="C526" t="s">
        <v>2011</v>
      </c>
      <c r="D526" t="s">
        <v>31</v>
      </c>
      <c r="E526">
        <v>1</v>
      </c>
      <c r="F526" s="4">
        <v>153</v>
      </c>
      <c r="G526" t="s">
        <v>40</v>
      </c>
      <c r="H526" t="s">
        <v>49</v>
      </c>
      <c r="I526">
        <v>4</v>
      </c>
      <c r="K526" t="s">
        <v>35</v>
      </c>
      <c r="L526" s="4">
        <v>153</v>
      </c>
      <c r="M526" t="str">
        <f>VLOOKUP(D526,tblProduct[],2,FALSE)</f>
        <v>Electronics</v>
      </c>
      <c r="N526" t="str">
        <f>VLOOKUP(D526,tblProduct[],3,FALSE)</f>
        <v>High</v>
      </c>
      <c r="O526">
        <f>VLOOKUP(D526,tblProduct[],4,FALSE)</f>
        <v>120000</v>
      </c>
      <c r="P526">
        <v>153</v>
      </c>
      <c r="Q526" s="19" t="str">
        <f t="shared" si="8"/>
        <v>Oct-2023</v>
      </c>
      <c r="R526" s="26">
        <f>DATE(YEAR(tblEnriched[[#This Row],[Date]]),MONTH(tblEnriched[[#This Row],[Date]]),1)</f>
        <v>45200</v>
      </c>
    </row>
    <row r="527" spans="1:18">
      <c r="A527" t="s">
        <v>2013</v>
      </c>
      <c r="B527" s="10">
        <v>45263</v>
      </c>
      <c r="C527" t="s">
        <v>2014</v>
      </c>
      <c r="D527" t="s">
        <v>22</v>
      </c>
      <c r="E527">
        <v>1</v>
      </c>
      <c r="F527" s="4">
        <v>668.48</v>
      </c>
      <c r="G527" t="s">
        <v>24</v>
      </c>
      <c r="H527" t="s">
        <v>25</v>
      </c>
      <c r="I527">
        <v>1</v>
      </c>
      <c r="J527" t="s">
        <v>27</v>
      </c>
      <c r="K527" t="s">
        <v>44</v>
      </c>
      <c r="L527" s="4">
        <v>668.48</v>
      </c>
      <c r="M527" t="str">
        <f>VLOOKUP(D527,tblProduct[],2,FALSE)</f>
        <v>Electronics</v>
      </c>
      <c r="N527" t="str">
        <f>VLOOKUP(D527,tblProduct[],3,FALSE)</f>
        <v>Medium</v>
      </c>
      <c r="O527">
        <f>VLOOKUP(D527,tblProduct[],4,FALSE)</f>
        <v>90000</v>
      </c>
      <c r="P527">
        <v>668.48</v>
      </c>
      <c r="Q527" s="19" t="str">
        <f t="shared" si="8"/>
        <v>Dec-2023</v>
      </c>
      <c r="R527" s="26">
        <f>DATE(YEAR(tblEnriched[[#This Row],[Date]]),MONTH(tblEnriched[[#This Row],[Date]]),1)</f>
        <v>45261</v>
      </c>
    </row>
    <row r="528" spans="1:18">
      <c r="A528" t="s">
        <v>2016</v>
      </c>
      <c r="B528" s="10">
        <v>45351</v>
      </c>
      <c r="C528" t="s">
        <v>2017</v>
      </c>
      <c r="D528" t="s">
        <v>79</v>
      </c>
      <c r="E528">
        <v>2</v>
      </c>
      <c r="F528" s="4">
        <v>46.5</v>
      </c>
      <c r="G528" t="s">
        <v>71</v>
      </c>
      <c r="H528" t="s">
        <v>49</v>
      </c>
      <c r="I528">
        <v>7</v>
      </c>
      <c r="J528" t="s">
        <v>87</v>
      </c>
      <c r="K528" t="s">
        <v>82</v>
      </c>
      <c r="L528" s="4">
        <v>93</v>
      </c>
      <c r="M528" t="str">
        <f>VLOOKUP(D528,tblProduct[],2,FALSE)</f>
        <v>Furniture</v>
      </c>
      <c r="N528" t="str">
        <f>VLOOKUP(D528,tblProduct[],3,FALSE)</f>
        <v>High</v>
      </c>
      <c r="O528">
        <f>VLOOKUP(D528,tblProduct[],4,FALSE)</f>
        <v>75000</v>
      </c>
      <c r="P528">
        <v>93</v>
      </c>
      <c r="Q528" s="19" t="str">
        <f t="shared" si="8"/>
        <v>Feb-2024</v>
      </c>
      <c r="R528" s="26">
        <f>DATE(YEAR(tblEnriched[[#This Row],[Date]]),MONTH(tblEnriched[[#This Row],[Date]]),1)</f>
        <v>45323</v>
      </c>
    </row>
    <row r="529" spans="1:18">
      <c r="A529" t="s">
        <v>2019</v>
      </c>
      <c r="B529" s="10">
        <v>45523</v>
      </c>
      <c r="C529" t="s">
        <v>2020</v>
      </c>
      <c r="D529" t="s">
        <v>47</v>
      </c>
      <c r="E529">
        <v>5</v>
      </c>
      <c r="F529" s="4">
        <v>653.47</v>
      </c>
      <c r="G529" t="s">
        <v>40</v>
      </c>
      <c r="H529" t="s">
        <v>41</v>
      </c>
      <c r="I529">
        <v>10</v>
      </c>
      <c r="J529" t="s">
        <v>27</v>
      </c>
      <c r="K529" t="s">
        <v>35</v>
      </c>
      <c r="L529" s="4">
        <v>3267.35</v>
      </c>
      <c r="M529" t="str">
        <f>VLOOKUP(D529,tblProduct[],2,FALSE)</f>
        <v>Furniture</v>
      </c>
      <c r="N529" t="str">
        <f>VLOOKUP(D529,tblProduct[],3,FALSE)</f>
        <v>Medium</v>
      </c>
      <c r="O529">
        <f>VLOOKUP(D529,tblProduct[],4,FALSE)</f>
        <v>70000</v>
      </c>
      <c r="P529">
        <v>3267.35</v>
      </c>
      <c r="Q529" s="19" t="str">
        <f t="shared" si="8"/>
        <v>Aug-2024</v>
      </c>
      <c r="R529" s="26">
        <f>DATE(YEAR(tblEnriched[[#This Row],[Date]]),MONTH(tblEnriched[[#This Row],[Date]]),1)</f>
        <v>45505</v>
      </c>
    </row>
    <row r="530" spans="1:18">
      <c r="A530" t="s">
        <v>2022</v>
      </c>
      <c r="B530" s="10">
        <v>45714</v>
      </c>
      <c r="C530" t="s">
        <v>2023</v>
      </c>
      <c r="D530" t="s">
        <v>47</v>
      </c>
      <c r="E530">
        <v>1</v>
      </c>
      <c r="F530" s="4">
        <v>628.89</v>
      </c>
      <c r="G530" t="s">
        <v>40</v>
      </c>
      <c r="H530" t="s">
        <v>49</v>
      </c>
      <c r="I530">
        <v>2</v>
      </c>
      <c r="J530" t="s">
        <v>27</v>
      </c>
      <c r="K530" t="s">
        <v>35</v>
      </c>
      <c r="L530" s="4">
        <v>628.89</v>
      </c>
      <c r="M530" t="str">
        <f>VLOOKUP(D530,tblProduct[],2,FALSE)</f>
        <v>Furniture</v>
      </c>
      <c r="N530" t="str">
        <f>VLOOKUP(D530,tblProduct[],3,FALSE)</f>
        <v>Medium</v>
      </c>
      <c r="O530">
        <f>VLOOKUP(D530,tblProduct[],4,FALSE)</f>
        <v>70000</v>
      </c>
      <c r="P530">
        <v>628.89</v>
      </c>
      <c r="Q530" s="19" t="str">
        <f t="shared" si="8"/>
        <v>Feb-2025</v>
      </c>
      <c r="R530" s="26">
        <f>DATE(YEAR(tblEnriched[[#This Row],[Date]]),MONTH(tblEnriched[[#This Row],[Date]]),1)</f>
        <v>45689</v>
      </c>
    </row>
    <row r="531" spans="1:18">
      <c r="A531" t="s">
        <v>2025</v>
      </c>
      <c r="B531" s="10">
        <v>45389</v>
      </c>
      <c r="C531" t="s">
        <v>2026</v>
      </c>
      <c r="D531" t="s">
        <v>38</v>
      </c>
      <c r="E531">
        <v>2</v>
      </c>
      <c r="F531" s="4">
        <v>675.1</v>
      </c>
      <c r="G531" t="s">
        <v>71</v>
      </c>
      <c r="H531" t="s">
        <v>95</v>
      </c>
      <c r="I531">
        <v>4</v>
      </c>
      <c r="J531" t="s">
        <v>43</v>
      </c>
      <c r="K531" t="s">
        <v>82</v>
      </c>
      <c r="L531" s="4">
        <v>1350.2</v>
      </c>
      <c r="M531" t="str">
        <f>VLOOKUP(D531,tblProduct[],2,FALSE)</f>
        <v>Electronics</v>
      </c>
      <c r="N531" t="str">
        <f>VLOOKUP(D531,tblProduct[],3,FALSE)</f>
        <v>Medium</v>
      </c>
      <c r="O531">
        <f>VLOOKUP(D531,tblProduct[],4,FALSE)</f>
        <v>100000</v>
      </c>
      <c r="P531">
        <v>1350.2</v>
      </c>
      <c r="Q531" s="19" t="str">
        <f t="shared" si="8"/>
        <v>Apr-2024</v>
      </c>
      <c r="R531" s="26">
        <f>DATE(YEAR(tblEnriched[[#This Row],[Date]]),MONTH(tblEnriched[[#This Row],[Date]]),1)</f>
        <v>45383</v>
      </c>
    </row>
    <row r="532" spans="1:18">
      <c r="A532" t="s">
        <v>2029</v>
      </c>
      <c r="B532" s="10">
        <v>45491</v>
      </c>
      <c r="C532" t="s">
        <v>2030</v>
      </c>
      <c r="D532" t="s">
        <v>47</v>
      </c>
      <c r="E532">
        <v>4</v>
      </c>
      <c r="F532" s="4">
        <v>89.41</v>
      </c>
      <c r="G532" t="s">
        <v>33</v>
      </c>
      <c r="H532" t="s">
        <v>95</v>
      </c>
      <c r="I532">
        <v>9</v>
      </c>
      <c r="K532" t="s">
        <v>82</v>
      </c>
      <c r="L532" s="4">
        <v>357.64</v>
      </c>
      <c r="M532" t="str">
        <f>VLOOKUP(D532,tblProduct[],2,FALSE)</f>
        <v>Furniture</v>
      </c>
      <c r="N532" t="str">
        <f>VLOOKUP(D532,tblProduct[],3,FALSE)</f>
        <v>Medium</v>
      </c>
      <c r="O532">
        <f>VLOOKUP(D532,tblProduct[],4,FALSE)</f>
        <v>70000</v>
      </c>
      <c r="P532">
        <v>357.64</v>
      </c>
      <c r="Q532" s="19" t="str">
        <f t="shared" si="8"/>
        <v>Jul-2024</v>
      </c>
      <c r="R532" s="26">
        <f>DATE(YEAR(tblEnriched[[#This Row],[Date]]),MONTH(tblEnriched[[#This Row],[Date]]),1)</f>
        <v>45474</v>
      </c>
    </row>
    <row r="533" spans="1:18">
      <c r="A533" t="s">
        <v>2033</v>
      </c>
      <c r="B533" s="10">
        <v>45475</v>
      </c>
      <c r="C533" t="s">
        <v>2034</v>
      </c>
      <c r="D533" t="s">
        <v>79</v>
      </c>
      <c r="E533">
        <v>5</v>
      </c>
      <c r="F533" s="4">
        <v>320.01</v>
      </c>
      <c r="G533" t="s">
        <v>66</v>
      </c>
      <c r="H533" t="s">
        <v>56</v>
      </c>
      <c r="I533">
        <v>6</v>
      </c>
      <c r="K533" t="s">
        <v>35</v>
      </c>
      <c r="L533" s="4">
        <v>1600.05</v>
      </c>
      <c r="M533" t="str">
        <f>VLOOKUP(D533,tblProduct[],2,FALSE)</f>
        <v>Furniture</v>
      </c>
      <c r="N533" t="str">
        <f>VLOOKUP(D533,tblProduct[],3,FALSE)</f>
        <v>High</v>
      </c>
      <c r="O533">
        <f>VLOOKUP(D533,tblProduct[],4,FALSE)</f>
        <v>75000</v>
      </c>
      <c r="P533">
        <v>1600.05</v>
      </c>
      <c r="Q533" s="19" t="str">
        <f t="shared" si="8"/>
        <v>Jul-2024</v>
      </c>
      <c r="R533" s="26">
        <f>DATE(YEAR(tblEnriched[[#This Row],[Date]]),MONTH(tblEnriched[[#This Row],[Date]]),1)</f>
        <v>45474</v>
      </c>
    </row>
    <row r="534" spans="1:18">
      <c r="A534" t="s">
        <v>2037</v>
      </c>
      <c r="B534" s="10">
        <v>45780</v>
      </c>
      <c r="C534" t="s">
        <v>2038</v>
      </c>
      <c r="D534" t="s">
        <v>64</v>
      </c>
      <c r="E534">
        <v>2</v>
      </c>
      <c r="F534" s="4">
        <v>41</v>
      </c>
      <c r="G534" t="s">
        <v>33</v>
      </c>
      <c r="H534" t="s">
        <v>56</v>
      </c>
      <c r="I534">
        <v>7</v>
      </c>
      <c r="K534" t="s">
        <v>44</v>
      </c>
      <c r="L534" s="4">
        <v>82</v>
      </c>
      <c r="M534" t="str">
        <f>VLOOKUP(D534,tblProduct[],2,FALSE)</f>
        <v>Electronics</v>
      </c>
      <c r="N534" t="str">
        <f>VLOOKUP(D534,tblProduct[],3,FALSE)</f>
        <v>High</v>
      </c>
      <c r="O534">
        <f>VLOOKUP(D534,tblProduct[],4,FALSE)</f>
        <v>150000</v>
      </c>
      <c r="P534">
        <v>82</v>
      </c>
      <c r="Q534" s="19" t="str">
        <f t="shared" si="8"/>
        <v>May-2025</v>
      </c>
      <c r="R534" s="26">
        <f>DATE(YEAR(tblEnriched[[#This Row],[Date]]),MONTH(tblEnriched[[#This Row],[Date]]),1)</f>
        <v>45778</v>
      </c>
    </row>
    <row r="535" spans="1:18">
      <c r="A535" t="s">
        <v>2041</v>
      </c>
      <c r="B535" s="10">
        <v>44990</v>
      </c>
      <c r="C535" t="s">
        <v>2042</v>
      </c>
      <c r="D535" t="s">
        <v>79</v>
      </c>
      <c r="E535">
        <v>1</v>
      </c>
      <c r="F535" s="4">
        <v>565.85</v>
      </c>
      <c r="G535" t="s">
        <v>66</v>
      </c>
      <c r="H535" t="s">
        <v>49</v>
      </c>
      <c r="I535">
        <v>1</v>
      </c>
      <c r="J535" t="s">
        <v>43</v>
      </c>
      <c r="K535" t="s">
        <v>51</v>
      </c>
      <c r="L535" s="4">
        <v>565.85</v>
      </c>
      <c r="M535" t="str">
        <f>VLOOKUP(D535,tblProduct[],2,FALSE)</f>
        <v>Furniture</v>
      </c>
      <c r="N535" t="str">
        <f>VLOOKUP(D535,tblProduct[],3,FALSE)</f>
        <v>High</v>
      </c>
      <c r="O535">
        <f>VLOOKUP(D535,tblProduct[],4,FALSE)</f>
        <v>75000</v>
      </c>
      <c r="P535">
        <v>565.85</v>
      </c>
      <c r="Q535" s="19" t="str">
        <f t="shared" si="8"/>
        <v>Mar-2023</v>
      </c>
      <c r="R535" s="26">
        <f>DATE(YEAR(tblEnriched[[#This Row],[Date]]),MONTH(tblEnriched[[#This Row],[Date]]),1)</f>
        <v>44986</v>
      </c>
    </row>
    <row r="536" spans="1:18">
      <c r="A536" t="s">
        <v>2044</v>
      </c>
      <c r="B536" s="10">
        <v>45449</v>
      </c>
      <c r="C536" t="s">
        <v>2045</v>
      </c>
      <c r="D536" t="s">
        <v>47</v>
      </c>
      <c r="E536">
        <v>3</v>
      </c>
      <c r="F536" s="4">
        <v>648.59</v>
      </c>
      <c r="G536" t="s">
        <v>24</v>
      </c>
      <c r="H536" t="s">
        <v>41</v>
      </c>
      <c r="I536">
        <v>4</v>
      </c>
      <c r="J536" t="s">
        <v>27</v>
      </c>
      <c r="K536" t="s">
        <v>44</v>
      </c>
      <c r="L536" s="4">
        <v>1945.77</v>
      </c>
      <c r="M536" t="str">
        <f>VLOOKUP(D536,tblProduct[],2,FALSE)</f>
        <v>Furniture</v>
      </c>
      <c r="N536" t="str">
        <f>VLOOKUP(D536,tblProduct[],3,FALSE)</f>
        <v>Medium</v>
      </c>
      <c r="O536">
        <f>VLOOKUP(D536,tblProduct[],4,FALSE)</f>
        <v>70000</v>
      </c>
      <c r="P536">
        <v>1945.77</v>
      </c>
      <c r="Q536" s="19" t="str">
        <f t="shared" si="8"/>
        <v>Jun-2024</v>
      </c>
      <c r="R536" s="26">
        <f>DATE(YEAR(tblEnriched[[#This Row],[Date]]),MONTH(tblEnriched[[#This Row],[Date]]),1)</f>
        <v>45444</v>
      </c>
    </row>
    <row r="537" spans="1:18">
      <c r="A537" t="s">
        <v>2048</v>
      </c>
      <c r="B537" s="10">
        <v>45497</v>
      </c>
      <c r="C537" t="s">
        <v>2049</v>
      </c>
      <c r="D537" t="s">
        <v>22</v>
      </c>
      <c r="E537">
        <v>3</v>
      </c>
      <c r="F537" s="4">
        <v>68.12</v>
      </c>
      <c r="G537" t="s">
        <v>33</v>
      </c>
      <c r="H537" t="s">
        <v>41</v>
      </c>
      <c r="I537">
        <v>3</v>
      </c>
      <c r="J537" t="s">
        <v>43</v>
      </c>
      <c r="K537" t="s">
        <v>44</v>
      </c>
      <c r="L537" s="4">
        <v>204.36</v>
      </c>
      <c r="M537" t="str">
        <f>VLOOKUP(D537,tblProduct[],2,FALSE)</f>
        <v>Electronics</v>
      </c>
      <c r="N537" t="str">
        <f>VLOOKUP(D537,tblProduct[],3,FALSE)</f>
        <v>Medium</v>
      </c>
      <c r="O537">
        <f>VLOOKUP(D537,tblProduct[],4,FALSE)</f>
        <v>90000</v>
      </c>
      <c r="P537">
        <v>204.36</v>
      </c>
      <c r="Q537" s="19" t="str">
        <f t="shared" si="8"/>
        <v>Jul-2024</v>
      </c>
      <c r="R537" s="26">
        <f>DATE(YEAR(tblEnriched[[#This Row],[Date]]),MONTH(tblEnriched[[#This Row],[Date]]),1)</f>
        <v>45474</v>
      </c>
    </row>
    <row r="538" spans="1:18">
      <c r="A538" t="s">
        <v>2051</v>
      </c>
      <c r="B538" s="10">
        <v>45452</v>
      </c>
      <c r="C538" t="s">
        <v>2052</v>
      </c>
      <c r="D538" t="s">
        <v>47</v>
      </c>
      <c r="E538">
        <v>1</v>
      </c>
      <c r="F538" s="4">
        <v>616.1</v>
      </c>
      <c r="G538" t="s">
        <v>71</v>
      </c>
      <c r="H538" t="s">
        <v>49</v>
      </c>
      <c r="I538">
        <v>6</v>
      </c>
      <c r="K538" t="s">
        <v>44</v>
      </c>
      <c r="L538" s="4">
        <v>616.1</v>
      </c>
      <c r="M538" t="str">
        <f>VLOOKUP(D538,tblProduct[],2,FALSE)</f>
        <v>Furniture</v>
      </c>
      <c r="N538" t="str">
        <f>VLOOKUP(D538,tblProduct[],3,FALSE)</f>
        <v>Medium</v>
      </c>
      <c r="O538">
        <f>VLOOKUP(D538,tblProduct[],4,FALSE)</f>
        <v>70000</v>
      </c>
      <c r="P538">
        <v>616.1</v>
      </c>
      <c r="Q538" s="19" t="str">
        <f t="shared" si="8"/>
        <v>Jun-2024</v>
      </c>
      <c r="R538" s="26">
        <f>DATE(YEAR(tblEnriched[[#This Row],[Date]]),MONTH(tblEnriched[[#This Row],[Date]]),1)</f>
        <v>45444</v>
      </c>
    </row>
    <row r="539" spans="1:18">
      <c r="A539" t="s">
        <v>2055</v>
      </c>
      <c r="B539" s="10">
        <v>45739</v>
      </c>
      <c r="C539" t="s">
        <v>2056</v>
      </c>
      <c r="D539" t="s">
        <v>38</v>
      </c>
      <c r="E539">
        <v>3</v>
      </c>
      <c r="F539" s="4">
        <v>247.47</v>
      </c>
      <c r="G539" t="s">
        <v>33</v>
      </c>
      <c r="H539" t="s">
        <v>56</v>
      </c>
      <c r="I539">
        <v>4</v>
      </c>
      <c r="J539" t="s">
        <v>27</v>
      </c>
      <c r="K539" t="s">
        <v>51</v>
      </c>
      <c r="L539" s="4">
        <v>742.41</v>
      </c>
      <c r="M539" t="str">
        <f>VLOOKUP(D539,tblProduct[],2,FALSE)</f>
        <v>Electronics</v>
      </c>
      <c r="N539" t="str">
        <f>VLOOKUP(D539,tblProduct[],3,FALSE)</f>
        <v>Medium</v>
      </c>
      <c r="O539">
        <f>VLOOKUP(D539,tblProduct[],4,FALSE)</f>
        <v>100000</v>
      </c>
      <c r="P539">
        <v>742.41</v>
      </c>
      <c r="Q539" s="19" t="str">
        <f t="shared" si="8"/>
        <v>Mar-2025</v>
      </c>
      <c r="R539" s="26">
        <f>DATE(YEAR(tblEnriched[[#This Row],[Date]]),MONTH(tblEnriched[[#This Row],[Date]]),1)</f>
        <v>45717</v>
      </c>
    </row>
    <row r="540" spans="1:18">
      <c r="A540" t="s">
        <v>2058</v>
      </c>
      <c r="B540" s="10">
        <v>45436</v>
      </c>
      <c r="C540" t="s">
        <v>2059</v>
      </c>
      <c r="D540" t="s">
        <v>31</v>
      </c>
      <c r="E540">
        <v>3</v>
      </c>
      <c r="F540" s="4">
        <v>490.74</v>
      </c>
      <c r="G540" t="s">
        <v>71</v>
      </c>
      <c r="H540" t="s">
        <v>25</v>
      </c>
      <c r="I540">
        <v>3</v>
      </c>
      <c r="J540" t="s">
        <v>87</v>
      </c>
      <c r="K540" t="s">
        <v>44</v>
      </c>
      <c r="L540" s="4">
        <v>1472.22</v>
      </c>
      <c r="M540" t="str">
        <f>VLOOKUP(D540,tblProduct[],2,FALSE)</f>
        <v>Electronics</v>
      </c>
      <c r="N540" t="str">
        <f>VLOOKUP(D540,tblProduct[],3,FALSE)</f>
        <v>High</v>
      </c>
      <c r="O540">
        <f>VLOOKUP(D540,tblProduct[],4,FALSE)</f>
        <v>120000</v>
      </c>
      <c r="P540">
        <v>1472.22</v>
      </c>
      <c r="Q540" s="19" t="str">
        <f t="shared" si="8"/>
        <v>May-2024</v>
      </c>
      <c r="R540" s="26">
        <f>DATE(YEAR(tblEnriched[[#This Row],[Date]]),MONTH(tblEnriched[[#This Row],[Date]]),1)</f>
        <v>45413</v>
      </c>
    </row>
    <row r="541" spans="1:18">
      <c r="A541" t="s">
        <v>2062</v>
      </c>
      <c r="B541" s="10">
        <v>45706</v>
      </c>
      <c r="C541" t="s">
        <v>2063</v>
      </c>
      <c r="D541" t="s">
        <v>79</v>
      </c>
      <c r="E541">
        <v>3</v>
      </c>
      <c r="F541" s="4">
        <v>531.72</v>
      </c>
      <c r="G541" t="s">
        <v>66</v>
      </c>
      <c r="H541" t="s">
        <v>56</v>
      </c>
      <c r="I541">
        <v>7</v>
      </c>
      <c r="J541" t="s">
        <v>27</v>
      </c>
      <c r="K541" t="s">
        <v>82</v>
      </c>
      <c r="L541" s="4">
        <v>1595.16</v>
      </c>
      <c r="M541" t="str">
        <f>VLOOKUP(D541,tblProduct[],2,FALSE)</f>
        <v>Furniture</v>
      </c>
      <c r="N541" t="str">
        <f>VLOOKUP(D541,tblProduct[],3,FALSE)</f>
        <v>High</v>
      </c>
      <c r="O541">
        <f>VLOOKUP(D541,tblProduct[],4,FALSE)</f>
        <v>75000</v>
      </c>
      <c r="P541">
        <v>1595.16</v>
      </c>
      <c r="Q541" s="19" t="str">
        <f t="shared" si="8"/>
        <v>Feb-2025</v>
      </c>
      <c r="R541" s="26">
        <f>DATE(YEAR(tblEnriched[[#This Row],[Date]]),MONTH(tblEnriched[[#This Row],[Date]]),1)</f>
        <v>45689</v>
      </c>
    </row>
    <row r="542" spans="1:18">
      <c r="A542" t="s">
        <v>2066</v>
      </c>
      <c r="B542" s="10">
        <v>45320</v>
      </c>
      <c r="C542" t="s">
        <v>2067</v>
      </c>
      <c r="D542" t="s">
        <v>64</v>
      </c>
      <c r="E542">
        <v>5</v>
      </c>
      <c r="F542" s="4">
        <v>648.65</v>
      </c>
      <c r="G542" t="s">
        <v>33</v>
      </c>
      <c r="H542" t="s">
        <v>95</v>
      </c>
      <c r="I542">
        <v>7</v>
      </c>
      <c r="K542" t="s">
        <v>35</v>
      </c>
      <c r="L542" s="4">
        <v>3243.25</v>
      </c>
      <c r="M542" t="str">
        <f>VLOOKUP(D542,tblProduct[],2,FALSE)</f>
        <v>Electronics</v>
      </c>
      <c r="N542" t="str">
        <f>VLOOKUP(D542,tblProduct[],3,FALSE)</f>
        <v>High</v>
      </c>
      <c r="O542">
        <f>VLOOKUP(D542,tblProduct[],4,FALSE)</f>
        <v>150000</v>
      </c>
      <c r="P542">
        <v>3243.25</v>
      </c>
      <c r="Q542" s="19" t="str">
        <f t="shared" si="8"/>
        <v>Jan-2024</v>
      </c>
      <c r="R542" s="26">
        <f>DATE(YEAR(tblEnriched[[#This Row],[Date]]),MONTH(tblEnriched[[#This Row],[Date]]),1)</f>
        <v>45292</v>
      </c>
    </row>
    <row r="543" spans="1:18">
      <c r="A543" t="s">
        <v>2070</v>
      </c>
      <c r="B543" s="10">
        <v>45145</v>
      </c>
      <c r="C543" t="s">
        <v>2071</v>
      </c>
      <c r="D543" t="s">
        <v>54</v>
      </c>
      <c r="E543">
        <v>5</v>
      </c>
      <c r="F543" s="4">
        <v>456.06</v>
      </c>
      <c r="G543" t="s">
        <v>71</v>
      </c>
      <c r="H543" t="s">
        <v>95</v>
      </c>
      <c r="I543">
        <v>10</v>
      </c>
      <c r="K543" t="s">
        <v>28</v>
      </c>
      <c r="L543" s="4">
        <v>2280.3000000000002</v>
      </c>
      <c r="M543" t="str">
        <f>VLOOKUP(D543,tblProduct[],2,FALSE)</f>
        <v>Electronics</v>
      </c>
      <c r="N543" t="str">
        <f>VLOOKUP(D543,tblProduct[],3,FALSE)</f>
        <v>Medium</v>
      </c>
      <c r="O543">
        <f>VLOOKUP(D543,tblProduct[],4,FALSE)</f>
        <v>80000</v>
      </c>
      <c r="P543">
        <v>2280.3000000000002</v>
      </c>
      <c r="Q543" s="19" t="str">
        <f t="shared" si="8"/>
        <v>Aug-2023</v>
      </c>
      <c r="R543" s="26">
        <f>DATE(YEAR(tblEnriched[[#This Row],[Date]]),MONTH(tblEnriched[[#This Row],[Date]]),1)</f>
        <v>45139</v>
      </c>
    </row>
    <row r="544" spans="1:18">
      <c r="A544" t="s">
        <v>2074</v>
      </c>
      <c r="B544" s="10">
        <v>45244</v>
      </c>
      <c r="C544" t="s">
        <v>2075</v>
      </c>
      <c r="D544" t="s">
        <v>38</v>
      </c>
      <c r="E544">
        <v>1</v>
      </c>
      <c r="F544" s="4">
        <v>17.98</v>
      </c>
      <c r="G544" t="s">
        <v>71</v>
      </c>
      <c r="H544" t="s">
        <v>41</v>
      </c>
      <c r="I544">
        <v>6</v>
      </c>
      <c r="J544" t="s">
        <v>43</v>
      </c>
      <c r="K544" t="s">
        <v>44</v>
      </c>
      <c r="L544" s="4">
        <v>17.98</v>
      </c>
      <c r="M544" t="str">
        <f>VLOOKUP(D544,tblProduct[],2,FALSE)</f>
        <v>Electronics</v>
      </c>
      <c r="N544" t="str">
        <f>VLOOKUP(D544,tblProduct[],3,FALSE)</f>
        <v>Medium</v>
      </c>
      <c r="O544">
        <f>VLOOKUP(D544,tblProduct[],4,FALSE)</f>
        <v>100000</v>
      </c>
      <c r="P544">
        <v>17.98</v>
      </c>
      <c r="Q544" s="19" t="str">
        <f t="shared" si="8"/>
        <v>Nov-2023</v>
      </c>
      <c r="R544" s="26">
        <f>DATE(YEAR(tblEnriched[[#This Row],[Date]]),MONTH(tblEnriched[[#This Row],[Date]]),1)</f>
        <v>45231</v>
      </c>
    </row>
    <row r="545" spans="1:18">
      <c r="A545" t="s">
        <v>2077</v>
      </c>
      <c r="B545" s="10">
        <v>45360</v>
      </c>
      <c r="C545" t="s">
        <v>2078</v>
      </c>
      <c r="D545" t="s">
        <v>79</v>
      </c>
      <c r="E545">
        <v>5</v>
      </c>
      <c r="F545" s="4">
        <v>269.86</v>
      </c>
      <c r="G545" t="s">
        <v>71</v>
      </c>
      <c r="H545" t="s">
        <v>25</v>
      </c>
      <c r="I545">
        <v>6</v>
      </c>
      <c r="J545" t="s">
        <v>87</v>
      </c>
      <c r="K545" t="s">
        <v>51</v>
      </c>
      <c r="L545" s="4">
        <v>1349.3</v>
      </c>
      <c r="M545" t="str">
        <f>VLOOKUP(D545,tblProduct[],2,FALSE)</f>
        <v>Furniture</v>
      </c>
      <c r="N545" t="str">
        <f>VLOOKUP(D545,tblProduct[],3,FALSE)</f>
        <v>High</v>
      </c>
      <c r="O545">
        <f>VLOOKUP(D545,tblProduct[],4,FALSE)</f>
        <v>75000</v>
      </c>
      <c r="P545">
        <v>1349.3</v>
      </c>
      <c r="Q545" s="19" t="str">
        <f t="shared" si="8"/>
        <v>Mar-2024</v>
      </c>
      <c r="R545" s="26">
        <f>DATE(YEAR(tblEnriched[[#This Row],[Date]]),MONTH(tblEnriched[[#This Row],[Date]]),1)</f>
        <v>45352</v>
      </c>
    </row>
    <row r="546" spans="1:18">
      <c r="A546" t="s">
        <v>2080</v>
      </c>
      <c r="B546" s="10">
        <v>45361</v>
      </c>
      <c r="C546" t="s">
        <v>2081</v>
      </c>
      <c r="D546" t="s">
        <v>54</v>
      </c>
      <c r="E546">
        <v>5</v>
      </c>
      <c r="F546" s="4">
        <v>31.96</v>
      </c>
      <c r="G546" t="s">
        <v>40</v>
      </c>
      <c r="H546" t="s">
        <v>49</v>
      </c>
      <c r="I546">
        <v>5</v>
      </c>
      <c r="J546" t="s">
        <v>43</v>
      </c>
      <c r="K546" t="s">
        <v>35</v>
      </c>
      <c r="L546" s="4">
        <v>159.80000000000001</v>
      </c>
      <c r="M546" t="str">
        <f>VLOOKUP(D546,tblProduct[],2,FALSE)</f>
        <v>Electronics</v>
      </c>
      <c r="N546" t="str">
        <f>VLOOKUP(D546,tblProduct[],3,FALSE)</f>
        <v>Medium</v>
      </c>
      <c r="O546">
        <f>VLOOKUP(D546,tblProduct[],4,FALSE)</f>
        <v>80000</v>
      </c>
      <c r="P546">
        <v>159.80000000000001</v>
      </c>
      <c r="Q546" s="19" t="str">
        <f t="shared" si="8"/>
        <v>Mar-2024</v>
      </c>
      <c r="R546" s="26">
        <f>DATE(YEAR(tblEnriched[[#This Row],[Date]]),MONTH(tblEnriched[[#This Row],[Date]]),1)</f>
        <v>45352</v>
      </c>
    </row>
    <row r="547" spans="1:18">
      <c r="A547" t="s">
        <v>2083</v>
      </c>
      <c r="B547" s="10">
        <v>45279</v>
      </c>
      <c r="C547" t="s">
        <v>2084</v>
      </c>
      <c r="D547" t="s">
        <v>22</v>
      </c>
      <c r="E547">
        <v>2</v>
      </c>
      <c r="F547" s="4">
        <v>98.47</v>
      </c>
      <c r="G547" t="s">
        <v>71</v>
      </c>
      <c r="H547" t="s">
        <v>49</v>
      </c>
      <c r="I547">
        <v>3</v>
      </c>
      <c r="K547" t="s">
        <v>28</v>
      </c>
      <c r="L547" s="4">
        <v>196.94</v>
      </c>
      <c r="M547" t="str">
        <f>VLOOKUP(D547,tblProduct[],2,FALSE)</f>
        <v>Electronics</v>
      </c>
      <c r="N547" t="str">
        <f>VLOOKUP(D547,tblProduct[],3,FALSE)</f>
        <v>Medium</v>
      </c>
      <c r="O547">
        <f>VLOOKUP(D547,tblProduct[],4,FALSE)</f>
        <v>90000</v>
      </c>
      <c r="P547">
        <v>196.94</v>
      </c>
      <c r="Q547" s="19" t="str">
        <f t="shared" si="8"/>
        <v>Dec-2023</v>
      </c>
      <c r="R547" s="26">
        <f>DATE(YEAR(tblEnriched[[#This Row],[Date]]),MONTH(tblEnriched[[#This Row],[Date]]),1)</f>
        <v>45261</v>
      </c>
    </row>
    <row r="548" spans="1:18">
      <c r="A548" t="s">
        <v>2087</v>
      </c>
      <c r="B548" s="10">
        <v>45352</v>
      </c>
      <c r="C548" t="s">
        <v>2088</v>
      </c>
      <c r="D548" t="s">
        <v>22</v>
      </c>
      <c r="E548">
        <v>1</v>
      </c>
      <c r="F548" s="4">
        <v>158.68</v>
      </c>
      <c r="G548" t="s">
        <v>40</v>
      </c>
      <c r="H548" t="s">
        <v>49</v>
      </c>
      <c r="I548">
        <v>6</v>
      </c>
      <c r="J548" t="s">
        <v>87</v>
      </c>
      <c r="K548" t="s">
        <v>28</v>
      </c>
      <c r="L548" s="4">
        <v>158.68</v>
      </c>
      <c r="M548" t="str">
        <f>VLOOKUP(D548,tblProduct[],2,FALSE)</f>
        <v>Electronics</v>
      </c>
      <c r="N548" t="str">
        <f>VLOOKUP(D548,tblProduct[],3,FALSE)</f>
        <v>Medium</v>
      </c>
      <c r="O548">
        <f>VLOOKUP(D548,tblProduct[],4,FALSE)</f>
        <v>90000</v>
      </c>
      <c r="P548">
        <v>158.68</v>
      </c>
      <c r="Q548" s="19" t="str">
        <f t="shared" si="8"/>
        <v>Mar-2024</v>
      </c>
      <c r="R548" s="26">
        <f>DATE(YEAR(tblEnriched[[#This Row],[Date]]),MONTH(tblEnriched[[#This Row],[Date]]),1)</f>
        <v>45352</v>
      </c>
    </row>
    <row r="549" spans="1:18">
      <c r="A549" t="s">
        <v>2090</v>
      </c>
      <c r="B549" s="10">
        <v>45158</v>
      </c>
      <c r="C549" t="s">
        <v>2091</v>
      </c>
      <c r="D549" t="s">
        <v>31</v>
      </c>
      <c r="E549">
        <v>1</v>
      </c>
      <c r="F549" s="4">
        <v>613.98</v>
      </c>
      <c r="G549" t="s">
        <v>33</v>
      </c>
      <c r="H549" t="s">
        <v>56</v>
      </c>
      <c r="I549">
        <v>4</v>
      </c>
      <c r="J549" t="s">
        <v>43</v>
      </c>
      <c r="K549" t="s">
        <v>51</v>
      </c>
      <c r="L549" s="4">
        <v>613.98</v>
      </c>
      <c r="M549" t="str">
        <f>VLOOKUP(D549,tblProduct[],2,FALSE)</f>
        <v>Electronics</v>
      </c>
      <c r="N549" t="str">
        <f>VLOOKUP(D549,tblProduct[],3,FALSE)</f>
        <v>High</v>
      </c>
      <c r="O549">
        <f>VLOOKUP(D549,tblProduct[],4,FALSE)</f>
        <v>120000</v>
      </c>
      <c r="P549">
        <v>613.98</v>
      </c>
      <c r="Q549" s="19" t="str">
        <f t="shared" si="8"/>
        <v>Aug-2023</v>
      </c>
      <c r="R549" s="26">
        <f>DATE(YEAR(tblEnriched[[#This Row],[Date]]),MONTH(tblEnriched[[#This Row],[Date]]),1)</f>
        <v>45139</v>
      </c>
    </row>
    <row r="550" spans="1:18">
      <c r="A550" t="s">
        <v>2094</v>
      </c>
      <c r="B550" s="10">
        <v>45296</v>
      </c>
      <c r="C550" t="s">
        <v>2095</v>
      </c>
      <c r="D550" t="s">
        <v>54</v>
      </c>
      <c r="E550">
        <v>3</v>
      </c>
      <c r="F550" s="4">
        <v>426.12</v>
      </c>
      <c r="G550" t="s">
        <v>33</v>
      </c>
      <c r="H550" t="s">
        <v>56</v>
      </c>
      <c r="I550">
        <v>5</v>
      </c>
      <c r="J550" t="s">
        <v>87</v>
      </c>
      <c r="K550" t="s">
        <v>28</v>
      </c>
      <c r="L550" s="4">
        <v>1278.3599999999999</v>
      </c>
      <c r="M550" t="str">
        <f>VLOOKUP(D550,tblProduct[],2,FALSE)</f>
        <v>Electronics</v>
      </c>
      <c r="N550" t="str">
        <f>VLOOKUP(D550,tblProduct[],3,FALSE)</f>
        <v>Medium</v>
      </c>
      <c r="O550">
        <f>VLOOKUP(D550,tblProduct[],4,FALSE)</f>
        <v>80000</v>
      </c>
      <c r="P550">
        <v>1278.3599999999999</v>
      </c>
      <c r="Q550" s="19" t="str">
        <f t="shared" si="8"/>
        <v>Jan-2024</v>
      </c>
      <c r="R550" s="26">
        <f>DATE(YEAR(tblEnriched[[#This Row],[Date]]),MONTH(tblEnriched[[#This Row],[Date]]),1)</f>
        <v>45292</v>
      </c>
    </row>
    <row r="551" spans="1:18">
      <c r="A551" t="s">
        <v>2097</v>
      </c>
      <c r="B551" s="10">
        <v>45713</v>
      </c>
      <c r="C551" t="s">
        <v>2098</v>
      </c>
      <c r="D551" t="s">
        <v>22</v>
      </c>
      <c r="E551">
        <v>4</v>
      </c>
      <c r="F551" s="4">
        <v>629.88</v>
      </c>
      <c r="G551" t="s">
        <v>24</v>
      </c>
      <c r="H551" t="s">
        <v>41</v>
      </c>
      <c r="I551">
        <v>8</v>
      </c>
      <c r="J551" t="s">
        <v>87</v>
      </c>
      <c r="K551" t="s">
        <v>28</v>
      </c>
      <c r="L551" s="4">
        <v>2519.52</v>
      </c>
      <c r="M551" t="str">
        <f>VLOOKUP(D551,tblProduct[],2,FALSE)</f>
        <v>Electronics</v>
      </c>
      <c r="N551" t="str">
        <f>VLOOKUP(D551,tblProduct[],3,FALSE)</f>
        <v>Medium</v>
      </c>
      <c r="O551">
        <f>VLOOKUP(D551,tblProduct[],4,FALSE)</f>
        <v>90000</v>
      </c>
      <c r="P551">
        <v>2519.52</v>
      </c>
      <c r="Q551" s="19" t="str">
        <f t="shared" si="8"/>
        <v>Feb-2025</v>
      </c>
      <c r="R551" s="26">
        <f>DATE(YEAR(tblEnriched[[#This Row],[Date]]),MONTH(tblEnriched[[#This Row],[Date]]),1)</f>
        <v>45689</v>
      </c>
    </row>
    <row r="552" spans="1:18">
      <c r="A552" t="s">
        <v>2101</v>
      </c>
      <c r="B552" s="10">
        <v>45228</v>
      </c>
      <c r="C552" t="s">
        <v>2102</v>
      </c>
      <c r="D552" t="s">
        <v>64</v>
      </c>
      <c r="E552">
        <v>4</v>
      </c>
      <c r="F552" s="4">
        <v>228.91</v>
      </c>
      <c r="G552" t="s">
        <v>71</v>
      </c>
      <c r="H552" t="s">
        <v>25</v>
      </c>
      <c r="I552">
        <v>4</v>
      </c>
      <c r="J552" t="s">
        <v>43</v>
      </c>
      <c r="K552" t="s">
        <v>82</v>
      </c>
      <c r="L552" s="4">
        <v>915.64</v>
      </c>
      <c r="M552" t="str">
        <f>VLOOKUP(D552,tblProduct[],2,FALSE)</f>
        <v>Electronics</v>
      </c>
      <c r="N552" t="str">
        <f>VLOOKUP(D552,tblProduct[],3,FALSE)</f>
        <v>High</v>
      </c>
      <c r="O552">
        <f>VLOOKUP(D552,tblProduct[],4,FALSE)</f>
        <v>150000</v>
      </c>
      <c r="P552">
        <v>915.64</v>
      </c>
      <c r="Q552" s="19" t="str">
        <f t="shared" si="8"/>
        <v>Oct-2023</v>
      </c>
      <c r="R552" s="26">
        <f>DATE(YEAR(tblEnriched[[#This Row],[Date]]),MONTH(tblEnriched[[#This Row],[Date]]),1)</f>
        <v>45200</v>
      </c>
    </row>
    <row r="553" spans="1:18">
      <c r="A553" t="s">
        <v>2104</v>
      </c>
      <c r="B553" s="10">
        <v>45064</v>
      </c>
      <c r="C553" t="s">
        <v>2105</v>
      </c>
      <c r="D553" t="s">
        <v>64</v>
      </c>
      <c r="E553">
        <v>1</v>
      </c>
      <c r="F553" s="4">
        <v>120.98</v>
      </c>
      <c r="G553" t="s">
        <v>24</v>
      </c>
      <c r="H553" t="s">
        <v>56</v>
      </c>
      <c r="I553">
        <v>6</v>
      </c>
      <c r="J553" t="s">
        <v>87</v>
      </c>
      <c r="K553" t="s">
        <v>44</v>
      </c>
      <c r="L553" s="4">
        <v>120.98</v>
      </c>
      <c r="M553" t="str">
        <f>VLOOKUP(D553,tblProduct[],2,FALSE)</f>
        <v>Electronics</v>
      </c>
      <c r="N553" t="str">
        <f>VLOOKUP(D553,tblProduct[],3,FALSE)</f>
        <v>High</v>
      </c>
      <c r="O553">
        <f>VLOOKUP(D553,tblProduct[],4,FALSE)</f>
        <v>150000</v>
      </c>
      <c r="P553">
        <v>120.98</v>
      </c>
      <c r="Q553" s="19" t="str">
        <f t="shared" si="8"/>
        <v>May-2023</v>
      </c>
      <c r="R553" s="26">
        <f>DATE(YEAR(tblEnriched[[#This Row],[Date]]),MONTH(tblEnriched[[#This Row],[Date]]),1)</f>
        <v>45047</v>
      </c>
    </row>
    <row r="554" spans="1:18">
      <c r="A554" t="s">
        <v>2107</v>
      </c>
      <c r="B554" s="10">
        <v>45199</v>
      </c>
      <c r="C554" t="s">
        <v>2108</v>
      </c>
      <c r="D554" t="s">
        <v>47</v>
      </c>
      <c r="E554">
        <v>4</v>
      </c>
      <c r="F554" s="4">
        <v>425.18</v>
      </c>
      <c r="G554" t="s">
        <v>33</v>
      </c>
      <c r="H554" t="s">
        <v>49</v>
      </c>
      <c r="I554">
        <v>8</v>
      </c>
      <c r="J554" t="s">
        <v>87</v>
      </c>
      <c r="K554" t="s">
        <v>51</v>
      </c>
      <c r="L554" s="4">
        <v>1700.72</v>
      </c>
      <c r="M554" t="str">
        <f>VLOOKUP(D554,tblProduct[],2,FALSE)</f>
        <v>Furniture</v>
      </c>
      <c r="N554" t="str">
        <f>VLOOKUP(D554,tblProduct[],3,FALSE)</f>
        <v>Medium</v>
      </c>
      <c r="O554">
        <f>VLOOKUP(D554,tblProduct[],4,FALSE)</f>
        <v>70000</v>
      </c>
      <c r="P554">
        <v>1700.72</v>
      </c>
      <c r="Q554" s="19" t="str">
        <f t="shared" si="8"/>
        <v>Sep-2023</v>
      </c>
      <c r="R554" s="26">
        <f>DATE(YEAR(tblEnriched[[#This Row],[Date]]),MONTH(tblEnriched[[#This Row],[Date]]),1)</f>
        <v>45170</v>
      </c>
    </row>
    <row r="555" spans="1:18">
      <c r="A555" t="s">
        <v>2110</v>
      </c>
      <c r="B555" s="10">
        <v>45161</v>
      </c>
      <c r="C555" t="s">
        <v>2111</v>
      </c>
      <c r="D555" t="s">
        <v>31</v>
      </c>
      <c r="E555">
        <v>2</v>
      </c>
      <c r="F555" s="4">
        <v>333.83</v>
      </c>
      <c r="G555" t="s">
        <v>66</v>
      </c>
      <c r="H555" t="s">
        <v>41</v>
      </c>
      <c r="I555">
        <v>4</v>
      </c>
      <c r="J555" t="s">
        <v>43</v>
      </c>
      <c r="K555" t="s">
        <v>35</v>
      </c>
      <c r="L555" s="4">
        <v>667.66</v>
      </c>
      <c r="M555" t="str">
        <f>VLOOKUP(D555,tblProduct[],2,FALSE)</f>
        <v>Electronics</v>
      </c>
      <c r="N555" t="str">
        <f>VLOOKUP(D555,tblProduct[],3,FALSE)</f>
        <v>High</v>
      </c>
      <c r="O555">
        <f>VLOOKUP(D555,tblProduct[],4,FALSE)</f>
        <v>120000</v>
      </c>
      <c r="P555">
        <v>667.66</v>
      </c>
      <c r="Q555" s="19" t="str">
        <f t="shared" si="8"/>
        <v>Aug-2023</v>
      </c>
      <c r="R555" s="26">
        <f>DATE(YEAR(tblEnriched[[#This Row],[Date]]),MONTH(tblEnriched[[#This Row],[Date]]),1)</f>
        <v>45139</v>
      </c>
    </row>
    <row r="556" spans="1:18">
      <c r="A556" t="s">
        <v>2114</v>
      </c>
      <c r="B556" s="10">
        <v>45807</v>
      </c>
      <c r="C556" t="s">
        <v>2115</v>
      </c>
      <c r="D556" t="s">
        <v>64</v>
      </c>
      <c r="E556">
        <v>2</v>
      </c>
      <c r="F556" s="4">
        <v>492.9</v>
      </c>
      <c r="G556" t="s">
        <v>71</v>
      </c>
      <c r="H556" t="s">
        <v>49</v>
      </c>
      <c r="I556">
        <v>5</v>
      </c>
      <c r="J556" t="s">
        <v>43</v>
      </c>
      <c r="K556" t="s">
        <v>28</v>
      </c>
      <c r="L556" s="4">
        <v>985.8</v>
      </c>
      <c r="M556" t="str">
        <f>VLOOKUP(D556,tblProduct[],2,FALSE)</f>
        <v>Electronics</v>
      </c>
      <c r="N556" t="str">
        <f>VLOOKUP(D556,tblProduct[],3,FALSE)</f>
        <v>High</v>
      </c>
      <c r="O556">
        <f>VLOOKUP(D556,tblProduct[],4,FALSE)</f>
        <v>150000</v>
      </c>
      <c r="P556">
        <v>985.8</v>
      </c>
      <c r="Q556" s="19" t="str">
        <f t="shared" si="8"/>
        <v>May-2025</v>
      </c>
      <c r="R556" s="26">
        <f>DATE(YEAR(tblEnriched[[#This Row],[Date]]),MONTH(tblEnriched[[#This Row],[Date]]),1)</f>
        <v>45778</v>
      </c>
    </row>
    <row r="557" spans="1:18">
      <c r="A557" t="s">
        <v>2117</v>
      </c>
      <c r="B557" s="10">
        <v>44933</v>
      </c>
      <c r="C557" t="s">
        <v>2118</v>
      </c>
      <c r="D557" t="s">
        <v>38</v>
      </c>
      <c r="E557">
        <v>1</v>
      </c>
      <c r="F557" s="4">
        <v>92.04</v>
      </c>
      <c r="G557" t="s">
        <v>71</v>
      </c>
      <c r="H557" t="s">
        <v>25</v>
      </c>
      <c r="I557">
        <v>2</v>
      </c>
      <c r="K557" t="s">
        <v>51</v>
      </c>
      <c r="L557" s="4">
        <v>92.04</v>
      </c>
      <c r="M557" t="str">
        <f>VLOOKUP(D557,tblProduct[],2,FALSE)</f>
        <v>Electronics</v>
      </c>
      <c r="N557" t="str">
        <f>VLOOKUP(D557,tblProduct[],3,FALSE)</f>
        <v>Medium</v>
      </c>
      <c r="O557">
        <f>VLOOKUP(D557,tblProduct[],4,FALSE)</f>
        <v>100000</v>
      </c>
      <c r="P557">
        <v>92.04</v>
      </c>
      <c r="Q557" s="19" t="str">
        <f t="shared" si="8"/>
        <v>Jan-2023</v>
      </c>
      <c r="R557" s="26">
        <f>DATE(YEAR(tblEnriched[[#This Row],[Date]]),MONTH(tblEnriched[[#This Row],[Date]]),1)</f>
        <v>44927</v>
      </c>
    </row>
    <row r="558" spans="1:18">
      <c r="A558" t="s">
        <v>2120</v>
      </c>
      <c r="B558" s="10">
        <v>44954</v>
      </c>
      <c r="C558" t="s">
        <v>2121</v>
      </c>
      <c r="D558" t="s">
        <v>64</v>
      </c>
      <c r="E558">
        <v>1</v>
      </c>
      <c r="F558" s="4">
        <v>654.27</v>
      </c>
      <c r="G558" t="s">
        <v>66</v>
      </c>
      <c r="H558" t="s">
        <v>95</v>
      </c>
      <c r="I558">
        <v>2</v>
      </c>
      <c r="J558" t="s">
        <v>27</v>
      </c>
      <c r="K558" t="s">
        <v>51</v>
      </c>
      <c r="L558" s="4">
        <v>654.27</v>
      </c>
      <c r="M558" t="str">
        <f>VLOOKUP(D558,tblProduct[],2,FALSE)</f>
        <v>Electronics</v>
      </c>
      <c r="N558" t="str">
        <f>VLOOKUP(D558,tblProduct[],3,FALSE)</f>
        <v>High</v>
      </c>
      <c r="O558">
        <f>VLOOKUP(D558,tblProduct[],4,FALSE)</f>
        <v>150000</v>
      </c>
      <c r="P558">
        <v>654.27</v>
      </c>
      <c r="Q558" s="19" t="str">
        <f t="shared" si="8"/>
        <v>Jan-2023</v>
      </c>
      <c r="R558" s="26">
        <f>DATE(YEAR(tblEnriched[[#This Row],[Date]]),MONTH(tblEnriched[[#This Row],[Date]]),1)</f>
        <v>44927</v>
      </c>
    </row>
    <row r="559" spans="1:18">
      <c r="A559" t="s">
        <v>2124</v>
      </c>
      <c r="B559" s="10">
        <v>45106</v>
      </c>
      <c r="C559" t="s">
        <v>2125</v>
      </c>
      <c r="D559" t="s">
        <v>38</v>
      </c>
      <c r="E559">
        <v>1</v>
      </c>
      <c r="F559" s="4">
        <v>56.2</v>
      </c>
      <c r="G559" t="s">
        <v>24</v>
      </c>
      <c r="H559" t="s">
        <v>95</v>
      </c>
      <c r="I559">
        <v>1</v>
      </c>
      <c r="J559" t="s">
        <v>87</v>
      </c>
      <c r="K559" t="s">
        <v>51</v>
      </c>
      <c r="L559" s="4">
        <v>56.2</v>
      </c>
      <c r="M559" t="str">
        <f>VLOOKUP(D559,tblProduct[],2,FALSE)</f>
        <v>Electronics</v>
      </c>
      <c r="N559" t="str">
        <f>VLOOKUP(D559,tblProduct[],3,FALSE)</f>
        <v>Medium</v>
      </c>
      <c r="O559">
        <f>VLOOKUP(D559,tblProduct[],4,FALSE)</f>
        <v>100000</v>
      </c>
      <c r="P559">
        <v>56.2</v>
      </c>
      <c r="Q559" s="19" t="str">
        <f t="shared" si="8"/>
        <v>Jun-2023</v>
      </c>
      <c r="R559" s="26">
        <f>DATE(YEAR(tblEnriched[[#This Row],[Date]]),MONTH(tblEnriched[[#This Row],[Date]]),1)</f>
        <v>45078</v>
      </c>
    </row>
    <row r="560" spans="1:18">
      <c r="A560" t="s">
        <v>2128</v>
      </c>
      <c r="B560" s="10">
        <v>45489</v>
      </c>
      <c r="C560" t="s">
        <v>2129</v>
      </c>
      <c r="D560" t="s">
        <v>31</v>
      </c>
      <c r="E560">
        <v>4</v>
      </c>
      <c r="F560" s="4">
        <v>628.12</v>
      </c>
      <c r="G560" t="s">
        <v>33</v>
      </c>
      <c r="H560" t="s">
        <v>56</v>
      </c>
      <c r="I560">
        <v>6</v>
      </c>
      <c r="J560" t="s">
        <v>87</v>
      </c>
      <c r="K560" t="s">
        <v>28</v>
      </c>
      <c r="L560" s="4">
        <v>2512.48</v>
      </c>
      <c r="M560" t="str">
        <f>VLOOKUP(D560,tblProduct[],2,FALSE)</f>
        <v>Electronics</v>
      </c>
      <c r="N560" t="str">
        <f>VLOOKUP(D560,tblProduct[],3,FALSE)</f>
        <v>High</v>
      </c>
      <c r="O560">
        <f>VLOOKUP(D560,tblProduct[],4,FALSE)</f>
        <v>120000</v>
      </c>
      <c r="P560">
        <v>2512.48</v>
      </c>
      <c r="Q560" s="19" t="str">
        <f t="shared" si="8"/>
        <v>Jul-2024</v>
      </c>
      <c r="R560" s="26">
        <f>DATE(YEAR(tblEnriched[[#This Row],[Date]]),MONTH(tblEnriched[[#This Row],[Date]]),1)</f>
        <v>45474</v>
      </c>
    </row>
    <row r="561" spans="1:18">
      <c r="A561" t="s">
        <v>2132</v>
      </c>
      <c r="B561" s="10">
        <v>45397</v>
      </c>
      <c r="C561" t="s">
        <v>2133</v>
      </c>
      <c r="D561" t="s">
        <v>79</v>
      </c>
      <c r="E561">
        <v>3</v>
      </c>
      <c r="F561" s="4">
        <v>157.4</v>
      </c>
      <c r="G561" t="s">
        <v>24</v>
      </c>
      <c r="H561" t="s">
        <v>41</v>
      </c>
      <c r="I561">
        <v>7</v>
      </c>
      <c r="J561" t="s">
        <v>87</v>
      </c>
      <c r="K561" t="s">
        <v>44</v>
      </c>
      <c r="L561" s="4">
        <v>472.2</v>
      </c>
      <c r="M561" t="str">
        <f>VLOOKUP(D561,tblProduct[],2,FALSE)</f>
        <v>Furniture</v>
      </c>
      <c r="N561" t="str">
        <f>VLOOKUP(D561,tblProduct[],3,FALSE)</f>
        <v>High</v>
      </c>
      <c r="O561">
        <f>VLOOKUP(D561,tblProduct[],4,FALSE)</f>
        <v>75000</v>
      </c>
      <c r="P561">
        <v>472.2</v>
      </c>
      <c r="Q561" s="19" t="str">
        <f t="shared" si="8"/>
        <v>Apr-2024</v>
      </c>
      <c r="R561" s="26">
        <f>DATE(YEAR(tblEnriched[[#This Row],[Date]]),MONTH(tblEnriched[[#This Row],[Date]]),1)</f>
        <v>45383</v>
      </c>
    </row>
    <row r="562" spans="1:18">
      <c r="A562" t="s">
        <v>2135</v>
      </c>
      <c r="B562" s="10">
        <v>44957</v>
      </c>
      <c r="C562" t="s">
        <v>2136</v>
      </c>
      <c r="D562" t="s">
        <v>22</v>
      </c>
      <c r="E562">
        <v>4</v>
      </c>
      <c r="F562" s="4">
        <v>588.85</v>
      </c>
      <c r="G562" t="s">
        <v>66</v>
      </c>
      <c r="H562" t="s">
        <v>95</v>
      </c>
      <c r="I562">
        <v>7</v>
      </c>
      <c r="K562" t="s">
        <v>44</v>
      </c>
      <c r="L562" s="4">
        <v>2355.4</v>
      </c>
      <c r="M562" t="str">
        <f>VLOOKUP(D562,tblProduct[],2,FALSE)</f>
        <v>Electronics</v>
      </c>
      <c r="N562" t="str">
        <f>VLOOKUP(D562,tblProduct[],3,FALSE)</f>
        <v>Medium</v>
      </c>
      <c r="O562">
        <f>VLOOKUP(D562,tblProduct[],4,FALSE)</f>
        <v>90000</v>
      </c>
      <c r="P562">
        <v>2355.4</v>
      </c>
      <c r="Q562" s="19" t="str">
        <f t="shared" si="8"/>
        <v>Jan-2023</v>
      </c>
      <c r="R562" s="26">
        <f>DATE(YEAR(tblEnriched[[#This Row],[Date]]),MONTH(tblEnriched[[#This Row],[Date]]),1)</f>
        <v>44927</v>
      </c>
    </row>
    <row r="563" spans="1:18">
      <c r="A563" t="s">
        <v>2139</v>
      </c>
      <c r="B563" s="10">
        <v>44957</v>
      </c>
      <c r="C563" t="s">
        <v>2140</v>
      </c>
      <c r="D563" t="s">
        <v>54</v>
      </c>
      <c r="E563">
        <v>2</v>
      </c>
      <c r="F563" s="4">
        <v>494.78</v>
      </c>
      <c r="G563" t="s">
        <v>33</v>
      </c>
      <c r="H563" t="s">
        <v>25</v>
      </c>
      <c r="I563">
        <v>2</v>
      </c>
      <c r="K563" t="s">
        <v>82</v>
      </c>
      <c r="L563" s="4">
        <v>989.56</v>
      </c>
      <c r="M563" t="str">
        <f>VLOOKUP(D563,tblProduct[],2,FALSE)</f>
        <v>Electronics</v>
      </c>
      <c r="N563" t="str">
        <f>VLOOKUP(D563,tblProduct[],3,FALSE)</f>
        <v>Medium</v>
      </c>
      <c r="O563">
        <f>VLOOKUP(D563,tblProduct[],4,FALSE)</f>
        <v>80000</v>
      </c>
      <c r="P563">
        <v>989.56</v>
      </c>
      <c r="Q563" s="19" t="str">
        <f t="shared" si="8"/>
        <v>Jan-2023</v>
      </c>
      <c r="R563" s="26">
        <f>DATE(YEAR(tblEnriched[[#This Row],[Date]]),MONTH(tblEnriched[[#This Row],[Date]]),1)</f>
        <v>44927</v>
      </c>
    </row>
    <row r="564" spans="1:18">
      <c r="A564" t="s">
        <v>2143</v>
      </c>
      <c r="B564" s="10">
        <v>45205</v>
      </c>
      <c r="C564" t="s">
        <v>2144</v>
      </c>
      <c r="D564" t="s">
        <v>64</v>
      </c>
      <c r="E564">
        <v>3</v>
      </c>
      <c r="F564" s="4">
        <v>663.93</v>
      </c>
      <c r="G564" t="s">
        <v>66</v>
      </c>
      <c r="H564" t="s">
        <v>49</v>
      </c>
      <c r="I564">
        <v>6</v>
      </c>
      <c r="J564" t="s">
        <v>43</v>
      </c>
      <c r="K564" t="s">
        <v>44</v>
      </c>
      <c r="L564" s="4">
        <v>1991.79</v>
      </c>
      <c r="M564" t="str">
        <f>VLOOKUP(D564,tblProduct[],2,FALSE)</f>
        <v>Electronics</v>
      </c>
      <c r="N564" t="str">
        <f>VLOOKUP(D564,tblProduct[],3,FALSE)</f>
        <v>High</v>
      </c>
      <c r="O564">
        <f>VLOOKUP(D564,tblProduct[],4,FALSE)</f>
        <v>150000</v>
      </c>
      <c r="P564">
        <v>1991.79</v>
      </c>
      <c r="Q564" s="19" t="str">
        <f t="shared" si="8"/>
        <v>Oct-2023</v>
      </c>
      <c r="R564" s="26">
        <f>DATE(YEAR(tblEnriched[[#This Row],[Date]]),MONTH(tblEnriched[[#This Row],[Date]]),1)</f>
        <v>45200</v>
      </c>
    </row>
    <row r="565" spans="1:18">
      <c r="A565" t="s">
        <v>2146</v>
      </c>
      <c r="B565" s="10">
        <v>45272</v>
      </c>
      <c r="C565" t="s">
        <v>2147</v>
      </c>
      <c r="D565" t="s">
        <v>64</v>
      </c>
      <c r="E565">
        <v>1</v>
      </c>
      <c r="F565" s="4">
        <v>132.68</v>
      </c>
      <c r="G565" t="s">
        <v>24</v>
      </c>
      <c r="H565" t="s">
        <v>49</v>
      </c>
      <c r="I565">
        <v>1</v>
      </c>
      <c r="J565" t="s">
        <v>27</v>
      </c>
      <c r="K565" t="s">
        <v>35</v>
      </c>
      <c r="L565" s="4">
        <v>132.68</v>
      </c>
      <c r="M565" t="str">
        <f>VLOOKUP(D565,tblProduct[],2,FALSE)</f>
        <v>Electronics</v>
      </c>
      <c r="N565" t="str">
        <f>VLOOKUP(D565,tblProduct[],3,FALSE)</f>
        <v>High</v>
      </c>
      <c r="O565">
        <f>VLOOKUP(D565,tblProduct[],4,FALSE)</f>
        <v>150000</v>
      </c>
      <c r="P565">
        <v>132.68</v>
      </c>
      <c r="Q565" s="19" t="str">
        <f t="shared" si="8"/>
        <v>Dec-2023</v>
      </c>
      <c r="R565" s="26">
        <f>DATE(YEAR(tblEnriched[[#This Row],[Date]]),MONTH(tblEnriched[[#This Row],[Date]]),1)</f>
        <v>45261</v>
      </c>
    </row>
    <row r="566" spans="1:18">
      <c r="A566" t="s">
        <v>2150</v>
      </c>
      <c r="B566" s="10">
        <v>45755</v>
      </c>
      <c r="C566" t="s">
        <v>2151</v>
      </c>
      <c r="D566" t="s">
        <v>79</v>
      </c>
      <c r="E566">
        <v>5</v>
      </c>
      <c r="F566" s="4">
        <v>364.28</v>
      </c>
      <c r="G566" t="s">
        <v>40</v>
      </c>
      <c r="H566" t="s">
        <v>41</v>
      </c>
      <c r="I566">
        <v>5</v>
      </c>
      <c r="J566" t="s">
        <v>87</v>
      </c>
      <c r="K566" t="s">
        <v>82</v>
      </c>
      <c r="L566" s="4">
        <v>1821.4</v>
      </c>
      <c r="M566" t="str">
        <f>VLOOKUP(D566,tblProduct[],2,FALSE)</f>
        <v>Furniture</v>
      </c>
      <c r="N566" t="str">
        <f>VLOOKUP(D566,tblProduct[],3,FALSE)</f>
        <v>High</v>
      </c>
      <c r="O566">
        <f>VLOOKUP(D566,tblProduct[],4,FALSE)</f>
        <v>75000</v>
      </c>
      <c r="P566">
        <v>1821.4</v>
      </c>
      <c r="Q566" s="19" t="str">
        <f t="shared" si="8"/>
        <v>Apr-2025</v>
      </c>
      <c r="R566" s="26">
        <f>DATE(YEAR(tblEnriched[[#This Row],[Date]]),MONTH(tblEnriched[[#This Row],[Date]]),1)</f>
        <v>45748</v>
      </c>
    </row>
    <row r="567" spans="1:18">
      <c r="A567" t="s">
        <v>2154</v>
      </c>
      <c r="B567" s="10">
        <v>45060</v>
      </c>
      <c r="C567" t="s">
        <v>2155</v>
      </c>
      <c r="D567" t="s">
        <v>38</v>
      </c>
      <c r="E567">
        <v>5</v>
      </c>
      <c r="F567" s="4">
        <v>307.98</v>
      </c>
      <c r="G567" t="s">
        <v>33</v>
      </c>
      <c r="H567" t="s">
        <v>95</v>
      </c>
      <c r="I567">
        <v>10</v>
      </c>
      <c r="K567" t="s">
        <v>51</v>
      </c>
      <c r="L567" s="4">
        <v>1539.9</v>
      </c>
      <c r="M567" t="str">
        <f>VLOOKUP(D567,tblProduct[],2,FALSE)</f>
        <v>Electronics</v>
      </c>
      <c r="N567" t="str">
        <f>VLOOKUP(D567,tblProduct[],3,FALSE)</f>
        <v>Medium</v>
      </c>
      <c r="O567">
        <f>VLOOKUP(D567,tblProduct[],4,FALSE)</f>
        <v>100000</v>
      </c>
      <c r="P567">
        <v>1539.9</v>
      </c>
      <c r="Q567" s="19" t="str">
        <f t="shared" si="8"/>
        <v>May-2023</v>
      </c>
      <c r="R567" s="26">
        <f>DATE(YEAR(tblEnriched[[#This Row],[Date]]),MONTH(tblEnriched[[#This Row],[Date]]),1)</f>
        <v>45047</v>
      </c>
    </row>
    <row r="568" spans="1:18">
      <c r="A568" t="s">
        <v>2157</v>
      </c>
      <c r="B568" s="10">
        <v>45400</v>
      </c>
      <c r="C568" t="s">
        <v>2158</v>
      </c>
      <c r="D568" t="s">
        <v>31</v>
      </c>
      <c r="E568">
        <v>4</v>
      </c>
      <c r="F568" s="4">
        <v>162.71</v>
      </c>
      <c r="G568" t="s">
        <v>71</v>
      </c>
      <c r="H568" t="s">
        <v>41</v>
      </c>
      <c r="I568">
        <v>7</v>
      </c>
      <c r="J568" t="s">
        <v>43</v>
      </c>
      <c r="K568" t="s">
        <v>44</v>
      </c>
      <c r="L568" s="4">
        <v>650.84</v>
      </c>
      <c r="M568" t="str">
        <f>VLOOKUP(D568,tblProduct[],2,FALSE)</f>
        <v>Electronics</v>
      </c>
      <c r="N568" t="str">
        <f>VLOOKUP(D568,tblProduct[],3,FALSE)</f>
        <v>High</v>
      </c>
      <c r="O568">
        <f>VLOOKUP(D568,tblProduct[],4,FALSE)</f>
        <v>120000</v>
      </c>
      <c r="P568">
        <v>650.84</v>
      </c>
      <c r="Q568" s="19" t="str">
        <f t="shared" si="8"/>
        <v>Apr-2024</v>
      </c>
      <c r="R568" s="26">
        <f>DATE(YEAR(tblEnriched[[#This Row],[Date]]),MONTH(tblEnriched[[#This Row],[Date]]),1)</f>
        <v>45383</v>
      </c>
    </row>
    <row r="569" spans="1:18">
      <c r="A569" t="s">
        <v>2161</v>
      </c>
      <c r="B569" s="10">
        <v>45565</v>
      </c>
      <c r="C569" t="s">
        <v>2162</v>
      </c>
      <c r="D569" t="s">
        <v>47</v>
      </c>
      <c r="E569">
        <v>5</v>
      </c>
      <c r="F569" s="4">
        <v>492.94</v>
      </c>
      <c r="G569" t="s">
        <v>71</v>
      </c>
      <c r="H569" t="s">
        <v>25</v>
      </c>
      <c r="I569">
        <v>10</v>
      </c>
      <c r="J569" t="s">
        <v>43</v>
      </c>
      <c r="K569" t="s">
        <v>44</v>
      </c>
      <c r="L569" s="4">
        <v>2464.6999999999998</v>
      </c>
      <c r="M569" t="str">
        <f>VLOOKUP(D569,tblProduct[],2,FALSE)</f>
        <v>Furniture</v>
      </c>
      <c r="N569" t="str">
        <f>VLOOKUP(D569,tblProduct[],3,FALSE)</f>
        <v>Medium</v>
      </c>
      <c r="O569">
        <f>VLOOKUP(D569,tblProduct[],4,FALSE)</f>
        <v>70000</v>
      </c>
      <c r="P569">
        <v>2464.6999999999998</v>
      </c>
      <c r="Q569" s="19" t="str">
        <f t="shared" si="8"/>
        <v>Sep-2024</v>
      </c>
      <c r="R569" s="26">
        <f>DATE(YEAR(tblEnriched[[#This Row],[Date]]),MONTH(tblEnriched[[#This Row],[Date]]),1)</f>
        <v>45536</v>
      </c>
    </row>
    <row r="570" spans="1:18">
      <c r="A570" t="s">
        <v>2164</v>
      </c>
      <c r="B570" s="10">
        <v>44995</v>
      </c>
      <c r="C570" t="s">
        <v>2165</v>
      </c>
      <c r="D570" t="s">
        <v>64</v>
      </c>
      <c r="E570">
        <v>2</v>
      </c>
      <c r="F570" s="4">
        <v>343.99</v>
      </c>
      <c r="G570" t="s">
        <v>33</v>
      </c>
      <c r="H570" t="s">
        <v>56</v>
      </c>
      <c r="I570">
        <v>4</v>
      </c>
      <c r="K570" t="s">
        <v>82</v>
      </c>
      <c r="L570" s="4">
        <v>687.98</v>
      </c>
      <c r="M570" t="str">
        <f>VLOOKUP(D570,tblProduct[],2,FALSE)</f>
        <v>Electronics</v>
      </c>
      <c r="N570" t="str">
        <f>VLOOKUP(D570,tblProduct[],3,FALSE)</f>
        <v>High</v>
      </c>
      <c r="O570">
        <f>VLOOKUP(D570,tblProduct[],4,FALSE)</f>
        <v>150000</v>
      </c>
      <c r="P570">
        <v>687.98</v>
      </c>
      <c r="Q570" s="19" t="str">
        <f t="shared" si="8"/>
        <v>Mar-2023</v>
      </c>
      <c r="R570" s="26">
        <f>DATE(YEAR(tblEnriched[[#This Row],[Date]]),MONTH(tblEnriched[[#This Row],[Date]]),1)</f>
        <v>44986</v>
      </c>
    </row>
    <row r="571" spans="1:18">
      <c r="A571" t="s">
        <v>2167</v>
      </c>
      <c r="B571" s="10">
        <v>45738</v>
      </c>
      <c r="C571" t="s">
        <v>2168</v>
      </c>
      <c r="D571" t="s">
        <v>79</v>
      </c>
      <c r="E571">
        <v>5</v>
      </c>
      <c r="F571" s="4">
        <v>250.68</v>
      </c>
      <c r="G571" t="s">
        <v>71</v>
      </c>
      <c r="H571" t="s">
        <v>25</v>
      </c>
      <c r="I571">
        <v>8</v>
      </c>
      <c r="J571" t="s">
        <v>27</v>
      </c>
      <c r="K571" t="s">
        <v>28</v>
      </c>
      <c r="L571" s="4">
        <v>1253.4000000000001</v>
      </c>
      <c r="M571" t="str">
        <f>VLOOKUP(D571,tblProduct[],2,FALSE)</f>
        <v>Furniture</v>
      </c>
      <c r="N571" t="str">
        <f>VLOOKUP(D571,tblProduct[],3,FALSE)</f>
        <v>High</v>
      </c>
      <c r="O571">
        <f>VLOOKUP(D571,tblProduct[],4,FALSE)</f>
        <v>75000</v>
      </c>
      <c r="P571">
        <v>1253.4000000000001</v>
      </c>
      <c r="Q571" s="19" t="str">
        <f t="shared" si="8"/>
        <v>Mar-2025</v>
      </c>
      <c r="R571" s="26">
        <f>DATE(YEAR(tblEnriched[[#This Row],[Date]]),MONTH(tblEnriched[[#This Row],[Date]]),1)</f>
        <v>45717</v>
      </c>
    </row>
    <row r="572" spans="1:18">
      <c r="A572" t="s">
        <v>2170</v>
      </c>
      <c r="B572" s="10">
        <v>45653</v>
      </c>
      <c r="C572" t="s">
        <v>2171</v>
      </c>
      <c r="D572" t="s">
        <v>79</v>
      </c>
      <c r="E572">
        <v>2</v>
      </c>
      <c r="F572" s="4">
        <v>362.14</v>
      </c>
      <c r="G572" t="s">
        <v>24</v>
      </c>
      <c r="H572" t="s">
        <v>95</v>
      </c>
      <c r="I572">
        <v>2</v>
      </c>
      <c r="J572" t="s">
        <v>27</v>
      </c>
      <c r="K572" t="s">
        <v>28</v>
      </c>
      <c r="L572" s="4">
        <v>724.28</v>
      </c>
      <c r="M572" t="str">
        <f>VLOOKUP(D572,tblProduct[],2,FALSE)</f>
        <v>Furniture</v>
      </c>
      <c r="N572" t="str">
        <f>VLOOKUP(D572,tblProduct[],3,FALSE)</f>
        <v>High</v>
      </c>
      <c r="O572">
        <f>VLOOKUP(D572,tblProduct[],4,FALSE)</f>
        <v>75000</v>
      </c>
      <c r="P572">
        <v>724.28</v>
      </c>
      <c r="Q572" s="19" t="str">
        <f t="shared" si="8"/>
        <v>Dec-2024</v>
      </c>
      <c r="R572" s="26">
        <f>DATE(YEAR(tblEnriched[[#This Row],[Date]]),MONTH(tblEnriched[[#This Row],[Date]]),1)</f>
        <v>45627</v>
      </c>
    </row>
    <row r="573" spans="1:18">
      <c r="A573" t="s">
        <v>2173</v>
      </c>
      <c r="B573" s="10">
        <v>45619</v>
      </c>
      <c r="C573" t="s">
        <v>2174</v>
      </c>
      <c r="D573" t="s">
        <v>38</v>
      </c>
      <c r="E573">
        <v>1</v>
      </c>
      <c r="F573" s="4">
        <v>214.08</v>
      </c>
      <c r="G573" t="s">
        <v>66</v>
      </c>
      <c r="H573" t="s">
        <v>49</v>
      </c>
      <c r="I573">
        <v>2</v>
      </c>
      <c r="J573" t="s">
        <v>87</v>
      </c>
      <c r="K573" t="s">
        <v>82</v>
      </c>
      <c r="L573" s="4">
        <v>214.08</v>
      </c>
      <c r="M573" t="str">
        <f>VLOOKUP(D573,tblProduct[],2,FALSE)</f>
        <v>Electronics</v>
      </c>
      <c r="N573" t="str">
        <f>VLOOKUP(D573,tblProduct[],3,FALSE)</f>
        <v>Medium</v>
      </c>
      <c r="O573">
        <f>VLOOKUP(D573,tblProduct[],4,FALSE)</f>
        <v>100000</v>
      </c>
      <c r="P573">
        <v>214.08</v>
      </c>
      <c r="Q573" s="19" t="str">
        <f t="shared" si="8"/>
        <v>Nov-2024</v>
      </c>
      <c r="R573" s="26">
        <f>DATE(YEAR(tblEnriched[[#This Row],[Date]]),MONTH(tblEnriched[[#This Row],[Date]]),1)</f>
        <v>45597</v>
      </c>
    </row>
    <row r="574" spans="1:18">
      <c r="A574" t="s">
        <v>2176</v>
      </c>
      <c r="B574" s="10">
        <v>45241</v>
      </c>
      <c r="C574" t="s">
        <v>2177</v>
      </c>
      <c r="D574" t="s">
        <v>54</v>
      </c>
      <c r="E574">
        <v>1</v>
      </c>
      <c r="F574" s="4">
        <v>70.319999999999993</v>
      </c>
      <c r="G574" t="s">
        <v>71</v>
      </c>
      <c r="H574" t="s">
        <v>49</v>
      </c>
      <c r="I574">
        <v>4</v>
      </c>
      <c r="J574" t="s">
        <v>87</v>
      </c>
      <c r="K574" t="s">
        <v>51</v>
      </c>
      <c r="L574" s="4">
        <v>70.319999999999993</v>
      </c>
      <c r="M574" t="str">
        <f>VLOOKUP(D574,tblProduct[],2,FALSE)</f>
        <v>Electronics</v>
      </c>
      <c r="N574" t="str">
        <f>VLOOKUP(D574,tblProduct[],3,FALSE)</f>
        <v>Medium</v>
      </c>
      <c r="O574">
        <f>VLOOKUP(D574,tblProduct[],4,FALSE)</f>
        <v>80000</v>
      </c>
      <c r="P574">
        <v>70.319999999999993</v>
      </c>
      <c r="Q574" s="19" t="str">
        <f t="shared" si="8"/>
        <v>Nov-2023</v>
      </c>
      <c r="R574" s="26">
        <f>DATE(YEAR(tblEnriched[[#This Row],[Date]]),MONTH(tblEnriched[[#This Row],[Date]]),1)</f>
        <v>45231</v>
      </c>
    </row>
    <row r="575" spans="1:18">
      <c r="A575" t="s">
        <v>2179</v>
      </c>
      <c r="B575" s="10">
        <v>44951</v>
      </c>
      <c r="C575" t="s">
        <v>2180</v>
      </c>
      <c r="D575" t="s">
        <v>47</v>
      </c>
      <c r="E575">
        <v>5</v>
      </c>
      <c r="F575" s="4">
        <v>421.42</v>
      </c>
      <c r="G575" t="s">
        <v>24</v>
      </c>
      <c r="H575" t="s">
        <v>41</v>
      </c>
      <c r="I575">
        <v>7</v>
      </c>
      <c r="K575" t="s">
        <v>28</v>
      </c>
      <c r="L575" s="4">
        <v>2107.1</v>
      </c>
      <c r="M575" t="str">
        <f>VLOOKUP(D575,tblProduct[],2,FALSE)</f>
        <v>Furniture</v>
      </c>
      <c r="N575" t="str">
        <f>VLOOKUP(D575,tblProduct[],3,FALSE)</f>
        <v>Medium</v>
      </c>
      <c r="O575">
        <f>VLOOKUP(D575,tblProduct[],4,FALSE)</f>
        <v>70000</v>
      </c>
      <c r="P575">
        <v>2107.1</v>
      </c>
      <c r="Q575" s="19" t="str">
        <f t="shared" si="8"/>
        <v>Jan-2023</v>
      </c>
      <c r="R575" s="26">
        <f>DATE(YEAR(tblEnriched[[#This Row],[Date]]),MONTH(tblEnriched[[#This Row],[Date]]),1)</f>
        <v>44927</v>
      </c>
    </row>
    <row r="576" spans="1:18">
      <c r="A576" t="s">
        <v>2182</v>
      </c>
      <c r="B576" s="10">
        <v>45315</v>
      </c>
      <c r="C576" t="s">
        <v>2183</v>
      </c>
      <c r="D576" t="s">
        <v>47</v>
      </c>
      <c r="E576">
        <v>5</v>
      </c>
      <c r="F576" s="4">
        <v>384.69</v>
      </c>
      <c r="G576" t="s">
        <v>40</v>
      </c>
      <c r="H576" t="s">
        <v>95</v>
      </c>
      <c r="I576">
        <v>6</v>
      </c>
      <c r="J576" t="s">
        <v>43</v>
      </c>
      <c r="K576" t="s">
        <v>44</v>
      </c>
      <c r="L576" s="4">
        <v>1923.45</v>
      </c>
      <c r="M576" t="str">
        <f>VLOOKUP(D576,tblProduct[],2,FALSE)</f>
        <v>Furniture</v>
      </c>
      <c r="N576" t="str">
        <f>VLOOKUP(D576,tblProduct[],3,FALSE)</f>
        <v>Medium</v>
      </c>
      <c r="O576">
        <f>VLOOKUP(D576,tblProduct[],4,FALSE)</f>
        <v>70000</v>
      </c>
      <c r="P576">
        <v>1923.45</v>
      </c>
      <c r="Q576" s="19" t="str">
        <f t="shared" si="8"/>
        <v>Jan-2024</v>
      </c>
      <c r="R576" s="26">
        <f>DATE(YEAR(tblEnriched[[#This Row],[Date]]),MONTH(tblEnriched[[#This Row],[Date]]),1)</f>
        <v>45292</v>
      </c>
    </row>
    <row r="577" spans="1:18">
      <c r="A577" t="s">
        <v>2185</v>
      </c>
      <c r="B577" s="10">
        <v>45084</v>
      </c>
      <c r="C577" t="s">
        <v>2186</v>
      </c>
      <c r="D577" t="s">
        <v>47</v>
      </c>
      <c r="E577">
        <v>5</v>
      </c>
      <c r="F577" s="4">
        <v>448.15</v>
      </c>
      <c r="G577" t="s">
        <v>66</v>
      </c>
      <c r="H577" t="s">
        <v>49</v>
      </c>
      <c r="I577">
        <v>7</v>
      </c>
      <c r="J577" t="s">
        <v>27</v>
      </c>
      <c r="K577" t="s">
        <v>82</v>
      </c>
      <c r="L577" s="4">
        <v>2240.75</v>
      </c>
      <c r="M577" t="str">
        <f>VLOOKUP(D577,tblProduct[],2,FALSE)</f>
        <v>Furniture</v>
      </c>
      <c r="N577" t="str">
        <f>VLOOKUP(D577,tblProduct[],3,FALSE)</f>
        <v>Medium</v>
      </c>
      <c r="O577">
        <f>VLOOKUP(D577,tblProduct[],4,FALSE)</f>
        <v>70000</v>
      </c>
      <c r="P577">
        <v>2240.75</v>
      </c>
      <c r="Q577" s="19" t="str">
        <f t="shared" si="8"/>
        <v>Jun-2023</v>
      </c>
      <c r="R577" s="26">
        <f>DATE(YEAR(tblEnriched[[#This Row],[Date]]),MONTH(tblEnriched[[#This Row],[Date]]),1)</f>
        <v>45078</v>
      </c>
    </row>
    <row r="578" spans="1:18">
      <c r="A578" t="s">
        <v>2189</v>
      </c>
      <c r="B578" s="10">
        <v>45441</v>
      </c>
      <c r="C578" t="s">
        <v>2190</v>
      </c>
      <c r="D578" t="s">
        <v>64</v>
      </c>
      <c r="E578">
        <v>5</v>
      </c>
      <c r="F578" s="4">
        <v>79.08</v>
      </c>
      <c r="G578" t="s">
        <v>71</v>
      </c>
      <c r="H578" t="s">
        <v>95</v>
      </c>
      <c r="I578">
        <v>8</v>
      </c>
      <c r="K578" t="s">
        <v>51</v>
      </c>
      <c r="L578" s="4">
        <v>395.4</v>
      </c>
      <c r="M578" t="str">
        <f>VLOOKUP(D578,tblProduct[],2,FALSE)</f>
        <v>Electronics</v>
      </c>
      <c r="N578" t="str">
        <f>VLOOKUP(D578,tblProduct[],3,FALSE)</f>
        <v>High</v>
      </c>
      <c r="O578">
        <f>VLOOKUP(D578,tblProduct[],4,FALSE)</f>
        <v>150000</v>
      </c>
      <c r="P578">
        <v>395.4</v>
      </c>
      <c r="Q578" s="19" t="str">
        <f t="shared" ref="Q578:Q641" si="9">TEXT(B578,"mmm-yyyy")</f>
        <v>May-2024</v>
      </c>
      <c r="R578" s="26">
        <f>DATE(YEAR(tblEnriched[[#This Row],[Date]]),MONTH(tblEnriched[[#This Row],[Date]]),1)</f>
        <v>45413</v>
      </c>
    </row>
    <row r="579" spans="1:18">
      <c r="A579" t="s">
        <v>2192</v>
      </c>
      <c r="B579" s="10">
        <v>44948</v>
      </c>
      <c r="C579" t="s">
        <v>2193</v>
      </c>
      <c r="D579" t="s">
        <v>38</v>
      </c>
      <c r="E579">
        <v>4</v>
      </c>
      <c r="F579" s="4">
        <v>185.41</v>
      </c>
      <c r="G579" t="s">
        <v>33</v>
      </c>
      <c r="H579" t="s">
        <v>49</v>
      </c>
      <c r="I579">
        <v>9</v>
      </c>
      <c r="J579" t="s">
        <v>87</v>
      </c>
      <c r="K579" t="s">
        <v>82</v>
      </c>
      <c r="L579" s="4">
        <v>741.64</v>
      </c>
      <c r="M579" t="str">
        <f>VLOOKUP(D579,tblProduct[],2,FALSE)</f>
        <v>Electronics</v>
      </c>
      <c r="N579" t="str">
        <f>VLOOKUP(D579,tblProduct[],3,FALSE)</f>
        <v>Medium</v>
      </c>
      <c r="O579">
        <f>VLOOKUP(D579,tblProduct[],4,FALSE)</f>
        <v>100000</v>
      </c>
      <c r="P579">
        <v>741.64</v>
      </c>
      <c r="Q579" s="19" t="str">
        <f t="shared" si="9"/>
        <v>Jan-2023</v>
      </c>
      <c r="R579" s="26">
        <f>DATE(YEAR(tblEnriched[[#This Row],[Date]]),MONTH(tblEnriched[[#This Row],[Date]]),1)</f>
        <v>44927</v>
      </c>
    </row>
    <row r="580" spans="1:18">
      <c r="A580" t="s">
        <v>2195</v>
      </c>
      <c r="B580" s="10">
        <v>45575</v>
      </c>
      <c r="C580" t="s">
        <v>2196</v>
      </c>
      <c r="D580" t="s">
        <v>22</v>
      </c>
      <c r="E580">
        <v>5</v>
      </c>
      <c r="F580" s="4">
        <v>566.07000000000005</v>
      </c>
      <c r="G580" t="s">
        <v>40</v>
      </c>
      <c r="H580" t="s">
        <v>56</v>
      </c>
      <c r="I580">
        <v>6</v>
      </c>
      <c r="J580" t="s">
        <v>27</v>
      </c>
      <c r="K580" t="s">
        <v>28</v>
      </c>
      <c r="L580" s="4">
        <v>2830.35</v>
      </c>
      <c r="M580" t="str">
        <f>VLOOKUP(D580,tblProduct[],2,FALSE)</f>
        <v>Electronics</v>
      </c>
      <c r="N580" t="str">
        <f>VLOOKUP(D580,tblProduct[],3,FALSE)</f>
        <v>Medium</v>
      </c>
      <c r="O580">
        <f>VLOOKUP(D580,tblProduct[],4,FALSE)</f>
        <v>90000</v>
      </c>
      <c r="P580">
        <v>2830.35</v>
      </c>
      <c r="Q580" s="19" t="str">
        <f t="shared" si="9"/>
        <v>Oct-2024</v>
      </c>
      <c r="R580" s="26">
        <f>DATE(YEAR(tblEnriched[[#This Row],[Date]]),MONTH(tblEnriched[[#This Row],[Date]]),1)</f>
        <v>45566</v>
      </c>
    </row>
    <row r="581" spans="1:18">
      <c r="A581" t="s">
        <v>2198</v>
      </c>
      <c r="B581" s="10">
        <v>45081</v>
      </c>
      <c r="C581" t="s">
        <v>2199</v>
      </c>
      <c r="D581" t="s">
        <v>38</v>
      </c>
      <c r="E581">
        <v>2</v>
      </c>
      <c r="F581" s="4">
        <v>187.88</v>
      </c>
      <c r="G581" t="s">
        <v>33</v>
      </c>
      <c r="H581" t="s">
        <v>25</v>
      </c>
      <c r="I581">
        <v>4</v>
      </c>
      <c r="J581" t="s">
        <v>87</v>
      </c>
      <c r="K581" t="s">
        <v>51</v>
      </c>
      <c r="L581" s="4">
        <v>375.76</v>
      </c>
      <c r="M581" t="str">
        <f>VLOOKUP(D581,tblProduct[],2,FALSE)</f>
        <v>Electronics</v>
      </c>
      <c r="N581" t="str">
        <f>VLOOKUP(D581,tblProduct[],3,FALSE)</f>
        <v>Medium</v>
      </c>
      <c r="O581">
        <f>VLOOKUP(D581,tblProduct[],4,FALSE)</f>
        <v>100000</v>
      </c>
      <c r="P581">
        <v>375.76</v>
      </c>
      <c r="Q581" s="19" t="str">
        <f t="shared" si="9"/>
        <v>Jun-2023</v>
      </c>
      <c r="R581" s="26">
        <f>DATE(YEAR(tblEnriched[[#This Row],[Date]]),MONTH(tblEnriched[[#This Row],[Date]]),1)</f>
        <v>45078</v>
      </c>
    </row>
    <row r="582" spans="1:18">
      <c r="A582" t="s">
        <v>2201</v>
      </c>
      <c r="B582" s="10">
        <v>45244</v>
      </c>
      <c r="C582" t="s">
        <v>2202</v>
      </c>
      <c r="D582" t="s">
        <v>22</v>
      </c>
      <c r="E582">
        <v>2</v>
      </c>
      <c r="F582" s="4">
        <v>255.99</v>
      </c>
      <c r="G582" t="s">
        <v>40</v>
      </c>
      <c r="H582" t="s">
        <v>56</v>
      </c>
      <c r="I582">
        <v>4</v>
      </c>
      <c r="J582" t="s">
        <v>27</v>
      </c>
      <c r="K582" t="s">
        <v>28</v>
      </c>
      <c r="L582" s="4">
        <v>511.98</v>
      </c>
      <c r="M582" t="str">
        <f>VLOOKUP(D582,tblProduct[],2,FALSE)</f>
        <v>Electronics</v>
      </c>
      <c r="N582" t="str">
        <f>VLOOKUP(D582,tblProduct[],3,FALSE)</f>
        <v>Medium</v>
      </c>
      <c r="O582">
        <f>VLOOKUP(D582,tblProduct[],4,FALSE)</f>
        <v>90000</v>
      </c>
      <c r="P582">
        <v>511.98</v>
      </c>
      <c r="Q582" s="19" t="str">
        <f t="shared" si="9"/>
        <v>Nov-2023</v>
      </c>
      <c r="R582" s="26">
        <f>DATE(YEAR(tblEnriched[[#This Row],[Date]]),MONTH(tblEnriched[[#This Row],[Date]]),1)</f>
        <v>45231</v>
      </c>
    </row>
    <row r="583" spans="1:18">
      <c r="A583" t="s">
        <v>2205</v>
      </c>
      <c r="B583" s="10">
        <v>45607</v>
      </c>
      <c r="C583" t="s">
        <v>2206</v>
      </c>
      <c r="D583" t="s">
        <v>64</v>
      </c>
      <c r="E583">
        <v>1</v>
      </c>
      <c r="F583" s="4">
        <v>627.34</v>
      </c>
      <c r="G583" t="s">
        <v>33</v>
      </c>
      <c r="H583" t="s">
        <v>56</v>
      </c>
      <c r="I583">
        <v>1</v>
      </c>
      <c r="K583" t="s">
        <v>35</v>
      </c>
      <c r="L583" s="4">
        <v>627.34</v>
      </c>
      <c r="M583" t="str">
        <f>VLOOKUP(D583,tblProduct[],2,FALSE)</f>
        <v>Electronics</v>
      </c>
      <c r="N583" t="str">
        <f>VLOOKUP(D583,tblProduct[],3,FALSE)</f>
        <v>High</v>
      </c>
      <c r="O583">
        <f>VLOOKUP(D583,tblProduct[],4,FALSE)</f>
        <v>150000</v>
      </c>
      <c r="P583">
        <v>627.34</v>
      </c>
      <c r="Q583" s="19" t="str">
        <f t="shared" si="9"/>
        <v>Nov-2024</v>
      </c>
      <c r="R583" s="26">
        <f>DATE(YEAR(tblEnriched[[#This Row],[Date]]),MONTH(tblEnriched[[#This Row],[Date]]),1)</f>
        <v>45597</v>
      </c>
    </row>
    <row r="584" spans="1:18">
      <c r="A584" t="s">
        <v>2208</v>
      </c>
      <c r="B584" s="10">
        <v>45341</v>
      </c>
      <c r="C584" t="s">
        <v>2209</v>
      </c>
      <c r="D584" t="s">
        <v>38</v>
      </c>
      <c r="E584">
        <v>3</v>
      </c>
      <c r="F584" s="4">
        <v>474.14</v>
      </c>
      <c r="G584" t="s">
        <v>66</v>
      </c>
      <c r="H584" t="s">
        <v>25</v>
      </c>
      <c r="I584">
        <v>8</v>
      </c>
      <c r="J584" t="s">
        <v>87</v>
      </c>
      <c r="K584" t="s">
        <v>82</v>
      </c>
      <c r="L584" s="4">
        <v>1422.42</v>
      </c>
      <c r="M584" t="str">
        <f>VLOOKUP(D584,tblProduct[],2,FALSE)</f>
        <v>Electronics</v>
      </c>
      <c r="N584" t="str">
        <f>VLOOKUP(D584,tblProduct[],3,FALSE)</f>
        <v>Medium</v>
      </c>
      <c r="O584">
        <f>VLOOKUP(D584,tblProduct[],4,FALSE)</f>
        <v>100000</v>
      </c>
      <c r="P584">
        <v>1422.42</v>
      </c>
      <c r="Q584" s="19" t="str">
        <f t="shared" si="9"/>
        <v>Feb-2024</v>
      </c>
      <c r="R584" s="26">
        <f>DATE(YEAR(tblEnriched[[#This Row],[Date]]),MONTH(tblEnriched[[#This Row],[Date]]),1)</f>
        <v>45323</v>
      </c>
    </row>
    <row r="585" spans="1:18">
      <c r="A585" t="s">
        <v>2211</v>
      </c>
      <c r="B585" s="10">
        <v>45823</v>
      </c>
      <c r="C585" t="s">
        <v>2212</v>
      </c>
      <c r="D585" t="s">
        <v>47</v>
      </c>
      <c r="E585">
        <v>3</v>
      </c>
      <c r="F585" s="4">
        <v>154.37</v>
      </c>
      <c r="G585" t="s">
        <v>66</v>
      </c>
      <c r="H585" t="s">
        <v>56</v>
      </c>
      <c r="I585">
        <v>4</v>
      </c>
      <c r="K585" t="s">
        <v>28</v>
      </c>
      <c r="L585" s="4">
        <v>463.11</v>
      </c>
      <c r="M585" t="str">
        <f>VLOOKUP(D585,tblProduct[],2,FALSE)</f>
        <v>Furniture</v>
      </c>
      <c r="N585" t="str">
        <f>VLOOKUP(D585,tblProduct[],3,FALSE)</f>
        <v>Medium</v>
      </c>
      <c r="O585">
        <f>VLOOKUP(D585,tblProduct[],4,FALSE)</f>
        <v>70000</v>
      </c>
      <c r="P585">
        <v>463.11</v>
      </c>
      <c r="Q585" s="19" t="str">
        <f t="shared" si="9"/>
        <v>Jun-2025</v>
      </c>
      <c r="R585" s="26">
        <f>DATE(YEAR(tblEnriched[[#This Row],[Date]]),MONTH(tblEnriched[[#This Row],[Date]]),1)</f>
        <v>45809</v>
      </c>
    </row>
    <row r="586" spans="1:18">
      <c r="A586" t="s">
        <v>2214</v>
      </c>
      <c r="B586" s="10">
        <v>45737</v>
      </c>
      <c r="C586" t="s">
        <v>2215</v>
      </c>
      <c r="D586" t="s">
        <v>47</v>
      </c>
      <c r="E586">
        <v>4</v>
      </c>
      <c r="F586" s="4">
        <v>145.05000000000001</v>
      </c>
      <c r="G586" t="s">
        <v>33</v>
      </c>
      <c r="H586" t="s">
        <v>56</v>
      </c>
      <c r="I586">
        <v>6</v>
      </c>
      <c r="J586" t="s">
        <v>27</v>
      </c>
      <c r="K586" t="s">
        <v>82</v>
      </c>
      <c r="L586" s="4">
        <v>580.20000000000005</v>
      </c>
      <c r="M586" t="str">
        <f>VLOOKUP(D586,tblProduct[],2,FALSE)</f>
        <v>Furniture</v>
      </c>
      <c r="N586" t="str">
        <f>VLOOKUP(D586,tblProduct[],3,FALSE)</f>
        <v>Medium</v>
      </c>
      <c r="O586">
        <f>VLOOKUP(D586,tblProduct[],4,FALSE)</f>
        <v>70000</v>
      </c>
      <c r="P586">
        <v>580.20000000000005</v>
      </c>
      <c r="Q586" s="19" t="str">
        <f t="shared" si="9"/>
        <v>Mar-2025</v>
      </c>
      <c r="R586" s="26">
        <f>DATE(YEAR(tblEnriched[[#This Row],[Date]]),MONTH(tblEnriched[[#This Row],[Date]]),1)</f>
        <v>45717</v>
      </c>
    </row>
    <row r="587" spans="1:18">
      <c r="A587" t="s">
        <v>2218</v>
      </c>
      <c r="B587" s="10">
        <v>45158</v>
      </c>
      <c r="C587" t="s">
        <v>2219</v>
      </c>
      <c r="D587" t="s">
        <v>38</v>
      </c>
      <c r="E587">
        <v>4</v>
      </c>
      <c r="F587" s="4">
        <v>67.08</v>
      </c>
      <c r="G587" t="s">
        <v>71</v>
      </c>
      <c r="H587" t="s">
        <v>49</v>
      </c>
      <c r="I587">
        <v>8</v>
      </c>
      <c r="J587" t="s">
        <v>87</v>
      </c>
      <c r="K587" t="s">
        <v>82</v>
      </c>
      <c r="L587" s="4">
        <v>268.32</v>
      </c>
      <c r="M587" t="str">
        <f>VLOOKUP(D587,tblProduct[],2,FALSE)</f>
        <v>Electronics</v>
      </c>
      <c r="N587" t="str">
        <f>VLOOKUP(D587,tblProduct[],3,FALSE)</f>
        <v>Medium</v>
      </c>
      <c r="O587">
        <f>VLOOKUP(D587,tblProduct[],4,FALSE)</f>
        <v>100000</v>
      </c>
      <c r="P587">
        <v>268.32</v>
      </c>
      <c r="Q587" s="19" t="str">
        <f t="shared" si="9"/>
        <v>Aug-2023</v>
      </c>
      <c r="R587" s="26">
        <f>DATE(YEAR(tblEnriched[[#This Row],[Date]]),MONTH(tblEnriched[[#This Row],[Date]]),1)</f>
        <v>45139</v>
      </c>
    </row>
    <row r="588" spans="1:18">
      <c r="A588" t="s">
        <v>2221</v>
      </c>
      <c r="B588" s="10">
        <v>45606</v>
      </c>
      <c r="C588" t="s">
        <v>2222</v>
      </c>
      <c r="D588" t="s">
        <v>22</v>
      </c>
      <c r="E588">
        <v>1</v>
      </c>
      <c r="F588" s="4">
        <v>522.08000000000004</v>
      </c>
      <c r="G588" t="s">
        <v>66</v>
      </c>
      <c r="H588" t="s">
        <v>49</v>
      </c>
      <c r="I588">
        <v>5</v>
      </c>
      <c r="J588" t="s">
        <v>43</v>
      </c>
      <c r="K588" t="s">
        <v>35</v>
      </c>
      <c r="L588" s="4">
        <v>522.08000000000004</v>
      </c>
      <c r="M588" t="str">
        <f>VLOOKUP(D588,tblProduct[],2,FALSE)</f>
        <v>Electronics</v>
      </c>
      <c r="N588" t="str">
        <f>VLOOKUP(D588,tblProduct[],3,FALSE)</f>
        <v>Medium</v>
      </c>
      <c r="O588">
        <f>VLOOKUP(D588,tblProduct[],4,FALSE)</f>
        <v>90000</v>
      </c>
      <c r="P588">
        <v>522.08000000000004</v>
      </c>
      <c r="Q588" s="19" t="str">
        <f t="shared" si="9"/>
        <v>Nov-2024</v>
      </c>
      <c r="R588" s="26">
        <f>DATE(YEAR(tblEnriched[[#This Row],[Date]]),MONTH(tblEnriched[[#This Row],[Date]]),1)</f>
        <v>45597</v>
      </c>
    </row>
    <row r="589" spans="1:18">
      <c r="A589" t="s">
        <v>2225</v>
      </c>
      <c r="B589" s="10">
        <v>45089</v>
      </c>
      <c r="C589" t="s">
        <v>2226</v>
      </c>
      <c r="D589" t="s">
        <v>22</v>
      </c>
      <c r="E589">
        <v>5</v>
      </c>
      <c r="F589" s="4">
        <v>514.6</v>
      </c>
      <c r="G589" t="s">
        <v>66</v>
      </c>
      <c r="H589" t="s">
        <v>56</v>
      </c>
      <c r="I589">
        <v>10</v>
      </c>
      <c r="J589" t="s">
        <v>43</v>
      </c>
      <c r="K589" t="s">
        <v>28</v>
      </c>
      <c r="L589" s="4">
        <v>2573</v>
      </c>
      <c r="M589" t="str">
        <f>VLOOKUP(D589,tblProduct[],2,FALSE)</f>
        <v>Electronics</v>
      </c>
      <c r="N589" t="str">
        <f>VLOOKUP(D589,tblProduct[],3,FALSE)</f>
        <v>Medium</v>
      </c>
      <c r="O589">
        <f>VLOOKUP(D589,tblProduct[],4,FALSE)</f>
        <v>90000</v>
      </c>
      <c r="P589">
        <v>2573</v>
      </c>
      <c r="Q589" s="19" t="str">
        <f t="shared" si="9"/>
        <v>Jun-2023</v>
      </c>
      <c r="R589" s="26">
        <f>DATE(YEAR(tblEnriched[[#This Row],[Date]]),MONTH(tblEnriched[[#This Row],[Date]]),1)</f>
        <v>45078</v>
      </c>
    </row>
    <row r="590" spans="1:18">
      <c r="A590" t="s">
        <v>2229</v>
      </c>
      <c r="B590" s="10">
        <v>45636</v>
      </c>
      <c r="C590" t="s">
        <v>2230</v>
      </c>
      <c r="D590" t="s">
        <v>22</v>
      </c>
      <c r="E590">
        <v>4</v>
      </c>
      <c r="F590" s="4">
        <v>577.82000000000005</v>
      </c>
      <c r="G590" t="s">
        <v>40</v>
      </c>
      <c r="H590" t="s">
        <v>56</v>
      </c>
      <c r="I590">
        <v>9</v>
      </c>
      <c r="K590" t="s">
        <v>82</v>
      </c>
      <c r="L590" s="4">
        <v>2311.2800000000002</v>
      </c>
      <c r="M590" t="str">
        <f>VLOOKUP(D590,tblProduct[],2,FALSE)</f>
        <v>Electronics</v>
      </c>
      <c r="N590" t="str">
        <f>VLOOKUP(D590,tblProduct[],3,FALSE)</f>
        <v>Medium</v>
      </c>
      <c r="O590">
        <f>VLOOKUP(D590,tblProduct[],4,FALSE)</f>
        <v>90000</v>
      </c>
      <c r="P590">
        <v>2311.2800000000002</v>
      </c>
      <c r="Q590" s="19" t="str">
        <f t="shared" si="9"/>
        <v>Dec-2024</v>
      </c>
      <c r="R590" s="26">
        <f>DATE(YEAR(tblEnriched[[#This Row],[Date]]),MONTH(tblEnriched[[#This Row],[Date]]),1)</f>
        <v>45627</v>
      </c>
    </row>
    <row r="591" spans="1:18">
      <c r="A591" t="s">
        <v>2232</v>
      </c>
      <c r="B591" s="10">
        <v>45698</v>
      </c>
      <c r="C591" t="s">
        <v>2233</v>
      </c>
      <c r="D591" t="s">
        <v>64</v>
      </c>
      <c r="E591">
        <v>2</v>
      </c>
      <c r="F591" s="4">
        <v>500.8</v>
      </c>
      <c r="G591" t="s">
        <v>71</v>
      </c>
      <c r="H591" t="s">
        <v>56</v>
      </c>
      <c r="I591">
        <v>3</v>
      </c>
      <c r="J591" t="s">
        <v>43</v>
      </c>
      <c r="K591" t="s">
        <v>35</v>
      </c>
      <c r="L591" s="4">
        <v>1001.6</v>
      </c>
      <c r="M591" t="str">
        <f>VLOOKUP(D591,tblProduct[],2,FALSE)</f>
        <v>Electronics</v>
      </c>
      <c r="N591" t="str">
        <f>VLOOKUP(D591,tblProduct[],3,FALSE)</f>
        <v>High</v>
      </c>
      <c r="O591">
        <f>VLOOKUP(D591,tblProduct[],4,FALSE)</f>
        <v>150000</v>
      </c>
      <c r="P591">
        <v>1001.6</v>
      </c>
      <c r="Q591" s="19" t="str">
        <f t="shared" si="9"/>
        <v>Feb-2025</v>
      </c>
      <c r="R591" s="26">
        <f>DATE(YEAR(tblEnriched[[#This Row],[Date]]),MONTH(tblEnriched[[#This Row],[Date]]),1)</f>
        <v>45689</v>
      </c>
    </row>
    <row r="592" spans="1:18">
      <c r="A592" t="s">
        <v>2236</v>
      </c>
      <c r="B592" s="10">
        <v>45179</v>
      </c>
      <c r="C592" t="s">
        <v>2237</v>
      </c>
      <c r="D592" t="s">
        <v>54</v>
      </c>
      <c r="E592">
        <v>2</v>
      </c>
      <c r="F592" s="4">
        <v>461.13</v>
      </c>
      <c r="G592" t="s">
        <v>66</v>
      </c>
      <c r="H592" t="s">
        <v>49</v>
      </c>
      <c r="I592">
        <v>4</v>
      </c>
      <c r="K592" t="s">
        <v>44</v>
      </c>
      <c r="L592" s="4">
        <v>922.26</v>
      </c>
      <c r="M592" t="str">
        <f>VLOOKUP(D592,tblProduct[],2,FALSE)</f>
        <v>Electronics</v>
      </c>
      <c r="N592" t="str">
        <f>VLOOKUP(D592,tblProduct[],3,FALSE)</f>
        <v>Medium</v>
      </c>
      <c r="O592">
        <f>VLOOKUP(D592,tblProduct[],4,FALSE)</f>
        <v>80000</v>
      </c>
      <c r="P592">
        <v>922.26</v>
      </c>
      <c r="Q592" s="19" t="str">
        <f t="shared" si="9"/>
        <v>Sep-2023</v>
      </c>
      <c r="R592" s="26">
        <f>DATE(YEAR(tblEnriched[[#This Row],[Date]]),MONTH(tblEnriched[[#This Row],[Date]]),1)</f>
        <v>45170</v>
      </c>
    </row>
    <row r="593" spans="1:18">
      <c r="A593" t="s">
        <v>2240</v>
      </c>
      <c r="B593" s="10">
        <v>45614</v>
      </c>
      <c r="C593" t="s">
        <v>2241</v>
      </c>
      <c r="D593" t="s">
        <v>64</v>
      </c>
      <c r="E593">
        <v>1</v>
      </c>
      <c r="F593" s="4">
        <v>605.28</v>
      </c>
      <c r="G593" t="s">
        <v>66</v>
      </c>
      <c r="H593" t="s">
        <v>25</v>
      </c>
      <c r="I593">
        <v>3</v>
      </c>
      <c r="J593" t="s">
        <v>43</v>
      </c>
      <c r="K593" t="s">
        <v>35</v>
      </c>
      <c r="L593" s="4">
        <v>605.28</v>
      </c>
      <c r="M593" t="str">
        <f>VLOOKUP(D593,tblProduct[],2,FALSE)</f>
        <v>Electronics</v>
      </c>
      <c r="N593" t="str">
        <f>VLOOKUP(D593,tblProduct[],3,FALSE)</f>
        <v>High</v>
      </c>
      <c r="O593">
        <f>VLOOKUP(D593,tblProduct[],4,FALSE)</f>
        <v>150000</v>
      </c>
      <c r="P593">
        <v>605.28</v>
      </c>
      <c r="Q593" s="19" t="str">
        <f t="shared" si="9"/>
        <v>Nov-2024</v>
      </c>
      <c r="R593" s="26">
        <f>DATE(YEAR(tblEnriched[[#This Row],[Date]]),MONTH(tblEnriched[[#This Row],[Date]]),1)</f>
        <v>45597</v>
      </c>
    </row>
    <row r="594" spans="1:18">
      <c r="A594" t="s">
        <v>2244</v>
      </c>
      <c r="B594" s="10">
        <v>45405</v>
      </c>
      <c r="C594" t="s">
        <v>2245</v>
      </c>
      <c r="D594" t="s">
        <v>31</v>
      </c>
      <c r="E594">
        <v>3</v>
      </c>
      <c r="F594" s="4">
        <v>204.27</v>
      </c>
      <c r="G594" t="s">
        <v>33</v>
      </c>
      <c r="H594" t="s">
        <v>49</v>
      </c>
      <c r="I594">
        <v>4</v>
      </c>
      <c r="K594" t="s">
        <v>82</v>
      </c>
      <c r="L594" s="4">
        <v>612.81000000000006</v>
      </c>
      <c r="M594" t="str">
        <f>VLOOKUP(D594,tblProduct[],2,FALSE)</f>
        <v>Electronics</v>
      </c>
      <c r="N594" t="str">
        <f>VLOOKUP(D594,tblProduct[],3,FALSE)</f>
        <v>High</v>
      </c>
      <c r="O594">
        <f>VLOOKUP(D594,tblProduct[],4,FALSE)</f>
        <v>120000</v>
      </c>
      <c r="P594">
        <v>612.81000000000006</v>
      </c>
      <c r="Q594" s="19" t="str">
        <f t="shared" si="9"/>
        <v>Apr-2024</v>
      </c>
      <c r="R594" s="26">
        <f>DATE(YEAR(tblEnriched[[#This Row],[Date]]),MONTH(tblEnriched[[#This Row],[Date]]),1)</f>
        <v>45383</v>
      </c>
    </row>
    <row r="595" spans="1:18">
      <c r="A595" t="s">
        <v>2247</v>
      </c>
      <c r="B595" s="10">
        <v>45140</v>
      </c>
      <c r="C595" t="s">
        <v>2248</v>
      </c>
      <c r="D595" t="s">
        <v>22</v>
      </c>
      <c r="E595">
        <v>1</v>
      </c>
      <c r="F595" s="4">
        <v>489.8</v>
      </c>
      <c r="G595" t="s">
        <v>66</v>
      </c>
      <c r="H595" t="s">
        <v>25</v>
      </c>
      <c r="I595">
        <v>4</v>
      </c>
      <c r="J595" t="s">
        <v>43</v>
      </c>
      <c r="K595" t="s">
        <v>51</v>
      </c>
      <c r="L595" s="4">
        <v>489.8</v>
      </c>
      <c r="M595" t="str">
        <f>VLOOKUP(D595,tblProduct[],2,FALSE)</f>
        <v>Electronics</v>
      </c>
      <c r="N595" t="str">
        <f>VLOOKUP(D595,tblProduct[],3,FALSE)</f>
        <v>Medium</v>
      </c>
      <c r="O595">
        <f>VLOOKUP(D595,tblProduct[],4,FALSE)</f>
        <v>90000</v>
      </c>
      <c r="P595">
        <v>489.8</v>
      </c>
      <c r="Q595" s="19" t="str">
        <f t="shared" si="9"/>
        <v>Aug-2023</v>
      </c>
      <c r="R595" s="26">
        <f>DATE(YEAR(tblEnriched[[#This Row],[Date]]),MONTH(tblEnriched[[#This Row],[Date]]),1)</f>
        <v>45139</v>
      </c>
    </row>
    <row r="596" spans="1:18">
      <c r="A596" t="s">
        <v>2250</v>
      </c>
      <c r="B596" s="10">
        <v>45343</v>
      </c>
      <c r="C596" t="s">
        <v>2251</v>
      </c>
      <c r="D596" t="s">
        <v>31</v>
      </c>
      <c r="E596">
        <v>5</v>
      </c>
      <c r="F596" s="4">
        <v>72.64</v>
      </c>
      <c r="G596" t="s">
        <v>40</v>
      </c>
      <c r="H596" t="s">
        <v>41</v>
      </c>
      <c r="I596">
        <v>7</v>
      </c>
      <c r="K596" t="s">
        <v>44</v>
      </c>
      <c r="L596" s="4">
        <v>363.2</v>
      </c>
      <c r="M596" t="str">
        <f>VLOOKUP(D596,tblProduct[],2,FALSE)</f>
        <v>Electronics</v>
      </c>
      <c r="N596" t="str">
        <f>VLOOKUP(D596,tblProduct[],3,FALSE)</f>
        <v>High</v>
      </c>
      <c r="O596">
        <f>VLOOKUP(D596,tblProduct[],4,FALSE)</f>
        <v>120000</v>
      </c>
      <c r="P596">
        <v>363.2</v>
      </c>
      <c r="Q596" s="19" t="str">
        <f t="shared" si="9"/>
        <v>Feb-2024</v>
      </c>
      <c r="R596" s="26">
        <f>DATE(YEAR(tblEnriched[[#This Row],[Date]]),MONTH(tblEnriched[[#This Row],[Date]]),1)</f>
        <v>45323</v>
      </c>
    </row>
    <row r="597" spans="1:18">
      <c r="A597" t="s">
        <v>2253</v>
      </c>
      <c r="B597" s="10">
        <v>45667</v>
      </c>
      <c r="C597" t="s">
        <v>2254</v>
      </c>
      <c r="D597" t="s">
        <v>54</v>
      </c>
      <c r="E597">
        <v>2</v>
      </c>
      <c r="F597" s="4">
        <v>385.16</v>
      </c>
      <c r="G597" t="s">
        <v>33</v>
      </c>
      <c r="H597" t="s">
        <v>95</v>
      </c>
      <c r="I597">
        <v>7</v>
      </c>
      <c r="J597" t="s">
        <v>27</v>
      </c>
      <c r="K597" t="s">
        <v>44</v>
      </c>
      <c r="L597" s="4">
        <v>770.32</v>
      </c>
      <c r="M597" t="str">
        <f>VLOOKUP(D597,tblProduct[],2,FALSE)</f>
        <v>Electronics</v>
      </c>
      <c r="N597" t="str">
        <f>VLOOKUP(D597,tblProduct[],3,FALSE)</f>
        <v>Medium</v>
      </c>
      <c r="O597">
        <f>VLOOKUP(D597,tblProduct[],4,FALSE)</f>
        <v>80000</v>
      </c>
      <c r="P597">
        <v>770.32</v>
      </c>
      <c r="Q597" s="19" t="str">
        <f t="shared" si="9"/>
        <v>Jan-2025</v>
      </c>
      <c r="R597" s="26">
        <f>DATE(YEAR(tblEnriched[[#This Row],[Date]]),MONTH(tblEnriched[[#This Row],[Date]]),1)</f>
        <v>45658</v>
      </c>
    </row>
    <row r="598" spans="1:18">
      <c r="A598" t="s">
        <v>2257</v>
      </c>
      <c r="B598" s="10">
        <v>45089</v>
      </c>
      <c r="C598" t="s">
        <v>2258</v>
      </c>
      <c r="D598" t="s">
        <v>79</v>
      </c>
      <c r="E598">
        <v>3</v>
      </c>
      <c r="F598" s="4">
        <v>606.41</v>
      </c>
      <c r="G598" t="s">
        <v>24</v>
      </c>
      <c r="H598" t="s">
        <v>49</v>
      </c>
      <c r="I598">
        <v>7</v>
      </c>
      <c r="J598" t="s">
        <v>43</v>
      </c>
      <c r="K598" t="s">
        <v>51</v>
      </c>
      <c r="L598" s="4">
        <v>1819.23</v>
      </c>
      <c r="M598" t="str">
        <f>VLOOKUP(D598,tblProduct[],2,FALSE)</f>
        <v>Furniture</v>
      </c>
      <c r="N598" t="str">
        <f>VLOOKUP(D598,tblProduct[],3,FALSE)</f>
        <v>High</v>
      </c>
      <c r="O598">
        <f>VLOOKUP(D598,tblProduct[],4,FALSE)</f>
        <v>75000</v>
      </c>
      <c r="P598">
        <v>1819.23</v>
      </c>
      <c r="Q598" s="19" t="str">
        <f t="shared" si="9"/>
        <v>Jun-2023</v>
      </c>
      <c r="R598" s="26">
        <f>DATE(YEAR(tblEnriched[[#This Row],[Date]]),MONTH(tblEnriched[[#This Row],[Date]]),1)</f>
        <v>45078</v>
      </c>
    </row>
    <row r="599" spans="1:18">
      <c r="A599" t="s">
        <v>2261</v>
      </c>
      <c r="B599" s="10">
        <v>45621</v>
      </c>
      <c r="C599" t="s">
        <v>2262</v>
      </c>
      <c r="D599" t="s">
        <v>79</v>
      </c>
      <c r="E599">
        <v>2</v>
      </c>
      <c r="F599" s="4">
        <v>211.82</v>
      </c>
      <c r="G599" t="s">
        <v>66</v>
      </c>
      <c r="H599" t="s">
        <v>41</v>
      </c>
      <c r="I599">
        <v>4</v>
      </c>
      <c r="J599" t="s">
        <v>87</v>
      </c>
      <c r="K599" t="s">
        <v>44</v>
      </c>
      <c r="L599" s="4">
        <v>423.64</v>
      </c>
      <c r="M599" t="str">
        <f>VLOOKUP(D599,tblProduct[],2,FALSE)</f>
        <v>Furniture</v>
      </c>
      <c r="N599" t="str">
        <f>VLOOKUP(D599,tblProduct[],3,FALSE)</f>
        <v>High</v>
      </c>
      <c r="O599">
        <f>VLOOKUP(D599,tblProduct[],4,FALSE)</f>
        <v>75000</v>
      </c>
      <c r="P599">
        <v>423.64</v>
      </c>
      <c r="Q599" s="19" t="str">
        <f t="shared" si="9"/>
        <v>Nov-2024</v>
      </c>
      <c r="R599" s="26">
        <f>DATE(YEAR(tblEnriched[[#This Row],[Date]]),MONTH(tblEnriched[[#This Row],[Date]]),1)</f>
        <v>45597</v>
      </c>
    </row>
    <row r="600" spans="1:18">
      <c r="A600" t="s">
        <v>2265</v>
      </c>
      <c r="B600" s="10">
        <v>45408</v>
      </c>
      <c r="C600" t="s">
        <v>2266</v>
      </c>
      <c r="D600" t="s">
        <v>79</v>
      </c>
      <c r="E600">
        <v>5</v>
      </c>
      <c r="F600" s="4">
        <v>495.35</v>
      </c>
      <c r="G600" t="s">
        <v>40</v>
      </c>
      <c r="H600" t="s">
        <v>95</v>
      </c>
      <c r="I600">
        <v>5</v>
      </c>
      <c r="K600" t="s">
        <v>51</v>
      </c>
      <c r="L600" s="4">
        <v>2476.75</v>
      </c>
      <c r="M600" t="str">
        <f>VLOOKUP(D600,tblProduct[],2,FALSE)</f>
        <v>Furniture</v>
      </c>
      <c r="N600" t="str">
        <f>VLOOKUP(D600,tblProduct[],3,FALSE)</f>
        <v>High</v>
      </c>
      <c r="O600">
        <f>VLOOKUP(D600,tblProduct[],4,FALSE)</f>
        <v>75000</v>
      </c>
      <c r="P600">
        <v>2476.75</v>
      </c>
      <c r="Q600" s="19" t="str">
        <f t="shared" si="9"/>
        <v>Apr-2024</v>
      </c>
      <c r="R600" s="26">
        <f>DATE(YEAR(tblEnriched[[#This Row],[Date]]),MONTH(tblEnriched[[#This Row],[Date]]),1)</f>
        <v>45383</v>
      </c>
    </row>
    <row r="601" spans="1:18">
      <c r="A601" t="s">
        <v>2268</v>
      </c>
      <c r="B601" s="10">
        <v>45107</v>
      </c>
      <c r="C601" t="s">
        <v>2269</v>
      </c>
      <c r="D601" t="s">
        <v>47</v>
      </c>
      <c r="E601">
        <v>3</v>
      </c>
      <c r="F601" s="4">
        <v>556.99</v>
      </c>
      <c r="G601" t="s">
        <v>33</v>
      </c>
      <c r="H601" t="s">
        <v>41</v>
      </c>
      <c r="I601">
        <v>4</v>
      </c>
      <c r="J601" t="s">
        <v>43</v>
      </c>
      <c r="K601" t="s">
        <v>51</v>
      </c>
      <c r="L601" s="4">
        <v>1670.97</v>
      </c>
      <c r="M601" t="str">
        <f>VLOOKUP(D601,tblProduct[],2,FALSE)</f>
        <v>Furniture</v>
      </c>
      <c r="N601" t="str">
        <f>VLOOKUP(D601,tblProduct[],3,FALSE)</f>
        <v>Medium</v>
      </c>
      <c r="O601">
        <f>VLOOKUP(D601,tblProduct[],4,FALSE)</f>
        <v>70000</v>
      </c>
      <c r="P601">
        <v>1670.97</v>
      </c>
      <c r="Q601" s="19" t="str">
        <f t="shared" si="9"/>
        <v>Jun-2023</v>
      </c>
      <c r="R601" s="26">
        <f>DATE(YEAR(tblEnriched[[#This Row],[Date]]),MONTH(tblEnriched[[#This Row],[Date]]),1)</f>
        <v>45078</v>
      </c>
    </row>
    <row r="602" spans="1:18">
      <c r="A602" t="s">
        <v>2271</v>
      </c>
      <c r="B602" s="10">
        <v>45072</v>
      </c>
      <c r="C602" t="s">
        <v>2272</v>
      </c>
      <c r="D602" t="s">
        <v>54</v>
      </c>
      <c r="E602">
        <v>1</v>
      </c>
      <c r="F602" s="4">
        <v>72.31</v>
      </c>
      <c r="G602" t="s">
        <v>66</v>
      </c>
      <c r="H602" t="s">
        <v>41</v>
      </c>
      <c r="I602">
        <v>1</v>
      </c>
      <c r="J602" t="s">
        <v>43</v>
      </c>
      <c r="K602" t="s">
        <v>51</v>
      </c>
      <c r="L602" s="4">
        <v>72.31</v>
      </c>
      <c r="M602" t="str">
        <f>VLOOKUP(D602,tblProduct[],2,FALSE)</f>
        <v>Electronics</v>
      </c>
      <c r="N602" t="str">
        <f>VLOOKUP(D602,tblProduct[],3,FALSE)</f>
        <v>Medium</v>
      </c>
      <c r="O602">
        <f>VLOOKUP(D602,tblProduct[],4,FALSE)</f>
        <v>80000</v>
      </c>
      <c r="P602">
        <v>72.31</v>
      </c>
      <c r="Q602" s="19" t="str">
        <f t="shared" si="9"/>
        <v>May-2023</v>
      </c>
      <c r="R602" s="26">
        <f>DATE(YEAR(tblEnriched[[#This Row],[Date]]),MONTH(tblEnriched[[#This Row],[Date]]),1)</f>
        <v>45047</v>
      </c>
    </row>
    <row r="603" spans="1:18">
      <c r="A603" t="s">
        <v>2274</v>
      </c>
      <c r="B603" s="10">
        <v>45201</v>
      </c>
      <c r="C603" t="s">
        <v>2275</v>
      </c>
      <c r="D603" t="s">
        <v>22</v>
      </c>
      <c r="E603">
        <v>5</v>
      </c>
      <c r="F603" s="4">
        <v>24.82</v>
      </c>
      <c r="G603" t="s">
        <v>40</v>
      </c>
      <c r="H603" t="s">
        <v>25</v>
      </c>
      <c r="I603">
        <v>10</v>
      </c>
      <c r="K603" t="s">
        <v>35</v>
      </c>
      <c r="L603" s="4">
        <v>124.1</v>
      </c>
      <c r="M603" t="str">
        <f>VLOOKUP(D603,tblProduct[],2,FALSE)</f>
        <v>Electronics</v>
      </c>
      <c r="N603" t="str">
        <f>VLOOKUP(D603,tblProduct[],3,FALSE)</f>
        <v>Medium</v>
      </c>
      <c r="O603">
        <f>VLOOKUP(D603,tblProduct[],4,FALSE)</f>
        <v>90000</v>
      </c>
      <c r="P603">
        <v>124.1</v>
      </c>
      <c r="Q603" s="19" t="str">
        <f t="shared" si="9"/>
        <v>Oct-2023</v>
      </c>
      <c r="R603" s="26">
        <f>DATE(YEAR(tblEnriched[[#This Row],[Date]]),MONTH(tblEnriched[[#This Row],[Date]]),1)</f>
        <v>45200</v>
      </c>
    </row>
    <row r="604" spans="1:18">
      <c r="A604" t="s">
        <v>2278</v>
      </c>
      <c r="B604" s="10">
        <v>45356</v>
      </c>
      <c r="C604" t="s">
        <v>1864</v>
      </c>
      <c r="D604" t="s">
        <v>38</v>
      </c>
      <c r="E604">
        <v>4</v>
      </c>
      <c r="F604" s="4">
        <v>26.04</v>
      </c>
      <c r="G604" t="s">
        <v>33</v>
      </c>
      <c r="H604" t="s">
        <v>95</v>
      </c>
      <c r="I604">
        <v>5</v>
      </c>
      <c r="J604" t="s">
        <v>27</v>
      </c>
      <c r="K604" t="s">
        <v>28</v>
      </c>
      <c r="L604" s="4">
        <v>104.16</v>
      </c>
      <c r="M604" t="str">
        <f>VLOOKUP(D604,tblProduct[],2,FALSE)</f>
        <v>Electronics</v>
      </c>
      <c r="N604" t="str">
        <f>VLOOKUP(D604,tblProduct[],3,FALSE)</f>
        <v>Medium</v>
      </c>
      <c r="O604">
        <f>VLOOKUP(D604,tblProduct[],4,FALSE)</f>
        <v>100000</v>
      </c>
      <c r="P604">
        <v>104.16</v>
      </c>
      <c r="Q604" s="19" t="str">
        <f t="shared" si="9"/>
        <v>Mar-2024</v>
      </c>
      <c r="R604" s="26">
        <f>DATE(YEAR(tblEnriched[[#This Row],[Date]]),MONTH(tblEnriched[[#This Row],[Date]]),1)</f>
        <v>45352</v>
      </c>
    </row>
    <row r="605" spans="1:18">
      <c r="A605" t="s">
        <v>2280</v>
      </c>
      <c r="B605" s="10">
        <v>45569</v>
      </c>
      <c r="C605" t="s">
        <v>2281</v>
      </c>
      <c r="D605" t="s">
        <v>38</v>
      </c>
      <c r="E605">
        <v>1</v>
      </c>
      <c r="F605" s="4">
        <v>657.07</v>
      </c>
      <c r="G605" t="s">
        <v>71</v>
      </c>
      <c r="H605" t="s">
        <v>95</v>
      </c>
      <c r="I605">
        <v>4</v>
      </c>
      <c r="J605" t="s">
        <v>27</v>
      </c>
      <c r="K605" t="s">
        <v>82</v>
      </c>
      <c r="L605" s="4">
        <v>657.07</v>
      </c>
      <c r="M605" t="str">
        <f>VLOOKUP(D605,tblProduct[],2,FALSE)</f>
        <v>Electronics</v>
      </c>
      <c r="N605" t="str">
        <f>VLOOKUP(D605,tblProduct[],3,FALSE)</f>
        <v>Medium</v>
      </c>
      <c r="O605">
        <f>VLOOKUP(D605,tblProduct[],4,FALSE)</f>
        <v>100000</v>
      </c>
      <c r="P605">
        <v>657.07</v>
      </c>
      <c r="Q605" s="19" t="str">
        <f t="shared" si="9"/>
        <v>Oct-2024</v>
      </c>
      <c r="R605" s="26">
        <f>DATE(YEAR(tblEnriched[[#This Row],[Date]]),MONTH(tblEnriched[[#This Row],[Date]]),1)</f>
        <v>45566</v>
      </c>
    </row>
    <row r="606" spans="1:18">
      <c r="A606" t="s">
        <v>2284</v>
      </c>
      <c r="B606" s="10">
        <v>45830</v>
      </c>
      <c r="C606" t="s">
        <v>2285</v>
      </c>
      <c r="D606" t="s">
        <v>47</v>
      </c>
      <c r="E606">
        <v>3</v>
      </c>
      <c r="F606" s="4">
        <v>32.619999999999997</v>
      </c>
      <c r="G606" t="s">
        <v>24</v>
      </c>
      <c r="H606" t="s">
        <v>56</v>
      </c>
      <c r="I606">
        <v>6</v>
      </c>
      <c r="K606" t="s">
        <v>51</v>
      </c>
      <c r="L606" s="4">
        <v>97.859999999999985</v>
      </c>
      <c r="M606" t="str">
        <f>VLOOKUP(D606,tblProduct[],2,FALSE)</f>
        <v>Furniture</v>
      </c>
      <c r="N606" t="str">
        <f>VLOOKUP(D606,tblProduct[],3,FALSE)</f>
        <v>Medium</v>
      </c>
      <c r="O606">
        <f>VLOOKUP(D606,tblProduct[],4,FALSE)</f>
        <v>70000</v>
      </c>
      <c r="P606">
        <v>97.859999999999985</v>
      </c>
      <c r="Q606" s="19" t="str">
        <f t="shared" si="9"/>
        <v>Jun-2025</v>
      </c>
      <c r="R606" s="26">
        <f>DATE(YEAR(tblEnriched[[#This Row],[Date]]),MONTH(tblEnriched[[#This Row],[Date]]),1)</f>
        <v>45809</v>
      </c>
    </row>
    <row r="607" spans="1:18">
      <c r="A607" t="s">
        <v>2287</v>
      </c>
      <c r="B607" s="10">
        <v>45422</v>
      </c>
      <c r="C607" t="s">
        <v>2288</v>
      </c>
      <c r="D607" t="s">
        <v>22</v>
      </c>
      <c r="E607">
        <v>2</v>
      </c>
      <c r="F607" s="4">
        <v>228.91</v>
      </c>
      <c r="G607" t="s">
        <v>24</v>
      </c>
      <c r="H607" t="s">
        <v>25</v>
      </c>
      <c r="I607">
        <v>4</v>
      </c>
      <c r="J607" t="s">
        <v>27</v>
      </c>
      <c r="K607" t="s">
        <v>35</v>
      </c>
      <c r="L607" s="4">
        <v>457.82</v>
      </c>
      <c r="M607" t="str">
        <f>VLOOKUP(D607,tblProduct[],2,FALSE)</f>
        <v>Electronics</v>
      </c>
      <c r="N607" t="str">
        <f>VLOOKUP(D607,tblProduct[],3,FALSE)</f>
        <v>Medium</v>
      </c>
      <c r="O607">
        <f>VLOOKUP(D607,tblProduct[],4,FALSE)</f>
        <v>90000</v>
      </c>
      <c r="P607">
        <v>457.82</v>
      </c>
      <c r="Q607" s="19" t="str">
        <f t="shared" si="9"/>
        <v>May-2024</v>
      </c>
      <c r="R607" s="26">
        <f>DATE(YEAR(tblEnriched[[#This Row],[Date]]),MONTH(tblEnriched[[#This Row],[Date]]),1)</f>
        <v>45413</v>
      </c>
    </row>
    <row r="608" spans="1:18">
      <c r="A608" t="s">
        <v>2291</v>
      </c>
      <c r="B608" s="10">
        <v>45602</v>
      </c>
      <c r="C608" t="s">
        <v>2292</v>
      </c>
      <c r="D608" t="s">
        <v>64</v>
      </c>
      <c r="E608">
        <v>3</v>
      </c>
      <c r="F608" s="4">
        <v>274.75</v>
      </c>
      <c r="G608" t="s">
        <v>71</v>
      </c>
      <c r="H608" t="s">
        <v>41</v>
      </c>
      <c r="I608">
        <v>3</v>
      </c>
      <c r="J608" t="s">
        <v>27</v>
      </c>
      <c r="K608" t="s">
        <v>82</v>
      </c>
      <c r="L608" s="4">
        <v>824.25</v>
      </c>
      <c r="M608" t="str">
        <f>VLOOKUP(D608,tblProduct[],2,FALSE)</f>
        <v>Electronics</v>
      </c>
      <c r="N608" t="str">
        <f>VLOOKUP(D608,tblProduct[],3,FALSE)</f>
        <v>High</v>
      </c>
      <c r="O608">
        <f>VLOOKUP(D608,tblProduct[],4,FALSE)</f>
        <v>150000</v>
      </c>
      <c r="P608">
        <v>824.25</v>
      </c>
      <c r="Q608" s="19" t="str">
        <f t="shared" si="9"/>
        <v>Nov-2024</v>
      </c>
      <c r="R608" s="26">
        <f>DATE(YEAR(tblEnriched[[#This Row],[Date]]),MONTH(tblEnriched[[#This Row],[Date]]),1)</f>
        <v>45597</v>
      </c>
    </row>
    <row r="609" spans="1:18">
      <c r="A609" t="s">
        <v>2294</v>
      </c>
      <c r="B609" s="10">
        <v>45808</v>
      </c>
      <c r="C609" t="s">
        <v>2295</v>
      </c>
      <c r="D609" t="s">
        <v>54</v>
      </c>
      <c r="E609">
        <v>4</v>
      </c>
      <c r="F609" s="4">
        <v>634.04999999999995</v>
      </c>
      <c r="G609" t="s">
        <v>71</v>
      </c>
      <c r="H609" t="s">
        <v>25</v>
      </c>
      <c r="I609">
        <v>6</v>
      </c>
      <c r="J609" t="s">
        <v>27</v>
      </c>
      <c r="K609" t="s">
        <v>82</v>
      </c>
      <c r="L609" s="4">
        <v>2536.1999999999998</v>
      </c>
      <c r="M609" t="str">
        <f>VLOOKUP(D609,tblProduct[],2,FALSE)</f>
        <v>Electronics</v>
      </c>
      <c r="N609" t="str">
        <f>VLOOKUP(D609,tblProduct[],3,FALSE)</f>
        <v>Medium</v>
      </c>
      <c r="O609">
        <f>VLOOKUP(D609,tblProduct[],4,FALSE)</f>
        <v>80000</v>
      </c>
      <c r="P609">
        <v>2536.1999999999998</v>
      </c>
      <c r="Q609" s="19" t="str">
        <f t="shared" si="9"/>
        <v>May-2025</v>
      </c>
      <c r="R609" s="26">
        <f>DATE(YEAR(tblEnriched[[#This Row],[Date]]),MONTH(tblEnriched[[#This Row],[Date]]),1)</f>
        <v>45778</v>
      </c>
    </row>
    <row r="610" spans="1:18">
      <c r="A610" t="s">
        <v>2298</v>
      </c>
      <c r="B610" s="10">
        <v>45497</v>
      </c>
      <c r="C610" t="s">
        <v>2299</v>
      </c>
      <c r="D610" t="s">
        <v>64</v>
      </c>
      <c r="E610">
        <v>5</v>
      </c>
      <c r="F610" s="4">
        <v>543.16</v>
      </c>
      <c r="G610" t="s">
        <v>33</v>
      </c>
      <c r="H610" t="s">
        <v>41</v>
      </c>
      <c r="I610">
        <v>6</v>
      </c>
      <c r="J610" t="s">
        <v>27</v>
      </c>
      <c r="K610" t="s">
        <v>28</v>
      </c>
      <c r="L610" s="4">
        <v>2715.8</v>
      </c>
      <c r="M610" t="str">
        <f>VLOOKUP(D610,tblProduct[],2,FALSE)</f>
        <v>Electronics</v>
      </c>
      <c r="N610" t="str">
        <f>VLOOKUP(D610,tblProduct[],3,FALSE)</f>
        <v>High</v>
      </c>
      <c r="O610">
        <f>VLOOKUP(D610,tblProduct[],4,FALSE)</f>
        <v>150000</v>
      </c>
      <c r="P610">
        <v>2715.8</v>
      </c>
      <c r="Q610" s="19" t="str">
        <f t="shared" si="9"/>
        <v>Jul-2024</v>
      </c>
      <c r="R610" s="26">
        <f>DATE(YEAR(tblEnriched[[#This Row],[Date]]),MONTH(tblEnriched[[#This Row],[Date]]),1)</f>
        <v>45474</v>
      </c>
    </row>
    <row r="611" spans="1:18">
      <c r="A611" t="s">
        <v>2302</v>
      </c>
      <c r="B611" s="10">
        <v>45684</v>
      </c>
      <c r="C611" t="s">
        <v>2303</v>
      </c>
      <c r="D611" t="s">
        <v>47</v>
      </c>
      <c r="E611">
        <v>3</v>
      </c>
      <c r="F611" s="4">
        <v>449.13</v>
      </c>
      <c r="G611" t="s">
        <v>71</v>
      </c>
      <c r="H611" t="s">
        <v>49</v>
      </c>
      <c r="I611">
        <v>5</v>
      </c>
      <c r="J611" t="s">
        <v>87</v>
      </c>
      <c r="K611" t="s">
        <v>35</v>
      </c>
      <c r="L611" s="4">
        <v>1347.39</v>
      </c>
      <c r="M611" t="str">
        <f>VLOOKUP(D611,tblProduct[],2,FALSE)</f>
        <v>Furniture</v>
      </c>
      <c r="N611" t="str">
        <f>VLOOKUP(D611,tblProduct[],3,FALSE)</f>
        <v>Medium</v>
      </c>
      <c r="O611">
        <f>VLOOKUP(D611,tblProduct[],4,FALSE)</f>
        <v>70000</v>
      </c>
      <c r="P611">
        <v>1347.39</v>
      </c>
      <c r="Q611" s="19" t="str">
        <f t="shared" si="9"/>
        <v>Jan-2025</v>
      </c>
      <c r="R611" s="26">
        <f>DATE(YEAR(tblEnriched[[#This Row],[Date]]),MONTH(tblEnriched[[#This Row],[Date]]),1)</f>
        <v>45658</v>
      </c>
    </row>
    <row r="612" spans="1:18">
      <c r="A612" t="s">
        <v>2306</v>
      </c>
      <c r="B612" s="10">
        <v>45459</v>
      </c>
      <c r="C612" t="s">
        <v>2307</v>
      </c>
      <c r="D612" t="s">
        <v>79</v>
      </c>
      <c r="E612">
        <v>5</v>
      </c>
      <c r="F612" s="4">
        <v>389.62</v>
      </c>
      <c r="G612" t="s">
        <v>71</v>
      </c>
      <c r="H612" t="s">
        <v>49</v>
      </c>
      <c r="I612">
        <v>7</v>
      </c>
      <c r="J612" t="s">
        <v>43</v>
      </c>
      <c r="K612" t="s">
        <v>51</v>
      </c>
      <c r="L612" s="4">
        <v>1948.1</v>
      </c>
      <c r="M612" t="str">
        <f>VLOOKUP(D612,tblProduct[],2,FALSE)</f>
        <v>Furniture</v>
      </c>
      <c r="N612" t="str">
        <f>VLOOKUP(D612,tblProduct[],3,FALSE)</f>
        <v>High</v>
      </c>
      <c r="O612">
        <f>VLOOKUP(D612,tblProduct[],4,FALSE)</f>
        <v>75000</v>
      </c>
      <c r="P612">
        <v>1948.1</v>
      </c>
      <c r="Q612" s="19" t="str">
        <f t="shared" si="9"/>
        <v>Jun-2024</v>
      </c>
      <c r="R612" s="26">
        <f>DATE(YEAR(tblEnriched[[#This Row],[Date]]),MONTH(tblEnriched[[#This Row],[Date]]),1)</f>
        <v>45444</v>
      </c>
    </row>
    <row r="613" spans="1:18">
      <c r="A613" t="s">
        <v>2309</v>
      </c>
      <c r="B613" s="10">
        <v>45037</v>
      </c>
      <c r="C613" t="s">
        <v>2310</v>
      </c>
      <c r="D613" t="s">
        <v>79</v>
      </c>
      <c r="E613">
        <v>1</v>
      </c>
      <c r="F613" s="4">
        <v>305.17</v>
      </c>
      <c r="G613" t="s">
        <v>66</v>
      </c>
      <c r="H613" t="s">
        <v>49</v>
      </c>
      <c r="I613">
        <v>3</v>
      </c>
      <c r="J613" t="s">
        <v>87</v>
      </c>
      <c r="K613" t="s">
        <v>35</v>
      </c>
      <c r="L613" s="4">
        <v>305.17</v>
      </c>
      <c r="M613" t="str">
        <f>VLOOKUP(D613,tblProduct[],2,FALSE)</f>
        <v>Furniture</v>
      </c>
      <c r="N613" t="str">
        <f>VLOOKUP(D613,tblProduct[],3,FALSE)</f>
        <v>High</v>
      </c>
      <c r="O613">
        <f>VLOOKUP(D613,tblProduct[],4,FALSE)</f>
        <v>75000</v>
      </c>
      <c r="P613">
        <v>305.17</v>
      </c>
      <c r="Q613" s="19" t="str">
        <f t="shared" si="9"/>
        <v>Apr-2023</v>
      </c>
      <c r="R613" s="26">
        <f>DATE(YEAR(tblEnriched[[#This Row],[Date]]),MONTH(tblEnriched[[#This Row],[Date]]),1)</f>
        <v>45017</v>
      </c>
    </row>
    <row r="614" spans="1:18">
      <c r="A614" t="s">
        <v>2312</v>
      </c>
      <c r="B614" s="10">
        <v>45079</v>
      </c>
      <c r="C614" t="s">
        <v>2313</v>
      </c>
      <c r="D614" t="s">
        <v>47</v>
      </c>
      <c r="E614">
        <v>3</v>
      </c>
      <c r="F614" s="4">
        <v>445.12</v>
      </c>
      <c r="G614" t="s">
        <v>66</v>
      </c>
      <c r="H614" t="s">
        <v>41</v>
      </c>
      <c r="I614">
        <v>8</v>
      </c>
      <c r="K614" t="s">
        <v>82</v>
      </c>
      <c r="L614" s="4">
        <v>1335.36</v>
      </c>
      <c r="M614" t="str">
        <f>VLOOKUP(D614,tblProduct[],2,FALSE)</f>
        <v>Furniture</v>
      </c>
      <c r="N614" t="str">
        <f>VLOOKUP(D614,tblProduct[],3,FALSE)</f>
        <v>Medium</v>
      </c>
      <c r="O614">
        <f>VLOOKUP(D614,tblProduct[],4,FALSE)</f>
        <v>70000</v>
      </c>
      <c r="P614">
        <v>1335.36</v>
      </c>
      <c r="Q614" s="19" t="str">
        <f t="shared" si="9"/>
        <v>Jun-2023</v>
      </c>
      <c r="R614" s="26">
        <f>DATE(YEAR(tblEnriched[[#This Row],[Date]]),MONTH(tblEnriched[[#This Row],[Date]]),1)</f>
        <v>45078</v>
      </c>
    </row>
    <row r="615" spans="1:18">
      <c r="A615" t="s">
        <v>2315</v>
      </c>
      <c r="B615" s="10">
        <v>45645</v>
      </c>
      <c r="C615" t="s">
        <v>2316</v>
      </c>
      <c r="D615" t="s">
        <v>64</v>
      </c>
      <c r="E615">
        <v>2</v>
      </c>
      <c r="F615" s="4">
        <v>230.36</v>
      </c>
      <c r="G615" t="s">
        <v>33</v>
      </c>
      <c r="H615" t="s">
        <v>49</v>
      </c>
      <c r="I615">
        <v>4</v>
      </c>
      <c r="J615" t="s">
        <v>87</v>
      </c>
      <c r="K615" t="s">
        <v>44</v>
      </c>
      <c r="L615" s="4">
        <v>460.72</v>
      </c>
      <c r="M615" t="str">
        <f>VLOOKUP(D615,tblProduct[],2,FALSE)</f>
        <v>Electronics</v>
      </c>
      <c r="N615" t="str">
        <f>VLOOKUP(D615,tblProduct[],3,FALSE)</f>
        <v>High</v>
      </c>
      <c r="O615">
        <f>VLOOKUP(D615,tblProduct[],4,FALSE)</f>
        <v>150000</v>
      </c>
      <c r="P615">
        <v>460.72</v>
      </c>
      <c r="Q615" s="19" t="str">
        <f t="shared" si="9"/>
        <v>Dec-2024</v>
      </c>
      <c r="R615" s="26">
        <f>DATE(YEAR(tblEnriched[[#This Row],[Date]]),MONTH(tblEnriched[[#This Row],[Date]]),1)</f>
        <v>45627</v>
      </c>
    </row>
    <row r="616" spans="1:18">
      <c r="A616" t="s">
        <v>2319</v>
      </c>
      <c r="B616" s="10">
        <v>45359</v>
      </c>
      <c r="C616" t="s">
        <v>2320</v>
      </c>
      <c r="D616" t="s">
        <v>31</v>
      </c>
      <c r="E616">
        <v>1</v>
      </c>
      <c r="F616" s="4">
        <v>96.81</v>
      </c>
      <c r="G616" t="s">
        <v>66</v>
      </c>
      <c r="H616" t="s">
        <v>41</v>
      </c>
      <c r="I616">
        <v>3</v>
      </c>
      <c r="K616" t="s">
        <v>35</v>
      </c>
      <c r="L616" s="4">
        <v>96.81</v>
      </c>
      <c r="M616" t="str">
        <f>VLOOKUP(D616,tblProduct[],2,FALSE)</f>
        <v>Electronics</v>
      </c>
      <c r="N616" t="str">
        <f>VLOOKUP(D616,tblProduct[],3,FALSE)</f>
        <v>High</v>
      </c>
      <c r="O616">
        <f>VLOOKUP(D616,tblProduct[],4,FALSE)</f>
        <v>120000</v>
      </c>
      <c r="P616">
        <v>96.81</v>
      </c>
      <c r="Q616" s="19" t="str">
        <f t="shared" si="9"/>
        <v>Mar-2024</v>
      </c>
      <c r="R616" s="26">
        <f>DATE(YEAR(tblEnriched[[#This Row],[Date]]),MONTH(tblEnriched[[#This Row],[Date]]),1)</f>
        <v>45352</v>
      </c>
    </row>
    <row r="617" spans="1:18">
      <c r="A617" t="s">
        <v>2322</v>
      </c>
      <c r="B617" s="10">
        <v>45723</v>
      </c>
      <c r="C617" t="s">
        <v>2323</v>
      </c>
      <c r="D617" t="s">
        <v>22</v>
      </c>
      <c r="E617">
        <v>5</v>
      </c>
      <c r="F617" s="4">
        <v>460.14</v>
      </c>
      <c r="G617" t="s">
        <v>40</v>
      </c>
      <c r="H617" t="s">
        <v>49</v>
      </c>
      <c r="I617">
        <v>10</v>
      </c>
      <c r="J617" t="s">
        <v>87</v>
      </c>
      <c r="K617" t="s">
        <v>51</v>
      </c>
      <c r="L617" s="4">
        <v>2300.6999999999998</v>
      </c>
      <c r="M617" t="str">
        <f>VLOOKUP(D617,tblProduct[],2,FALSE)</f>
        <v>Electronics</v>
      </c>
      <c r="N617" t="str">
        <f>VLOOKUP(D617,tblProduct[],3,FALSE)</f>
        <v>Medium</v>
      </c>
      <c r="O617">
        <f>VLOOKUP(D617,tblProduct[],4,FALSE)</f>
        <v>90000</v>
      </c>
      <c r="P617">
        <v>2300.6999999999998</v>
      </c>
      <c r="Q617" s="19" t="str">
        <f t="shared" si="9"/>
        <v>Mar-2025</v>
      </c>
      <c r="R617" s="26">
        <f>DATE(YEAR(tblEnriched[[#This Row],[Date]]),MONTH(tblEnriched[[#This Row],[Date]]),1)</f>
        <v>45717</v>
      </c>
    </row>
    <row r="618" spans="1:18">
      <c r="A618" t="s">
        <v>2325</v>
      </c>
      <c r="B618" s="10">
        <v>45582</v>
      </c>
      <c r="C618" t="s">
        <v>2326</v>
      </c>
      <c r="D618" t="s">
        <v>38</v>
      </c>
      <c r="E618">
        <v>3</v>
      </c>
      <c r="F618" s="4">
        <v>601.6</v>
      </c>
      <c r="G618" t="s">
        <v>40</v>
      </c>
      <c r="H618" t="s">
        <v>41</v>
      </c>
      <c r="I618">
        <v>7</v>
      </c>
      <c r="J618" t="s">
        <v>27</v>
      </c>
      <c r="K618" t="s">
        <v>51</v>
      </c>
      <c r="L618" s="4">
        <v>1804.8</v>
      </c>
      <c r="M618" t="str">
        <f>VLOOKUP(D618,tblProduct[],2,FALSE)</f>
        <v>Electronics</v>
      </c>
      <c r="N618" t="str">
        <f>VLOOKUP(D618,tblProduct[],3,FALSE)</f>
        <v>Medium</v>
      </c>
      <c r="O618">
        <f>VLOOKUP(D618,tblProduct[],4,FALSE)</f>
        <v>100000</v>
      </c>
      <c r="P618">
        <v>1804.8</v>
      </c>
      <c r="Q618" s="19" t="str">
        <f t="shared" si="9"/>
        <v>Oct-2024</v>
      </c>
      <c r="R618" s="26">
        <f>DATE(YEAR(tblEnriched[[#This Row],[Date]]),MONTH(tblEnriched[[#This Row],[Date]]),1)</f>
        <v>45566</v>
      </c>
    </row>
    <row r="619" spans="1:18">
      <c r="A619" t="s">
        <v>2329</v>
      </c>
      <c r="B619" s="10">
        <v>45330</v>
      </c>
      <c r="C619" t="s">
        <v>2330</v>
      </c>
      <c r="D619" t="s">
        <v>38</v>
      </c>
      <c r="E619">
        <v>3</v>
      </c>
      <c r="F619" s="4">
        <v>184.47</v>
      </c>
      <c r="G619" t="s">
        <v>33</v>
      </c>
      <c r="H619" t="s">
        <v>41</v>
      </c>
      <c r="I619">
        <v>4</v>
      </c>
      <c r="K619" t="s">
        <v>35</v>
      </c>
      <c r="L619" s="4">
        <v>553.41</v>
      </c>
      <c r="M619" t="str">
        <f>VLOOKUP(D619,tblProduct[],2,FALSE)</f>
        <v>Electronics</v>
      </c>
      <c r="N619" t="str">
        <f>VLOOKUP(D619,tblProduct[],3,FALSE)</f>
        <v>Medium</v>
      </c>
      <c r="O619">
        <f>VLOOKUP(D619,tblProduct[],4,FALSE)</f>
        <v>100000</v>
      </c>
      <c r="P619">
        <v>553.41</v>
      </c>
      <c r="Q619" s="19" t="str">
        <f t="shared" si="9"/>
        <v>Feb-2024</v>
      </c>
      <c r="R619" s="26">
        <f>DATE(YEAR(tblEnriched[[#This Row],[Date]]),MONTH(tblEnriched[[#This Row],[Date]]),1)</f>
        <v>45323</v>
      </c>
    </row>
    <row r="620" spans="1:18">
      <c r="A620" t="s">
        <v>2333</v>
      </c>
      <c r="B620" s="10">
        <v>45538</v>
      </c>
      <c r="C620" t="s">
        <v>2334</v>
      </c>
      <c r="D620" t="s">
        <v>38</v>
      </c>
      <c r="E620">
        <v>1</v>
      </c>
      <c r="F620" s="4">
        <v>411.34</v>
      </c>
      <c r="G620" t="s">
        <v>24</v>
      </c>
      <c r="H620" t="s">
        <v>49</v>
      </c>
      <c r="I620">
        <v>5</v>
      </c>
      <c r="K620" t="s">
        <v>28</v>
      </c>
      <c r="L620" s="4">
        <v>411.34</v>
      </c>
      <c r="M620" t="str">
        <f>VLOOKUP(D620,tblProduct[],2,FALSE)</f>
        <v>Electronics</v>
      </c>
      <c r="N620" t="str">
        <f>VLOOKUP(D620,tblProduct[],3,FALSE)</f>
        <v>Medium</v>
      </c>
      <c r="O620">
        <f>VLOOKUP(D620,tblProduct[],4,FALSE)</f>
        <v>100000</v>
      </c>
      <c r="P620">
        <v>411.34</v>
      </c>
      <c r="Q620" s="19" t="str">
        <f t="shared" si="9"/>
        <v>Sep-2024</v>
      </c>
      <c r="R620" s="26">
        <f>DATE(YEAR(tblEnriched[[#This Row],[Date]]),MONTH(tblEnriched[[#This Row],[Date]]),1)</f>
        <v>45536</v>
      </c>
    </row>
    <row r="621" spans="1:18">
      <c r="A621" t="s">
        <v>2337</v>
      </c>
      <c r="B621" s="10">
        <v>45489</v>
      </c>
      <c r="C621" t="s">
        <v>2338</v>
      </c>
      <c r="D621" t="s">
        <v>64</v>
      </c>
      <c r="E621">
        <v>1</v>
      </c>
      <c r="F621" s="4">
        <v>532.89</v>
      </c>
      <c r="G621" t="s">
        <v>66</v>
      </c>
      <c r="H621" t="s">
        <v>95</v>
      </c>
      <c r="I621">
        <v>2</v>
      </c>
      <c r="K621" t="s">
        <v>35</v>
      </c>
      <c r="L621" s="4">
        <v>532.89</v>
      </c>
      <c r="M621" t="str">
        <f>VLOOKUP(D621,tblProduct[],2,FALSE)</f>
        <v>Electronics</v>
      </c>
      <c r="N621" t="str">
        <f>VLOOKUP(D621,tblProduct[],3,FALSE)</f>
        <v>High</v>
      </c>
      <c r="O621">
        <f>VLOOKUP(D621,tblProduct[],4,FALSE)</f>
        <v>150000</v>
      </c>
      <c r="P621">
        <v>532.89</v>
      </c>
      <c r="Q621" s="19" t="str">
        <f t="shared" si="9"/>
        <v>Jul-2024</v>
      </c>
      <c r="R621" s="26">
        <f>DATE(YEAR(tblEnriched[[#This Row],[Date]]),MONTH(tblEnriched[[#This Row],[Date]]),1)</f>
        <v>45474</v>
      </c>
    </row>
    <row r="622" spans="1:18">
      <c r="A622" t="s">
        <v>2340</v>
      </c>
      <c r="B622" s="10">
        <v>45378</v>
      </c>
      <c r="C622" t="s">
        <v>2341</v>
      </c>
      <c r="D622" t="s">
        <v>38</v>
      </c>
      <c r="E622">
        <v>3</v>
      </c>
      <c r="F622" s="4">
        <v>136.34</v>
      </c>
      <c r="G622" t="s">
        <v>24</v>
      </c>
      <c r="H622" t="s">
        <v>49</v>
      </c>
      <c r="I622">
        <v>8</v>
      </c>
      <c r="J622" t="s">
        <v>27</v>
      </c>
      <c r="K622" t="s">
        <v>35</v>
      </c>
      <c r="L622" s="4">
        <v>409.02</v>
      </c>
      <c r="M622" t="str">
        <f>VLOOKUP(D622,tblProduct[],2,FALSE)</f>
        <v>Electronics</v>
      </c>
      <c r="N622" t="str">
        <f>VLOOKUP(D622,tblProduct[],3,FALSE)</f>
        <v>Medium</v>
      </c>
      <c r="O622">
        <f>VLOOKUP(D622,tblProduct[],4,FALSE)</f>
        <v>100000</v>
      </c>
      <c r="P622">
        <v>409.02</v>
      </c>
      <c r="Q622" s="19" t="str">
        <f t="shared" si="9"/>
        <v>Mar-2024</v>
      </c>
      <c r="R622" s="26">
        <f>DATE(YEAR(tblEnriched[[#This Row],[Date]]),MONTH(tblEnriched[[#This Row],[Date]]),1)</f>
        <v>45352</v>
      </c>
    </row>
    <row r="623" spans="1:18">
      <c r="A623" t="s">
        <v>2344</v>
      </c>
      <c r="B623" s="10">
        <v>45221</v>
      </c>
      <c r="C623" t="s">
        <v>2345</v>
      </c>
      <c r="D623" t="s">
        <v>31</v>
      </c>
      <c r="E623">
        <v>5</v>
      </c>
      <c r="F623" s="4">
        <v>476.01</v>
      </c>
      <c r="G623" t="s">
        <v>40</v>
      </c>
      <c r="H623" t="s">
        <v>56</v>
      </c>
      <c r="I623">
        <v>7</v>
      </c>
      <c r="J623" t="s">
        <v>87</v>
      </c>
      <c r="K623" t="s">
        <v>82</v>
      </c>
      <c r="L623" s="4">
        <v>2380.0500000000002</v>
      </c>
      <c r="M623" t="str">
        <f>VLOOKUP(D623,tblProduct[],2,FALSE)</f>
        <v>Electronics</v>
      </c>
      <c r="N623" t="str">
        <f>VLOOKUP(D623,tblProduct[],3,FALSE)</f>
        <v>High</v>
      </c>
      <c r="O623">
        <f>VLOOKUP(D623,tblProduct[],4,FALSE)</f>
        <v>120000</v>
      </c>
      <c r="P623">
        <v>2380.0500000000002</v>
      </c>
      <c r="Q623" s="19" t="str">
        <f t="shared" si="9"/>
        <v>Oct-2023</v>
      </c>
      <c r="R623" s="26">
        <f>DATE(YEAR(tblEnriched[[#This Row],[Date]]),MONTH(tblEnriched[[#This Row],[Date]]),1)</f>
        <v>45200</v>
      </c>
    </row>
    <row r="624" spans="1:18">
      <c r="A624" t="s">
        <v>2347</v>
      </c>
      <c r="B624" s="10">
        <v>45598</v>
      </c>
      <c r="C624" t="s">
        <v>2348</v>
      </c>
      <c r="D624" t="s">
        <v>79</v>
      </c>
      <c r="E624">
        <v>5</v>
      </c>
      <c r="F624" s="4">
        <v>236.38</v>
      </c>
      <c r="G624" t="s">
        <v>40</v>
      </c>
      <c r="H624" t="s">
        <v>49</v>
      </c>
      <c r="I624">
        <v>7</v>
      </c>
      <c r="K624" t="s">
        <v>51</v>
      </c>
      <c r="L624" s="4">
        <v>1181.9000000000001</v>
      </c>
      <c r="M624" t="str">
        <f>VLOOKUP(D624,tblProduct[],2,FALSE)</f>
        <v>Furniture</v>
      </c>
      <c r="N624" t="str">
        <f>VLOOKUP(D624,tblProduct[],3,FALSE)</f>
        <v>High</v>
      </c>
      <c r="O624">
        <f>VLOOKUP(D624,tblProduct[],4,FALSE)</f>
        <v>75000</v>
      </c>
      <c r="P624">
        <v>1181.9000000000001</v>
      </c>
      <c r="Q624" s="19" t="str">
        <f t="shared" si="9"/>
        <v>Nov-2024</v>
      </c>
      <c r="R624" s="26">
        <f>DATE(YEAR(tblEnriched[[#This Row],[Date]]),MONTH(tblEnriched[[#This Row],[Date]]),1)</f>
        <v>45597</v>
      </c>
    </row>
    <row r="625" spans="1:18">
      <c r="A625" t="s">
        <v>2350</v>
      </c>
      <c r="B625" s="10">
        <v>45093</v>
      </c>
      <c r="C625" t="s">
        <v>2351</v>
      </c>
      <c r="D625" t="s">
        <v>54</v>
      </c>
      <c r="E625">
        <v>3</v>
      </c>
      <c r="F625" s="4">
        <v>396</v>
      </c>
      <c r="G625" t="s">
        <v>66</v>
      </c>
      <c r="H625" t="s">
        <v>41</v>
      </c>
      <c r="I625">
        <v>4</v>
      </c>
      <c r="J625" t="s">
        <v>43</v>
      </c>
      <c r="K625" t="s">
        <v>28</v>
      </c>
      <c r="L625" s="4">
        <v>1188</v>
      </c>
      <c r="M625" t="str">
        <f>VLOOKUP(D625,tblProduct[],2,FALSE)</f>
        <v>Electronics</v>
      </c>
      <c r="N625" t="str">
        <f>VLOOKUP(D625,tblProduct[],3,FALSE)</f>
        <v>Medium</v>
      </c>
      <c r="O625">
        <f>VLOOKUP(D625,tblProduct[],4,FALSE)</f>
        <v>80000</v>
      </c>
      <c r="P625">
        <v>1188</v>
      </c>
      <c r="Q625" s="19" t="str">
        <f t="shared" si="9"/>
        <v>Jun-2023</v>
      </c>
      <c r="R625" s="26">
        <f>DATE(YEAR(tblEnriched[[#This Row],[Date]]),MONTH(tblEnriched[[#This Row],[Date]]),1)</f>
        <v>45078</v>
      </c>
    </row>
    <row r="626" spans="1:18">
      <c r="A626" t="s">
        <v>2354</v>
      </c>
      <c r="B626" s="10">
        <v>45307</v>
      </c>
      <c r="C626" t="s">
        <v>2355</v>
      </c>
      <c r="D626" t="s">
        <v>38</v>
      </c>
      <c r="E626">
        <v>5</v>
      </c>
      <c r="F626" s="4">
        <v>341.96</v>
      </c>
      <c r="G626" t="s">
        <v>24</v>
      </c>
      <c r="H626" t="s">
        <v>56</v>
      </c>
      <c r="I626">
        <v>6</v>
      </c>
      <c r="K626" t="s">
        <v>44</v>
      </c>
      <c r="L626" s="4">
        <v>1709.8</v>
      </c>
      <c r="M626" t="str">
        <f>VLOOKUP(D626,tblProduct[],2,FALSE)</f>
        <v>Electronics</v>
      </c>
      <c r="N626" t="str">
        <f>VLOOKUP(D626,tblProduct[],3,FALSE)</f>
        <v>Medium</v>
      </c>
      <c r="O626">
        <f>VLOOKUP(D626,tblProduct[],4,FALSE)</f>
        <v>100000</v>
      </c>
      <c r="P626">
        <v>1709.8</v>
      </c>
      <c r="Q626" s="19" t="str">
        <f t="shared" si="9"/>
        <v>Jan-2024</v>
      </c>
      <c r="R626" s="26">
        <f>DATE(YEAR(tblEnriched[[#This Row],[Date]]),MONTH(tblEnriched[[#This Row],[Date]]),1)</f>
        <v>45292</v>
      </c>
    </row>
    <row r="627" spans="1:18">
      <c r="A627" t="s">
        <v>2357</v>
      </c>
      <c r="B627" s="10">
        <v>45193</v>
      </c>
      <c r="C627" t="s">
        <v>2358</v>
      </c>
      <c r="D627" t="s">
        <v>38</v>
      </c>
      <c r="E627">
        <v>1</v>
      </c>
      <c r="F627" s="4">
        <v>672.89</v>
      </c>
      <c r="G627" t="s">
        <v>40</v>
      </c>
      <c r="H627" t="s">
        <v>95</v>
      </c>
      <c r="I627">
        <v>1</v>
      </c>
      <c r="J627" t="s">
        <v>87</v>
      </c>
      <c r="K627" t="s">
        <v>44</v>
      </c>
      <c r="L627" s="4">
        <v>672.89</v>
      </c>
      <c r="M627" t="str">
        <f>VLOOKUP(D627,tblProduct[],2,FALSE)</f>
        <v>Electronics</v>
      </c>
      <c r="N627" t="str">
        <f>VLOOKUP(D627,tblProduct[],3,FALSE)</f>
        <v>Medium</v>
      </c>
      <c r="O627">
        <f>VLOOKUP(D627,tblProduct[],4,FALSE)</f>
        <v>100000</v>
      </c>
      <c r="P627">
        <v>672.89</v>
      </c>
      <c r="Q627" s="19" t="str">
        <f t="shared" si="9"/>
        <v>Sep-2023</v>
      </c>
      <c r="R627" s="26">
        <f>DATE(YEAR(tblEnriched[[#This Row],[Date]]),MONTH(tblEnriched[[#This Row],[Date]]),1)</f>
        <v>45170</v>
      </c>
    </row>
    <row r="628" spans="1:18">
      <c r="A628" t="s">
        <v>2361</v>
      </c>
      <c r="B628" s="10">
        <v>45352</v>
      </c>
      <c r="C628" t="s">
        <v>2362</v>
      </c>
      <c r="D628" t="s">
        <v>38</v>
      </c>
      <c r="E628">
        <v>2</v>
      </c>
      <c r="F628" s="4">
        <v>657.48</v>
      </c>
      <c r="G628" t="s">
        <v>33</v>
      </c>
      <c r="H628" t="s">
        <v>25</v>
      </c>
      <c r="I628">
        <v>5</v>
      </c>
      <c r="J628" t="s">
        <v>27</v>
      </c>
      <c r="K628" t="s">
        <v>35</v>
      </c>
      <c r="L628" s="4">
        <v>1314.96</v>
      </c>
      <c r="M628" t="str">
        <f>VLOOKUP(D628,tblProduct[],2,FALSE)</f>
        <v>Electronics</v>
      </c>
      <c r="N628" t="str">
        <f>VLOOKUP(D628,tblProduct[],3,FALSE)</f>
        <v>Medium</v>
      </c>
      <c r="O628">
        <f>VLOOKUP(D628,tblProduct[],4,FALSE)</f>
        <v>100000</v>
      </c>
      <c r="P628">
        <v>1314.96</v>
      </c>
      <c r="Q628" s="19" t="str">
        <f t="shared" si="9"/>
        <v>Mar-2024</v>
      </c>
      <c r="R628" s="26">
        <f>DATE(YEAR(tblEnriched[[#This Row],[Date]]),MONTH(tblEnriched[[#This Row],[Date]]),1)</f>
        <v>45352</v>
      </c>
    </row>
    <row r="629" spans="1:18">
      <c r="A629" t="s">
        <v>2364</v>
      </c>
      <c r="B629" s="10">
        <v>45144</v>
      </c>
      <c r="C629" t="s">
        <v>2365</v>
      </c>
      <c r="D629" t="s">
        <v>47</v>
      </c>
      <c r="E629">
        <v>3</v>
      </c>
      <c r="F629" s="4">
        <v>498.68</v>
      </c>
      <c r="G629" t="s">
        <v>33</v>
      </c>
      <c r="H629" t="s">
        <v>49</v>
      </c>
      <c r="I629">
        <v>4</v>
      </c>
      <c r="J629" t="s">
        <v>43</v>
      </c>
      <c r="K629" t="s">
        <v>44</v>
      </c>
      <c r="L629" s="4">
        <v>1496.04</v>
      </c>
      <c r="M629" t="str">
        <f>VLOOKUP(D629,tblProduct[],2,FALSE)</f>
        <v>Furniture</v>
      </c>
      <c r="N629" t="str">
        <f>VLOOKUP(D629,tblProduct[],3,FALSE)</f>
        <v>Medium</v>
      </c>
      <c r="O629">
        <f>VLOOKUP(D629,tblProduct[],4,FALSE)</f>
        <v>70000</v>
      </c>
      <c r="P629">
        <v>1496.04</v>
      </c>
      <c r="Q629" s="19" t="str">
        <f t="shared" si="9"/>
        <v>Aug-2023</v>
      </c>
      <c r="R629" s="26">
        <f>DATE(YEAR(tblEnriched[[#This Row],[Date]]),MONTH(tblEnriched[[#This Row],[Date]]),1)</f>
        <v>45139</v>
      </c>
    </row>
    <row r="630" spans="1:18">
      <c r="A630" t="s">
        <v>2367</v>
      </c>
      <c r="B630" s="10">
        <v>45011</v>
      </c>
      <c r="C630" t="s">
        <v>2368</v>
      </c>
      <c r="D630" t="s">
        <v>54</v>
      </c>
      <c r="E630">
        <v>5</v>
      </c>
      <c r="F630" s="4">
        <v>558.63</v>
      </c>
      <c r="G630" t="s">
        <v>71</v>
      </c>
      <c r="H630" t="s">
        <v>95</v>
      </c>
      <c r="I630">
        <v>8</v>
      </c>
      <c r="J630" t="s">
        <v>43</v>
      </c>
      <c r="K630" t="s">
        <v>35</v>
      </c>
      <c r="L630" s="4">
        <v>2793.15</v>
      </c>
      <c r="M630" t="str">
        <f>VLOOKUP(D630,tblProduct[],2,FALSE)</f>
        <v>Electronics</v>
      </c>
      <c r="N630" t="str">
        <f>VLOOKUP(D630,tblProduct[],3,FALSE)</f>
        <v>Medium</v>
      </c>
      <c r="O630">
        <f>VLOOKUP(D630,tblProduct[],4,FALSE)</f>
        <v>80000</v>
      </c>
      <c r="P630">
        <v>2793.15</v>
      </c>
      <c r="Q630" s="19" t="str">
        <f t="shared" si="9"/>
        <v>Mar-2023</v>
      </c>
      <c r="R630" s="26">
        <f>DATE(YEAR(tblEnriched[[#This Row],[Date]]),MONTH(tblEnriched[[#This Row],[Date]]),1)</f>
        <v>44986</v>
      </c>
    </row>
    <row r="631" spans="1:18">
      <c r="A631" t="s">
        <v>2371</v>
      </c>
      <c r="B631" s="10">
        <v>45114</v>
      </c>
      <c r="C631" t="s">
        <v>2372</v>
      </c>
      <c r="D631" t="s">
        <v>31</v>
      </c>
      <c r="E631">
        <v>3</v>
      </c>
      <c r="F631" s="4">
        <v>19.73</v>
      </c>
      <c r="G631" t="s">
        <v>33</v>
      </c>
      <c r="H631" t="s">
        <v>95</v>
      </c>
      <c r="I631">
        <v>3</v>
      </c>
      <c r="K631" t="s">
        <v>35</v>
      </c>
      <c r="L631" s="4">
        <v>59.19</v>
      </c>
      <c r="M631" t="str">
        <f>VLOOKUP(D631,tblProduct[],2,FALSE)</f>
        <v>Electronics</v>
      </c>
      <c r="N631" t="str">
        <f>VLOOKUP(D631,tblProduct[],3,FALSE)</f>
        <v>High</v>
      </c>
      <c r="O631">
        <f>VLOOKUP(D631,tblProduct[],4,FALSE)</f>
        <v>120000</v>
      </c>
      <c r="P631">
        <v>59.19</v>
      </c>
      <c r="Q631" s="19" t="str">
        <f t="shared" si="9"/>
        <v>Jul-2023</v>
      </c>
      <c r="R631" s="26">
        <f>DATE(YEAR(tblEnriched[[#This Row],[Date]]),MONTH(tblEnriched[[#This Row],[Date]]),1)</f>
        <v>45108</v>
      </c>
    </row>
    <row r="632" spans="1:18">
      <c r="A632" t="s">
        <v>2375</v>
      </c>
      <c r="B632" s="10">
        <v>45100</v>
      </c>
      <c r="C632" t="s">
        <v>2376</v>
      </c>
      <c r="D632" t="s">
        <v>22</v>
      </c>
      <c r="E632">
        <v>5</v>
      </c>
      <c r="F632" s="4">
        <v>248.84</v>
      </c>
      <c r="G632" t="s">
        <v>24</v>
      </c>
      <c r="H632" t="s">
        <v>41</v>
      </c>
      <c r="I632">
        <v>10</v>
      </c>
      <c r="K632" t="s">
        <v>28</v>
      </c>
      <c r="L632" s="4">
        <v>1244.2</v>
      </c>
      <c r="M632" t="str">
        <f>VLOOKUP(D632,tblProduct[],2,FALSE)</f>
        <v>Electronics</v>
      </c>
      <c r="N632" t="str">
        <f>VLOOKUP(D632,tblProduct[],3,FALSE)</f>
        <v>Medium</v>
      </c>
      <c r="O632">
        <f>VLOOKUP(D632,tblProduct[],4,FALSE)</f>
        <v>90000</v>
      </c>
      <c r="P632">
        <v>1244.2</v>
      </c>
      <c r="Q632" s="19" t="str">
        <f t="shared" si="9"/>
        <v>Jun-2023</v>
      </c>
      <c r="R632" s="26">
        <f>DATE(YEAR(tblEnriched[[#This Row],[Date]]),MONTH(tblEnriched[[#This Row],[Date]]),1)</f>
        <v>45078</v>
      </c>
    </row>
    <row r="633" spans="1:18">
      <c r="A633" t="s">
        <v>2379</v>
      </c>
      <c r="B633" s="10">
        <v>45535</v>
      </c>
      <c r="C633" t="s">
        <v>2380</v>
      </c>
      <c r="D633" t="s">
        <v>47</v>
      </c>
      <c r="E633">
        <v>3</v>
      </c>
      <c r="F633" s="4">
        <v>46.11</v>
      </c>
      <c r="G633" t="s">
        <v>66</v>
      </c>
      <c r="H633" t="s">
        <v>49</v>
      </c>
      <c r="I633">
        <v>5</v>
      </c>
      <c r="J633" t="s">
        <v>87</v>
      </c>
      <c r="K633" t="s">
        <v>35</v>
      </c>
      <c r="L633" s="4">
        <v>138.33000000000001</v>
      </c>
      <c r="M633" t="str">
        <f>VLOOKUP(D633,tblProduct[],2,FALSE)</f>
        <v>Furniture</v>
      </c>
      <c r="N633" t="str">
        <f>VLOOKUP(D633,tblProduct[],3,FALSE)</f>
        <v>Medium</v>
      </c>
      <c r="O633">
        <f>VLOOKUP(D633,tblProduct[],4,FALSE)</f>
        <v>70000</v>
      </c>
      <c r="P633">
        <v>138.33000000000001</v>
      </c>
      <c r="Q633" s="19" t="str">
        <f t="shared" si="9"/>
        <v>Aug-2024</v>
      </c>
      <c r="R633" s="26">
        <f>DATE(YEAR(tblEnriched[[#This Row],[Date]]),MONTH(tblEnriched[[#This Row],[Date]]),1)</f>
        <v>45505</v>
      </c>
    </row>
    <row r="634" spans="1:18">
      <c r="A634" t="s">
        <v>2382</v>
      </c>
      <c r="B634" s="10">
        <v>45048</v>
      </c>
      <c r="C634" t="s">
        <v>2383</v>
      </c>
      <c r="D634" t="s">
        <v>64</v>
      </c>
      <c r="E634">
        <v>5</v>
      </c>
      <c r="F634" s="4">
        <v>678.16</v>
      </c>
      <c r="G634" t="s">
        <v>66</v>
      </c>
      <c r="H634" t="s">
        <v>56</v>
      </c>
      <c r="I634">
        <v>7</v>
      </c>
      <c r="J634" t="s">
        <v>87</v>
      </c>
      <c r="K634" t="s">
        <v>51</v>
      </c>
      <c r="L634" s="4">
        <v>3390.8</v>
      </c>
      <c r="M634" t="str">
        <f>VLOOKUP(D634,tblProduct[],2,FALSE)</f>
        <v>Electronics</v>
      </c>
      <c r="N634" t="str">
        <f>VLOOKUP(D634,tblProduct[],3,FALSE)</f>
        <v>High</v>
      </c>
      <c r="O634">
        <f>VLOOKUP(D634,tblProduct[],4,FALSE)</f>
        <v>150000</v>
      </c>
      <c r="P634">
        <v>3390.8</v>
      </c>
      <c r="Q634" s="19" t="str">
        <f t="shared" si="9"/>
        <v>May-2023</v>
      </c>
      <c r="R634" s="26">
        <f>DATE(YEAR(tblEnriched[[#This Row],[Date]]),MONTH(tblEnriched[[#This Row],[Date]]),1)</f>
        <v>45047</v>
      </c>
    </row>
    <row r="635" spans="1:18">
      <c r="A635" t="s">
        <v>2385</v>
      </c>
      <c r="B635" s="10">
        <v>45392</v>
      </c>
      <c r="C635" t="s">
        <v>2386</v>
      </c>
      <c r="D635" t="s">
        <v>64</v>
      </c>
      <c r="E635">
        <v>5</v>
      </c>
      <c r="F635" s="4">
        <v>601.72</v>
      </c>
      <c r="G635" t="s">
        <v>66</v>
      </c>
      <c r="H635" t="s">
        <v>41</v>
      </c>
      <c r="I635">
        <v>5</v>
      </c>
      <c r="J635" t="s">
        <v>87</v>
      </c>
      <c r="K635" t="s">
        <v>28</v>
      </c>
      <c r="L635" s="4">
        <v>3008.6</v>
      </c>
      <c r="M635" t="str">
        <f>VLOOKUP(D635,tblProduct[],2,FALSE)</f>
        <v>Electronics</v>
      </c>
      <c r="N635" t="str">
        <f>VLOOKUP(D635,tblProduct[],3,FALSE)</f>
        <v>High</v>
      </c>
      <c r="O635">
        <f>VLOOKUP(D635,tblProduct[],4,FALSE)</f>
        <v>150000</v>
      </c>
      <c r="P635">
        <v>3008.6</v>
      </c>
      <c r="Q635" s="19" t="str">
        <f t="shared" si="9"/>
        <v>Apr-2024</v>
      </c>
      <c r="R635" s="26">
        <f>DATE(YEAR(tblEnriched[[#This Row],[Date]]),MONTH(tblEnriched[[#This Row],[Date]]),1)</f>
        <v>45383</v>
      </c>
    </row>
    <row r="636" spans="1:18">
      <c r="A636" t="s">
        <v>2388</v>
      </c>
      <c r="B636" s="10">
        <v>45407</v>
      </c>
      <c r="C636" t="s">
        <v>2389</v>
      </c>
      <c r="D636" t="s">
        <v>54</v>
      </c>
      <c r="E636">
        <v>2</v>
      </c>
      <c r="F636" s="4">
        <v>259.32</v>
      </c>
      <c r="G636" t="s">
        <v>66</v>
      </c>
      <c r="H636" t="s">
        <v>56</v>
      </c>
      <c r="I636">
        <v>2</v>
      </c>
      <c r="J636" t="s">
        <v>87</v>
      </c>
      <c r="K636" t="s">
        <v>35</v>
      </c>
      <c r="L636" s="4">
        <v>518.64</v>
      </c>
      <c r="M636" t="str">
        <f>VLOOKUP(D636,tblProduct[],2,FALSE)</f>
        <v>Electronics</v>
      </c>
      <c r="N636" t="str">
        <f>VLOOKUP(D636,tblProduct[],3,FALSE)</f>
        <v>Medium</v>
      </c>
      <c r="O636">
        <f>VLOOKUP(D636,tblProduct[],4,FALSE)</f>
        <v>80000</v>
      </c>
      <c r="P636">
        <v>518.64</v>
      </c>
      <c r="Q636" s="19" t="str">
        <f t="shared" si="9"/>
        <v>Apr-2024</v>
      </c>
      <c r="R636" s="26">
        <f>DATE(YEAR(tblEnriched[[#This Row],[Date]]),MONTH(tblEnriched[[#This Row],[Date]]),1)</f>
        <v>45383</v>
      </c>
    </row>
    <row r="637" spans="1:18">
      <c r="A637" t="s">
        <v>2392</v>
      </c>
      <c r="B637" s="10">
        <v>45273</v>
      </c>
      <c r="C637" t="s">
        <v>2393</v>
      </c>
      <c r="D637" t="s">
        <v>47</v>
      </c>
      <c r="E637">
        <v>3</v>
      </c>
      <c r="F637" s="4">
        <v>63.68</v>
      </c>
      <c r="G637" t="s">
        <v>71</v>
      </c>
      <c r="H637" t="s">
        <v>49</v>
      </c>
      <c r="I637">
        <v>6</v>
      </c>
      <c r="K637" t="s">
        <v>51</v>
      </c>
      <c r="L637" s="4">
        <v>191.04</v>
      </c>
      <c r="M637" t="str">
        <f>VLOOKUP(D637,tblProduct[],2,FALSE)</f>
        <v>Furniture</v>
      </c>
      <c r="N637" t="str">
        <f>VLOOKUP(D637,tblProduct[],3,FALSE)</f>
        <v>Medium</v>
      </c>
      <c r="O637">
        <f>VLOOKUP(D637,tblProduct[],4,FALSE)</f>
        <v>70000</v>
      </c>
      <c r="P637">
        <v>191.04</v>
      </c>
      <c r="Q637" s="19" t="str">
        <f t="shared" si="9"/>
        <v>Dec-2023</v>
      </c>
      <c r="R637" s="26">
        <f>DATE(YEAR(tblEnriched[[#This Row],[Date]]),MONTH(tblEnriched[[#This Row],[Date]]),1)</f>
        <v>45261</v>
      </c>
    </row>
    <row r="638" spans="1:18">
      <c r="A638" t="s">
        <v>2395</v>
      </c>
      <c r="B638" s="10">
        <v>45204</v>
      </c>
      <c r="C638" t="s">
        <v>2396</v>
      </c>
      <c r="D638" t="s">
        <v>64</v>
      </c>
      <c r="E638">
        <v>4</v>
      </c>
      <c r="F638" s="4">
        <v>371.07</v>
      </c>
      <c r="G638" t="s">
        <v>71</v>
      </c>
      <c r="H638" t="s">
        <v>41</v>
      </c>
      <c r="I638">
        <v>7</v>
      </c>
      <c r="J638" t="s">
        <v>87</v>
      </c>
      <c r="K638" t="s">
        <v>51</v>
      </c>
      <c r="L638" s="4">
        <v>1484.28</v>
      </c>
      <c r="M638" t="str">
        <f>VLOOKUP(D638,tblProduct[],2,FALSE)</f>
        <v>Electronics</v>
      </c>
      <c r="N638" t="str">
        <f>VLOOKUP(D638,tblProduct[],3,FALSE)</f>
        <v>High</v>
      </c>
      <c r="O638">
        <f>VLOOKUP(D638,tblProduct[],4,FALSE)</f>
        <v>150000</v>
      </c>
      <c r="P638">
        <v>1484.28</v>
      </c>
      <c r="Q638" s="19" t="str">
        <f t="shared" si="9"/>
        <v>Oct-2023</v>
      </c>
      <c r="R638" s="26">
        <f>DATE(YEAR(tblEnriched[[#This Row],[Date]]),MONTH(tblEnriched[[#This Row],[Date]]),1)</f>
        <v>45200</v>
      </c>
    </row>
    <row r="639" spans="1:18">
      <c r="A639" t="s">
        <v>2398</v>
      </c>
      <c r="B639" s="10">
        <v>45564</v>
      </c>
      <c r="C639" t="s">
        <v>2399</v>
      </c>
      <c r="D639" t="s">
        <v>47</v>
      </c>
      <c r="E639">
        <v>4</v>
      </c>
      <c r="F639" s="4">
        <v>306.35000000000002</v>
      </c>
      <c r="G639" t="s">
        <v>66</v>
      </c>
      <c r="H639" t="s">
        <v>25</v>
      </c>
      <c r="I639">
        <v>7</v>
      </c>
      <c r="J639" t="s">
        <v>87</v>
      </c>
      <c r="K639" t="s">
        <v>35</v>
      </c>
      <c r="L639" s="4">
        <v>1225.4000000000001</v>
      </c>
      <c r="M639" t="str">
        <f>VLOOKUP(D639,tblProduct[],2,FALSE)</f>
        <v>Furniture</v>
      </c>
      <c r="N639" t="str">
        <f>VLOOKUP(D639,tblProduct[],3,FALSE)</f>
        <v>Medium</v>
      </c>
      <c r="O639">
        <f>VLOOKUP(D639,tblProduct[],4,FALSE)</f>
        <v>70000</v>
      </c>
      <c r="P639">
        <v>1225.4000000000001</v>
      </c>
      <c r="Q639" s="19" t="str">
        <f t="shared" si="9"/>
        <v>Sep-2024</v>
      </c>
      <c r="R639" s="26">
        <f>DATE(YEAR(tblEnriched[[#This Row],[Date]]),MONTH(tblEnriched[[#This Row],[Date]]),1)</f>
        <v>45536</v>
      </c>
    </row>
    <row r="640" spans="1:18">
      <c r="A640" t="s">
        <v>2402</v>
      </c>
      <c r="B640" s="10">
        <v>45214</v>
      </c>
      <c r="C640" t="s">
        <v>2403</v>
      </c>
      <c r="D640" t="s">
        <v>38</v>
      </c>
      <c r="E640">
        <v>4</v>
      </c>
      <c r="F640" s="4">
        <v>578.27</v>
      </c>
      <c r="G640" t="s">
        <v>33</v>
      </c>
      <c r="H640" t="s">
        <v>56</v>
      </c>
      <c r="I640">
        <v>9</v>
      </c>
      <c r="J640" t="s">
        <v>87</v>
      </c>
      <c r="K640" t="s">
        <v>44</v>
      </c>
      <c r="L640" s="4">
        <v>2313.08</v>
      </c>
      <c r="M640" t="str">
        <f>VLOOKUP(D640,tblProduct[],2,FALSE)</f>
        <v>Electronics</v>
      </c>
      <c r="N640" t="str">
        <f>VLOOKUP(D640,tblProduct[],3,FALSE)</f>
        <v>Medium</v>
      </c>
      <c r="O640">
        <f>VLOOKUP(D640,tblProduct[],4,FALSE)</f>
        <v>100000</v>
      </c>
      <c r="P640">
        <v>2313.08</v>
      </c>
      <c r="Q640" s="19" t="str">
        <f t="shared" si="9"/>
        <v>Oct-2023</v>
      </c>
      <c r="R640" s="26">
        <f>DATE(YEAR(tblEnriched[[#This Row],[Date]]),MONTH(tblEnriched[[#This Row],[Date]]),1)</f>
        <v>45200</v>
      </c>
    </row>
    <row r="641" spans="1:18">
      <c r="A641" t="s">
        <v>2406</v>
      </c>
      <c r="B641" s="10">
        <v>44946</v>
      </c>
      <c r="C641" t="s">
        <v>2407</v>
      </c>
      <c r="D641" t="s">
        <v>47</v>
      </c>
      <c r="E641">
        <v>1</v>
      </c>
      <c r="F641" s="4">
        <v>529.19000000000005</v>
      </c>
      <c r="G641" t="s">
        <v>71</v>
      </c>
      <c r="H641" t="s">
        <v>41</v>
      </c>
      <c r="I641">
        <v>5</v>
      </c>
      <c r="K641" t="s">
        <v>35</v>
      </c>
      <c r="L641" s="4">
        <v>529.19000000000005</v>
      </c>
      <c r="M641" t="str">
        <f>VLOOKUP(D641,tblProduct[],2,FALSE)</f>
        <v>Furniture</v>
      </c>
      <c r="N641" t="str">
        <f>VLOOKUP(D641,tblProduct[],3,FALSE)</f>
        <v>Medium</v>
      </c>
      <c r="O641">
        <f>VLOOKUP(D641,tblProduct[],4,FALSE)</f>
        <v>70000</v>
      </c>
      <c r="P641">
        <v>529.19000000000005</v>
      </c>
      <c r="Q641" s="19" t="str">
        <f t="shared" si="9"/>
        <v>Jan-2023</v>
      </c>
      <c r="R641" s="26">
        <f>DATE(YEAR(tblEnriched[[#This Row],[Date]]),MONTH(tblEnriched[[#This Row],[Date]]),1)</f>
        <v>44927</v>
      </c>
    </row>
    <row r="642" spans="1:18">
      <c r="A642" t="s">
        <v>2409</v>
      </c>
      <c r="B642" s="10">
        <v>45349</v>
      </c>
      <c r="C642" t="s">
        <v>2410</v>
      </c>
      <c r="D642" t="s">
        <v>47</v>
      </c>
      <c r="E642">
        <v>2</v>
      </c>
      <c r="F642" s="4">
        <v>587.49</v>
      </c>
      <c r="G642" t="s">
        <v>66</v>
      </c>
      <c r="H642" t="s">
        <v>49</v>
      </c>
      <c r="I642">
        <v>6</v>
      </c>
      <c r="J642" t="s">
        <v>27</v>
      </c>
      <c r="K642" t="s">
        <v>35</v>
      </c>
      <c r="L642" s="4">
        <v>1174.98</v>
      </c>
      <c r="M642" t="str">
        <f>VLOOKUP(D642,tblProduct[],2,FALSE)</f>
        <v>Furniture</v>
      </c>
      <c r="N642" t="str">
        <f>VLOOKUP(D642,tblProduct[],3,FALSE)</f>
        <v>Medium</v>
      </c>
      <c r="O642">
        <f>VLOOKUP(D642,tblProduct[],4,FALSE)</f>
        <v>70000</v>
      </c>
      <c r="P642">
        <v>1174.98</v>
      </c>
      <c r="Q642" s="19" t="str">
        <f t="shared" ref="Q642:Q705" si="10">TEXT(B642,"mmm-yyyy")</f>
        <v>Feb-2024</v>
      </c>
      <c r="R642" s="26">
        <f>DATE(YEAR(tblEnriched[[#This Row],[Date]]),MONTH(tblEnriched[[#This Row],[Date]]),1)</f>
        <v>45323</v>
      </c>
    </row>
    <row r="643" spans="1:18">
      <c r="A643" t="s">
        <v>2412</v>
      </c>
      <c r="B643" s="10">
        <v>45473</v>
      </c>
      <c r="C643" t="s">
        <v>2413</v>
      </c>
      <c r="D643" t="s">
        <v>54</v>
      </c>
      <c r="E643">
        <v>4</v>
      </c>
      <c r="F643" s="4">
        <v>567.57000000000005</v>
      </c>
      <c r="G643" t="s">
        <v>24</v>
      </c>
      <c r="H643" t="s">
        <v>95</v>
      </c>
      <c r="I643">
        <v>9</v>
      </c>
      <c r="J643" t="s">
        <v>87</v>
      </c>
      <c r="K643" t="s">
        <v>82</v>
      </c>
      <c r="L643" s="4">
        <v>2270.2800000000002</v>
      </c>
      <c r="M643" t="str">
        <f>VLOOKUP(D643,tblProduct[],2,FALSE)</f>
        <v>Electronics</v>
      </c>
      <c r="N643" t="str">
        <f>VLOOKUP(D643,tblProduct[],3,FALSE)</f>
        <v>Medium</v>
      </c>
      <c r="O643">
        <f>VLOOKUP(D643,tblProduct[],4,FALSE)</f>
        <v>80000</v>
      </c>
      <c r="P643">
        <v>2270.2800000000002</v>
      </c>
      <c r="Q643" s="19" t="str">
        <f t="shared" si="10"/>
        <v>Jun-2024</v>
      </c>
      <c r="R643" s="26">
        <f>DATE(YEAR(tblEnriched[[#This Row],[Date]]),MONTH(tblEnriched[[#This Row],[Date]]),1)</f>
        <v>45444</v>
      </c>
    </row>
    <row r="644" spans="1:18">
      <c r="A644" t="s">
        <v>2415</v>
      </c>
      <c r="B644" s="10">
        <v>45411</v>
      </c>
      <c r="C644" t="s">
        <v>2416</v>
      </c>
      <c r="D644" t="s">
        <v>47</v>
      </c>
      <c r="E644">
        <v>5</v>
      </c>
      <c r="F644" s="4">
        <v>85.22</v>
      </c>
      <c r="G644" t="s">
        <v>40</v>
      </c>
      <c r="H644" t="s">
        <v>41</v>
      </c>
      <c r="I644">
        <v>7</v>
      </c>
      <c r="J644" t="s">
        <v>43</v>
      </c>
      <c r="K644" t="s">
        <v>44</v>
      </c>
      <c r="L644" s="4">
        <v>426.1</v>
      </c>
      <c r="M644" t="str">
        <f>VLOOKUP(D644,tblProduct[],2,FALSE)</f>
        <v>Furniture</v>
      </c>
      <c r="N644" t="str">
        <f>VLOOKUP(D644,tblProduct[],3,FALSE)</f>
        <v>Medium</v>
      </c>
      <c r="O644">
        <f>VLOOKUP(D644,tblProduct[],4,FALSE)</f>
        <v>70000</v>
      </c>
      <c r="P644">
        <v>426.1</v>
      </c>
      <c r="Q644" s="19" t="str">
        <f t="shared" si="10"/>
        <v>Apr-2024</v>
      </c>
      <c r="R644" s="26">
        <f>DATE(YEAR(tblEnriched[[#This Row],[Date]]),MONTH(tblEnriched[[#This Row],[Date]]),1)</f>
        <v>45383</v>
      </c>
    </row>
    <row r="645" spans="1:18">
      <c r="A645" t="s">
        <v>2419</v>
      </c>
      <c r="B645" s="10">
        <v>45530</v>
      </c>
      <c r="C645" t="s">
        <v>2420</v>
      </c>
      <c r="D645" t="s">
        <v>64</v>
      </c>
      <c r="E645">
        <v>1</v>
      </c>
      <c r="F645" s="4">
        <v>438.37</v>
      </c>
      <c r="G645" t="s">
        <v>71</v>
      </c>
      <c r="H645" t="s">
        <v>41</v>
      </c>
      <c r="I645">
        <v>4</v>
      </c>
      <c r="J645" t="s">
        <v>27</v>
      </c>
      <c r="K645" t="s">
        <v>35</v>
      </c>
      <c r="L645" s="4">
        <v>438.37</v>
      </c>
      <c r="M645" t="str">
        <f>VLOOKUP(D645,tblProduct[],2,FALSE)</f>
        <v>Electronics</v>
      </c>
      <c r="N645" t="str">
        <f>VLOOKUP(D645,tblProduct[],3,FALSE)</f>
        <v>High</v>
      </c>
      <c r="O645">
        <f>VLOOKUP(D645,tblProduct[],4,FALSE)</f>
        <v>150000</v>
      </c>
      <c r="P645">
        <v>438.37</v>
      </c>
      <c r="Q645" s="19" t="str">
        <f t="shared" si="10"/>
        <v>Aug-2024</v>
      </c>
      <c r="R645" s="26">
        <f>DATE(YEAR(tblEnriched[[#This Row],[Date]]),MONTH(tblEnriched[[#This Row],[Date]]),1)</f>
        <v>45505</v>
      </c>
    </row>
    <row r="646" spans="1:18">
      <c r="A646" t="s">
        <v>2422</v>
      </c>
      <c r="B646" s="10">
        <v>45245</v>
      </c>
      <c r="C646" t="s">
        <v>2423</v>
      </c>
      <c r="D646" t="s">
        <v>47</v>
      </c>
      <c r="E646">
        <v>2</v>
      </c>
      <c r="F646" s="4">
        <v>366.23</v>
      </c>
      <c r="G646" t="s">
        <v>71</v>
      </c>
      <c r="H646" t="s">
        <v>25</v>
      </c>
      <c r="I646">
        <v>2</v>
      </c>
      <c r="J646" t="s">
        <v>87</v>
      </c>
      <c r="K646" t="s">
        <v>44</v>
      </c>
      <c r="L646" s="4">
        <v>732.46</v>
      </c>
      <c r="M646" t="str">
        <f>VLOOKUP(D646,tblProduct[],2,FALSE)</f>
        <v>Furniture</v>
      </c>
      <c r="N646" t="str">
        <f>VLOOKUP(D646,tblProduct[],3,FALSE)</f>
        <v>Medium</v>
      </c>
      <c r="O646">
        <f>VLOOKUP(D646,tblProduct[],4,FALSE)</f>
        <v>70000</v>
      </c>
      <c r="P646">
        <v>732.46</v>
      </c>
      <c r="Q646" s="19" t="str">
        <f t="shared" si="10"/>
        <v>Nov-2023</v>
      </c>
      <c r="R646" s="26">
        <f>DATE(YEAR(tblEnriched[[#This Row],[Date]]),MONTH(tblEnriched[[#This Row],[Date]]),1)</f>
        <v>45231</v>
      </c>
    </row>
    <row r="647" spans="1:18">
      <c r="A647" t="s">
        <v>2426</v>
      </c>
      <c r="B647" s="10">
        <v>44928</v>
      </c>
      <c r="C647" t="s">
        <v>2427</v>
      </c>
      <c r="D647" t="s">
        <v>64</v>
      </c>
      <c r="E647">
        <v>2</v>
      </c>
      <c r="F647" s="4">
        <v>150.05000000000001</v>
      </c>
      <c r="G647" t="s">
        <v>40</v>
      </c>
      <c r="H647" t="s">
        <v>41</v>
      </c>
      <c r="I647">
        <v>4</v>
      </c>
      <c r="J647" t="s">
        <v>27</v>
      </c>
      <c r="K647" t="s">
        <v>51</v>
      </c>
      <c r="L647" s="4">
        <v>300.10000000000002</v>
      </c>
      <c r="M647" t="str">
        <f>VLOOKUP(D647,tblProduct[],2,FALSE)</f>
        <v>Electronics</v>
      </c>
      <c r="N647" t="str">
        <f>VLOOKUP(D647,tblProduct[],3,FALSE)</f>
        <v>High</v>
      </c>
      <c r="O647">
        <f>VLOOKUP(D647,tblProduct[],4,FALSE)</f>
        <v>150000</v>
      </c>
      <c r="P647">
        <v>300.10000000000002</v>
      </c>
      <c r="Q647" s="19" t="str">
        <f t="shared" si="10"/>
        <v>Jan-2023</v>
      </c>
      <c r="R647" s="26">
        <f>DATE(YEAR(tblEnriched[[#This Row],[Date]]),MONTH(tblEnriched[[#This Row],[Date]]),1)</f>
        <v>44927</v>
      </c>
    </row>
    <row r="648" spans="1:18">
      <c r="A648" t="s">
        <v>2429</v>
      </c>
      <c r="B648" s="10">
        <v>45226</v>
      </c>
      <c r="C648" t="s">
        <v>2430</v>
      </c>
      <c r="D648" t="s">
        <v>47</v>
      </c>
      <c r="E648">
        <v>4</v>
      </c>
      <c r="F648" s="4">
        <v>498.51</v>
      </c>
      <c r="G648" t="s">
        <v>24</v>
      </c>
      <c r="H648" t="s">
        <v>25</v>
      </c>
      <c r="I648">
        <v>4</v>
      </c>
      <c r="J648" t="s">
        <v>27</v>
      </c>
      <c r="K648" t="s">
        <v>82</v>
      </c>
      <c r="L648" s="4">
        <v>1994.04</v>
      </c>
      <c r="M648" t="str">
        <f>VLOOKUP(D648,tblProduct[],2,FALSE)</f>
        <v>Furniture</v>
      </c>
      <c r="N648" t="str">
        <f>VLOOKUP(D648,tblProduct[],3,FALSE)</f>
        <v>Medium</v>
      </c>
      <c r="O648">
        <f>VLOOKUP(D648,tblProduct[],4,FALSE)</f>
        <v>70000</v>
      </c>
      <c r="P648">
        <v>1994.04</v>
      </c>
      <c r="Q648" s="19" t="str">
        <f t="shared" si="10"/>
        <v>Oct-2023</v>
      </c>
      <c r="R648" s="26">
        <f>DATE(YEAR(tblEnriched[[#This Row],[Date]]),MONTH(tblEnriched[[#This Row],[Date]]),1)</f>
        <v>45200</v>
      </c>
    </row>
    <row r="649" spans="1:18">
      <c r="A649" t="s">
        <v>2433</v>
      </c>
      <c r="B649" s="10">
        <v>45771</v>
      </c>
      <c r="C649" t="s">
        <v>2434</v>
      </c>
      <c r="D649" t="s">
        <v>79</v>
      </c>
      <c r="E649">
        <v>3</v>
      </c>
      <c r="F649" s="4">
        <v>339.39</v>
      </c>
      <c r="G649" t="s">
        <v>71</v>
      </c>
      <c r="H649" t="s">
        <v>49</v>
      </c>
      <c r="I649">
        <v>7</v>
      </c>
      <c r="J649" t="s">
        <v>43</v>
      </c>
      <c r="K649" t="s">
        <v>82</v>
      </c>
      <c r="L649" s="4">
        <v>1018.17</v>
      </c>
      <c r="M649" t="str">
        <f>VLOOKUP(D649,tblProduct[],2,FALSE)</f>
        <v>Furniture</v>
      </c>
      <c r="N649" t="str">
        <f>VLOOKUP(D649,tblProduct[],3,FALSE)</f>
        <v>High</v>
      </c>
      <c r="O649">
        <f>VLOOKUP(D649,tblProduct[],4,FALSE)</f>
        <v>75000</v>
      </c>
      <c r="P649">
        <v>1018.17</v>
      </c>
      <c r="Q649" s="19" t="str">
        <f t="shared" si="10"/>
        <v>Apr-2025</v>
      </c>
      <c r="R649" s="26">
        <f>DATE(YEAR(tblEnriched[[#This Row],[Date]]),MONTH(tblEnriched[[#This Row],[Date]]),1)</f>
        <v>45748</v>
      </c>
    </row>
    <row r="650" spans="1:18">
      <c r="A650" t="s">
        <v>2436</v>
      </c>
      <c r="B650" s="10">
        <v>45675</v>
      </c>
      <c r="C650" t="s">
        <v>2437</v>
      </c>
      <c r="D650" t="s">
        <v>22</v>
      </c>
      <c r="E650">
        <v>2</v>
      </c>
      <c r="F650" s="4">
        <v>575.83000000000004</v>
      </c>
      <c r="G650" t="s">
        <v>33</v>
      </c>
      <c r="H650" t="s">
        <v>56</v>
      </c>
      <c r="I650">
        <v>3</v>
      </c>
      <c r="J650" t="s">
        <v>87</v>
      </c>
      <c r="K650" t="s">
        <v>35</v>
      </c>
      <c r="L650" s="4">
        <v>1151.6600000000001</v>
      </c>
      <c r="M650" t="str">
        <f>VLOOKUP(D650,tblProduct[],2,FALSE)</f>
        <v>Electronics</v>
      </c>
      <c r="N650" t="str">
        <f>VLOOKUP(D650,tblProduct[],3,FALSE)</f>
        <v>Medium</v>
      </c>
      <c r="O650">
        <f>VLOOKUP(D650,tblProduct[],4,FALSE)</f>
        <v>90000</v>
      </c>
      <c r="P650">
        <v>1151.6600000000001</v>
      </c>
      <c r="Q650" s="19" t="str">
        <f t="shared" si="10"/>
        <v>Jan-2025</v>
      </c>
      <c r="R650" s="26">
        <f>DATE(YEAR(tblEnriched[[#This Row],[Date]]),MONTH(tblEnriched[[#This Row],[Date]]),1)</f>
        <v>45658</v>
      </c>
    </row>
    <row r="651" spans="1:18">
      <c r="A651" t="s">
        <v>2440</v>
      </c>
      <c r="B651" s="10">
        <v>45283</v>
      </c>
      <c r="C651" t="s">
        <v>2441</v>
      </c>
      <c r="D651" t="s">
        <v>22</v>
      </c>
      <c r="E651">
        <v>2</v>
      </c>
      <c r="F651" s="4">
        <v>642.98</v>
      </c>
      <c r="G651" t="s">
        <v>24</v>
      </c>
      <c r="H651" t="s">
        <v>49</v>
      </c>
      <c r="I651">
        <v>7</v>
      </c>
      <c r="J651" t="s">
        <v>43</v>
      </c>
      <c r="K651" t="s">
        <v>44</v>
      </c>
      <c r="L651" s="4">
        <v>1285.96</v>
      </c>
      <c r="M651" t="str">
        <f>VLOOKUP(D651,tblProduct[],2,FALSE)</f>
        <v>Electronics</v>
      </c>
      <c r="N651" t="str">
        <f>VLOOKUP(D651,tblProduct[],3,FALSE)</f>
        <v>Medium</v>
      </c>
      <c r="O651">
        <f>VLOOKUP(D651,tblProduct[],4,FALSE)</f>
        <v>90000</v>
      </c>
      <c r="P651">
        <v>1285.96</v>
      </c>
      <c r="Q651" s="19" t="str">
        <f t="shared" si="10"/>
        <v>Dec-2023</v>
      </c>
      <c r="R651" s="26">
        <f>DATE(YEAR(tblEnriched[[#This Row],[Date]]),MONTH(tblEnriched[[#This Row],[Date]]),1)</f>
        <v>45261</v>
      </c>
    </row>
    <row r="652" spans="1:18">
      <c r="A652" t="s">
        <v>2443</v>
      </c>
      <c r="B652" s="10">
        <v>45064</v>
      </c>
      <c r="C652" t="s">
        <v>2444</v>
      </c>
      <c r="D652" t="s">
        <v>79</v>
      </c>
      <c r="E652">
        <v>2</v>
      </c>
      <c r="F652" s="4">
        <v>372.23</v>
      </c>
      <c r="G652" t="s">
        <v>66</v>
      </c>
      <c r="H652" t="s">
        <v>56</v>
      </c>
      <c r="I652">
        <v>7</v>
      </c>
      <c r="J652" t="s">
        <v>27</v>
      </c>
      <c r="K652" t="s">
        <v>44</v>
      </c>
      <c r="L652" s="4">
        <v>744.46</v>
      </c>
      <c r="M652" t="str">
        <f>VLOOKUP(D652,tblProduct[],2,FALSE)</f>
        <v>Furniture</v>
      </c>
      <c r="N652" t="str">
        <f>VLOOKUP(D652,tblProduct[],3,FALSE)</f>
        <v>High</v>
      </c>
      <c r="O652">
        <f>VLOOKUP(D652,tblProduct[],4,FALSE)</f>
        <v>75000</v>
      </c>
      <c r="P652">
        <v>744.46</v>
      </c>
      <c r="Q652" s="19" t="str">
        <f t="shared" si="10"/>
        <v>May-2023</v>
      </c>
      <c r="R652" s="26">
        <f>DATE(YEAR(tblEnriched[[#This Row],[Date]]),MONTH(tblEnriched[[#This Row],[Date]]),1)</f>
        <v>45047</v>
      </c>
    </row>
    <row r="653" spans="1:18">
      <c r="A653" t="s">
        <v>2447</v>
      </c>
      <c r="B653" s="10">
        <v>45608</v>
      </c>
      <c r="C653" t="s">
        <v>2448</v>
      </c>
      <c r="D653" t="s">
        <v>47</v>
      </c>
      <c r="E653">
        <v>3</v>
      </c>
      <c r="F653" s="4">
        <v>646.34</v>
      </c>
      <c r="G653" t="s">
        <v>24</v>
      </c>
      <c r="H653" t="s">
        <v>95</v>
      </c>
      <c r="I653">
        <v>5</v>
      </c>
      <c r="K653" t="s">
        <v>82</v>
      </c>
      <c r="L653" s="4">
        <v>1939.02</v>
      </c>
      <c r="M653" t="str">
        <f>VLOOKUP(D653,tblProduct[],2,FALSE)</f>
        <v>Furniture</v>
      </c>
      <c r="N653" t="str">
        <f>VLOOKUP(D653,tblProduct[],3,FALSE)</f>
        <v>Medium</v>
      </c>
      <c r="O653">
        <f>VLOOKUP(D653,tblProduct[],4,FALSE)</f>
        <v>70000</v>
      </c>
      <c r="P653">
        <v>1939.02</v>
      </c>
      <c r="Q653" s="19" t="str">
        <f t="shared" si="10"/>
        <v>Nov-2024</v>
      </c>
      <c r="R653" s="26">
        <f>DATE(YEAR(tblEnriched[[#This Row],[Date]]),MONTH(tblEnriched[[#This Row],[Date]]),1)</f>
        <v>45597</v>
      </c>
    </row>
    <row r="654" spans="1:18">
      <c r="A654" t="s">
        <v>2450</v>
      </c>
      <c r="B654" s="10">
        <v>45448</v>
      </c>
      <c r="C654" t="s">
        <v>2451</v>
      </c>
      <c r="D654" t="s">
        <v>47</v>
      </c>
      <c r="E654">
        <v>5</v>
      </c>
      <c r="F654" s="4">
        <v>341.84</v>
      </c>
      <c r="G654" t="s">
        <v>33</v>
      </c>
      <c r="H654" t="s">
        <v>25</v>
      </c>
      <c r="I654">
        <v>8</v>
      </c>
      <c r="J654" t="s">
        <v>43</v>
      </c>
      <c r="K654" t="s">
        <v>28</v>
      </c>
      <c r="L654" s="4">
        <v>1709.2</v>
      </c>
      <c r="M654" t="str">
        <f>VLOOKUP(D654,tblProduct[],2,FALSE)</f>
        <v>Furniture</v>
      </c>
      <c r="N654" t="str">
        <f>VLOOKUP(D654,tblProduct[],3,FALSE)</f>
        <v>Medium</v>
      </c>
      <c r="O654">
        <f>VLOOKUP(D654,tblProduct[],4,FALSE)</f>
        <v>70000</v>
      </c>
      <c r="P654">
        <v>1709.2</v>
      </c>
      <c r="Q654" s="19" t="str">
        <f t="shared" si="10"/>
        <v>Jun-2024</v>
      </c>
      <c r="R654" s="26">
        <f>DATE(YEAR(tblEnriched[[#This Row],[Date]]),MONTH(tblEnriched[[#This Row],[Date]]),1)</f>
        <v>45444</v>
      </c>
    </row>
    <row r="655" spans="1:18">
      <c r="A655" t="s">
        <v>2454</v>
      </c>
      <c r="B655" s="10">
        <v>45347</v>
      </c>
      <c r="C655" t="s">
        <v>2455</v>
      </c>
      <c r="D655" t="s">
        <v>54</v>
      </c>
      <c r="E655">
        <v>3</v>
      </c>
      <c r="F655" s="4">
        <v>690.3</v>
      </c>
      <c r="G655" t="s">
        <v>40</v>
      </c>
      <c r="H655" t="s">
        <v>25</v>
      </c>
      <c r="I655">
        <v>6</v>
      </c>
      <c r="J655" t="s">
        <v>87</v>
      </c>
      <c r="K655" t="s">
        <v>82</v>
      </c>
      <c r="L655" s="4">
        <v>2070.9</v>
      </c>
      <c r="M655" t="str">
        <f>VLOOKUP(D655,tblProduct[],2,FALSE)</f>
        <v>Electronics</v>
      </c>
      <c r="N655" t="str">
        <f>VLOOKUP(D655,tblProduct[],3,FALSE)</f>
        <v>Medium</v>
      </c>
      <c r="O655">
        <f>VLOOKUP(D655,tblProduct[],4,FALSE)</f>
        <v>80000</v>
      </c>
      <c r="P655">
        <v>2070.9</v>
      </c>
      <c r="Q655" s="19" t="str">
        <f t="shared" si="10"/>
        <v>Feb-2024</v>
      </c>
      <c r="R655" s="26">
        <f>DATE(YEAR(tblEnriched[[#This Row],[Date]]),MONTH(tblEnriched[[#This Row],[Date]]),1)</f>
        <v>45323</v>
      </c>
    </row>
    <row r="656" spans="1:18">
      <c r="A656" t="s">
        <v>2457</v>
      </c>
      <c r="B656" s="10">
        <v>45089</v>
      </c>
      <c r="C656" t="s">
        <v>2458</v>
      </c>
      <c r="D656" t="s">
        <v>38</v>
      </c>
      <c r="E656">
        <v>3</v>
      </c>
      <c r="F656" s="4">
        <v>382.37</v>
      </c>
      <c r="G656" t="s">
        <v>24</v>
      </c>
      <c r="H656" t="s">
        <v>49</v>
      </c>
      <c r="I656">
        <v>8</v>
      </c>
      <c r="K656" t="s">
        <v>28</v>
      </c>
      <c r="L656" s="4">
        <v>1147.1099999999999</v>
      </c>
      <c r="M656" t="str">
        <f>VLOOKUP(D656,tblProduct[],2,FALSE)</f>
        <v>Electronics</v>
      </c>
      <c r="N656" t="str">
        <f>VLOOKUP(D656,tblProduct[],3,FALSE)</f>
        <v>Medium</v>
      </c>
      <c r="O656">
        <f>VLOOKUP(D656,tblProduct[],4,FALSE)</f>
        <v>100000</v>
      </c>
      <c r="P656">
        <v>1147.1099999999999</v>
      </c>
      <c r="Q656" s="19" t="str">
        <f t="shared" si="10"/>
        <v>Jun-2023</v>
      </c>
      <c r="R656" s="26">
        <f>DATE(YEAR(tblEnriched[[#This Row],[Date]]),MONTH(tblEnriched[[#This Row],[Date]]),1)</f>
        <v>45078</v>
      </c>
    </row>
    <row r="657" spans="1:18">
      <c r="A657" t="s">
        <v>2461</v>
      </c>
      <c r="B657" s="10">
        <v>44999</v>
      </c>
      <c r="C657" t="s">
        <v>2462</v>
      </c>
      <c r="D657" t="s">
        <v>47</v>
      </c>
      <c r="E657">
        <v>2</v>
      </c>
      <c r="F657" s="4">
        <v>132.6</v>
      </c>
      <c r="G657" t="s">
        <v>24</v>
      </c>
      <c r="H657" t="s">
        <v>41</v>
      </c>
      <c r="I657">
        <v>4</v>
      </c>
      <c r="J657" t="s">
        <v>87</v>
      </c>
      <c r="K657" t="s">
        <v>44</v>
      </c>
      <c r="L657" s="4">
        <v>265.2</v>
      </c>
      <c r="M657" t="str">
        <f>VLOOKUP(D657,tblProduct[],2,FALSE)</f>
        <v>Furniture</v>
      </c>
      <c r="N657" t="str">
        <f>VLOOKUP(D657,tblProduct[],3,FALSE)</f>
        <v>Medium</v>
      </c>
      <c r="O657">
        <f>VLOOKUP(D657,tblProduct[],4,FALSE)</f>
        <v>70000</v>
      </c>
      <c r="P657">
        <v>265.2</v>
      </c>
      <c r="Q657" s="19" t="str">
        <f t="shared" si="10"/>
        <v>Mar-2023</v>
      </c>
      <c r="R657" s="26">
        <f>DATE(YEAR(tblEnriched[[#This Row],[Date]]),MONTH(tblEnriched[[#This Row],[Date]]),1)</f>
        <v>44986</v>
      </c>
    </row>
    <row r="658" spans="1:18">
      <c r="A658" t="s">
        <v>2464</v>
      </c>
      <c r="B658" s="10">
        <v>45309</v>
      </c>
      <c r="C658" t="s">
        <v>2465</v>
      </c>
      <c r="D658" t="s">
        <v>22</v>
      </c>
      <c r="E658">
        <v>2</v>
      </c>
      <c r="F658" s="4">
        <v>189.06</v>
      </c>
      <c r="G658" t="s">
        <v>66</v>
      </c>
      <c r="H658" t="s">
        <v>25</v>
      </c>
      <c r="I658">
        <v>7</v>
      </c>
      <c r="J658" t="s">
        <v>27</v>
      </c>
      <c r="K658" t="s">
        <v>51</v>
      </c>
      <c r="L658" s="4">
        <v>378.12</v>
      </c>
      <c r="M658" t="str">
        <f>VLOOKUP(D658,tblProduct[],2,FALSE)</f>
        <v>Electronics</v>
      </c>
      <c r="N658" t="str">
        <f>VLOOKUP(D658,tblProduct[],3,FALSE)</f>
        <v>Medium</v>
      </c>
      <c r="O658">
        <f>VLOOKUP(D658,tblProduct[],4,FALSE)</f>
        <v>90000</v>
      </c>
      <c r="P658">
        <v>378.12</v>
      </c>
      <c r="Q658" s="19" t="str">
        <f t="shared" si="10"/>
        <v>Jan-2024</v>
      </c>
      <c r="R658" s="26">
        <f>DATE(YEAR(tblEnriched[[#This Row],[Date]]),MONTH(tblEnriched[[#This Row],[Date]]),1)</f>
        <v>45292</v>
      </c>
    </row>
    <row r="659" spans="1:18">
      <c r="A659" t="s">
        <v>2468</v>
      </c>
      <c r="B659" s="10">
        <v>45284</v>
      </c>
      <c r="C659" t="s">
        <v>2469</v>
      </c>
      <c r="D659" t="s">
        <v>38</v>
      </c>
      <c r="E659">
        <v>4</v>
      </c>
      <c r="F659" s="4">
        <v>87.79</v>
      </c>
      <c r="G659" t="s">
        <v>71</v>
      </c>
      <c r="H659" t="s">
        <v>41</v>
      </c>
      <c r="I659">
        <v>6</v>
      </c>
      <c r="J659" t="s">
        <v>43</v>
      </c>
      <c r="K659" t="s">
        <v>28</v>
      </c>
      <c r="L659" s="4">
        <v>351.16</v>
      </c>
      <c r="M659" t="str">
        <f>VLOOKUP(D659,tblProduct[],2,FALSE)</f>
        <v>Electronics</v>
      </c>
      <c r="N659" t="str">
        <f>VLOOKUP(D659,tblProduct[],3,FALSE)</f>
        <v>Medium</v>
      </c>
      <c r="O659">
        <f>VLOOKUP(D659,tblProduct[],4,FALSE)</f>
        <v>100000</v>
      </c>
      <c r="P659">
        <v>351.16</v>
      </c>
      <c r="Q659" s="19" t="str">
        <f t="shared" si="10"/>
        <v>Dec-2023</v>
      </c>
      <c r="R659" s="26">
        <f>DATE(YEAR(tblEnriched[[#This Row],[Date]]),MONTH(tblEnriched[[#This Row],[Date]]),1)</f>
        <v>45261</v>
      </c>
    </row>
    <row r="660" spans="1:18">
      <c r="A660" t="s">
        <v>2471</v>
      </c>
      <c r="B660" s="10">
        <v>45765</v>
      </c>
      <c r="C660" t="s">
        <v>2472</v>
      </c>
      <c r="D660" t="s">
        <v>54</v>
      </c>
      <c r="E660">
        <v>2</v>
      </c>
      <c r="F660" s="4">
        <v>46.36</v>
      </c>
      <c r="G660" t="s">
        <v>66</v>
      </c>
      <c r="H660" t="s">
        <v>49</v>
      </c>
      <c r="I660">
        <v>4</v>
      </c>
      <c r="J660" t="s">
        <v>27</v>
      </c>
      <c r="K660" t="s">
        <v>82</v>
      </c>
      <c r="L660" s="4">
        <v>92.72</v>
      </c>
      <c r="M660" t="str">
        <f>VLOOKUP(D660,tblProduct[],2,FALSE)</f>
        <v>Electronics</v>
      </c>
      <c r="N660" t="str">
        <f>VLOOKUP(D660,tblProduct[],3,FALSE)</f>
        <v>Medium</v>
      </c>
      <c r="O660">
        <f>VLOOKUP(D660,tblProduct[],4,FALSE)</f>
        <v>80000</v>
      </c>
      <c r="P660">
        <v>92.72</v>
      </c>
      <c r="Q660" s="19" t="str">
        <f t="shared" si="10"/>
        <v>Apr-2025</v>
      </c>
      <c r="R660" s="26">
        <f>DATE(YEAR(tblEnriched[[#This Row],[Date]]),MONTH(tblEnriched[[#This Row],[Date]]),1)</f>
        <v>45748</v>
      </c>
    </row>
    <row r="661" spans="1:18">
      <c r="A661" t="s">
        <v>2474</v>
      </c>
      <c r="B661" s="10">
        <v>45591</v>
      </c>
      <c r="C661" t="s">
        <v>2475</v>
      </c>
      <c r="D661" t="s">
        <v>31</v>
      </c>
      <c r="E661">
        <v>2</v>
      </c>
      <c r="F661" s="4">
        <v>642.04</v>
      </c>
      <c r="G661" t="s">
        <v>66</v>
      </c>
      <c r="H661" t="s">
        <v>56</v>
      </c>
      <c r="I661">
        <v>4</v>
      </c>
      <c r="J661" t="s">
        <v>87</v>
      </c>
      <c r="K661" t="s">
        <v>44</v>
      </c>
      <c r="L661" s="4">
        <v>1284.08</v>
      </c>
      <c r="M661" t="str">
        <f>VLOOKUP(D661,tblProduct[],2,FALSE)</f>
        <v>Electronics</v>
      </c>
      <c r="N661" t="str">
        <f>VLOOKUP(D661,tblProduct[],3,FALSE)</f>
        <v>High</v>
      </c>
      <c r="O661">
        <f>VLOOKUP(D661,tblProduct[],4,FALSE)</f>
        <v>120000</v>
      </c>
      <c r="P661">
        <v>1284.08</v>
      </c>
      <c r="Q661" s="19" t="str">
        <f t="shared" si="10"/>
        <v>Oct-2024</v>
      </c>
      <c r="R661" s="26">
        <f>DATE(YEAR(tblEnriched[[#This Row],[Date]]),MONTH(tblEnriched[[#This Row],[Date]]),1)</f>
        <v>45566</v>
      </c>
    </row>
    <row r="662" spans="1:18">
      <c r="A662" t="s">
        <v>2477</v>
      </c>
      <c r="B662" s="10">
        <v>45584</v>
      </c>
      <c r="C662" t="s">
        <v>2478</v>
      </c>
      <c r="D662" t="s">
        <v>47</v>
      </c>
      <c r="E662">
        <v>2</v>
      </c>
      <c r="F662" s="4">
        <v>651.57000000000005</v>
      </c>
      <c r="G662" t="s">
        <v>24</v>
      </c>
      <c r="H662" t="s">
        <v>25</v>
      </c>
      <c r="I662">
        <v>7</v>
      </c>
      <c r="J662" t="s">
        <v>87</v>
      </c>
      <c r="K662" t="s">
        <v>51</v>
      </c>
      <c r="L662" s="4">
        <v>1303.1400000000001</v>
      </c>
      <c r="M662" t="str">
        <f>VLOOKUP(D662,tblProduct[],2,FALSE)</f>
        <v>Furniture</v>
      </c>
      <c r="N662" t="str">
        <f>VLOOKUP(D662,tblProduct[],3,FALSE)</f>
        <v>Medium</v>
      </c>
      <c r="O662">
        <f>VLOOKUP(D662,tblProduct[],4,FALSE)</f>
        <v>70000</v>
      </c>
      <c r="P662">
        <v>1303.1400000000001</v>
      </c>
      <c r="Q662" s="19" t="str">
        <f t="shared" si="10"/>
        <v>Oct-2024</v>
      </c>
      <c r="R662" s="26">
        <f>DATE(YEAR(tblEnriched[[#This Row],[Date]]),MONTH(tblEnriched[[#This Row],[Date]]),1)</f>
        <v>45566</v>
      </c>
    </row>
    <row r="663" spans="1:18">
      <c r="A663" t="s">
        <v>2480</v>
      </c>
      <c r="B663" s="10">
        <v>45716</v>
      </c>
      <c r="C663" t="s">
        <v>2481</v>
      </c>
      <c r="D663" t="s">
        <v>38</v>
      </c>
      <c r="E663">
        <v>3</v>
      </c>
      <c r="F663" s="4">
        <v>424.89</v>
      </c>
      <c r="G663" t="s">
        <v>24</v>
      </c>
      <c r="H663" t="s">
        <v>41</v>
      </c>
      <c r="I663">
        <v>6</v>
      </c>
      <c r="J663" t="s">
        <v>43</v>
      </c>
      <c r="K663" t="s">
        <v>82</v>
      </c>
      <c r="L663" s="4">
        <v>1274.67</v>
      </c>
      <c r="M663" t="str">
        <f>VLOOKUP(D663,tblProduct[],2,FALSE)</f>
        <v>Electronics</v>
      </c>
      <c r="N663" t="str">
        <f>VLOOKUP(D663,tblProduct[],3,FALSE)</f>
        <v>Medium</v>
      </c>
      <c r="O663">
        <f>VLOOKUP(D663,tblProduct[],4,FALSE)</f>
        <v>100000</v>
      </c>
      <c r="P663">
        <v>1274.67</v>
      </c>
      <c r="Q663" s="19" t="str">
        <f t="shared" si="10"/>
        <v>Feb-2025</v>
      </c>
      <c r="R663" s="26">
        <f>DATE(YEAR(tblEnriched[[#This Row],[Date]]),MONTH(tblEnriched[[#This Row],[Date]]),1)</f>
        <v>45689</v>
      </c>
    </row>
    <row r="664" spans="1:18">
      <c r="A664" t="s">
        <v>2484</v>
      </c>
      <c r="B664" s="10">
        <v>44954</v>
      </c>
      <c r="C664" t="s">
        <v>2485</v>
      </c>
      <c r="D664" t="s">
        <v>64</v>
      </c>
      <c r="E664">
        <v>3</v>
      </c>
      <c r="F664" s="4">
        <v>438.89</v>
      </c>
      <c r="G664" t="s">
        <v>71</v>
      </c>
      <c r="H664" t="s">
        <v>49</v>
      </c>
      <c r="I664">
        <v>3</v>
      </c>
      <c r="K664" t="s">
        <v>51</v>
      </c>
      <c r="L664" s="4">
        <v>1316.67</v>
      </c>
      <c r="M664" t="str">
        <f>VLOOKUP(D664,tblProduct[],2,FALSE)</f>
        <v>Electronics</v>
      </c>
      <c r="N664" t="str">
        <f>VLOOKUP(D664,tblProduct[],3,FALSE)</f>
        <v>High</v>
      </c>
      <c r="O664">
        <f>VLOOKUP(D664,tblProduct[],4,FALSE)</f>
        <v>150000</v>
      </c>
      <c r="P664">
        <v>1316.67</v>
      </c>
      <c r="Q664" s="19" t="str">
        <f t="shared" si="10"/>
        <v>Jan-2023</v>
      </c>
      <c r="R664" s="26">
        <f>DATE(YEAR(tblEnriched[[#This Row],[Date]]),MONTH(tblEnriched[[#This Row],[Date]]),1)</f>
        <v>44927</v>
      </c>
    </row>
    <row r="665" spans="1:18">
      <c r="A665" t="s">
        <v>2488</v>
      </c>
      <c r="B665" s="10">
        <v>45397</v>
      </c>
      <c r="C665" t="s">
        <v>2489</v>
      </c>
      <c r="D665" t="s">
        <v>22</v>
      </c>
      <c r="E665">
        <v>1</v>
      </c>
      <c r="F665" s="4">
        <v>72.599999999999994</v>
      </c>
      <c r="G665" t="s">
        <v>24</v>
      </c>
      <c r="H665" t="s">
        <v>41</v>
      </c>
      <c r="I665">
        <v>6</v>
      </c>
      <c r="J665" t="s">
        <v>43</v>
      </c>
      <c r="K665" t="s">
        <v>28</v>
      </c>
      <c r="L665" s="4">
        <v>72.599999999999994</v>
      </c>
      <c r="M665" t="str">
        <f>VLOOKUP(D665,tblProduct[],2,FALSE)</f>
        <v>Electronics</v>
      </c>
      <c r="N665" t="str">
        <f>VLOOKUP(D665,tblProduct[],3,FALSE)</f>
        <v>Medium</v>
      </c>
      <c r="O665">
        <f>VLOOKUP(D665,tblProduct[],4,FALSE)</f>
        <v>90000</v>
      </c>
      <c r="P665">
        <v>72.599999999999994</v>
      </c>
      <c r="Q665" s="19" t="str">
        <f t="shared" si="10"/>
        <v>Apr-2024</v>
      </c>
      <c r="R665" s="26">
        <f>DATE(YEAR(tblEnriched[[#This Row],[Date]]),MONTH(tblEnriched[[#This Row],[Date]]),1)</f>
        <v>45383</v>
      </c>
    </row>
    <row r="666" spans="1:18">
      <c r="A666" t="s">
        <v>2491</v>
      </c>
      <c r="B666" s="10">
        <v>45645</v>
      </c>
      <c r="C666" t="s">
        <v>957</v>
      </c>
      <c r="D666" t="s">
        <v>64</v>
      </c>
      <c r="E666">
        <v>4</v>
      </c>
      <c r="F666" s="4">
        <v>194.75</v>
      </c>
      <c r="G666" t="s">
        <v>71</v>
      </c>
      <c r="H666" t="s">
        <v>25</v>
      </c>
      <c r="I666">
        <v>5</v>
      </c>
      <c r="K666" t="s">
        <v>51</v>
      </c>
      <c r="L666" s="4">
        <v>779</v>
      </c>
      <c r="M666" t="str">
        <f>VLOOKUP(D666,tblProduct[],2,FALSE)</f>
        <v>Electronics</v>
      </c>
      <c r="N666" t="str">
        <f>VLOOKUP(D666,tblProduct[],3,FALSE)</f>
        <v>High</v>
      </c>
      <c r="O666">
        <f>VLOOKUP(D666,tblProduct[],4,FALSE)</f>
        <v>150000</v>
      </c>
      <c r="P666">
        <v>779</v>
      </c>
      <c r="Q666" s="19" t="str">
        <f t="shared" si="10"/>
        <v>Dec-2024</v>
      </c>
      <c r="R666" s="26">
        <f>DATE(YEAR(tblEnriched[[#This Row],[Date]]),MONTH(tblEnriched[[#This Row],[Date]]),1)</f>
        <v>45627</v>
      </c>
    </row>
    <row r="667" spans="1:18">
      <c r="A667" t="s">
        <v>2494</v>
      </c>
      <c r="B667" s="10">
        <v>45048</v>
      </c>
      <c r="C667" t="s">
        <v>2495</v>
      </c>
      <c r="D667" t="s">
        <v>38</v>
      </c>
      <c r="E667">
        <v>4</v>
      </c>
      <c r="F667" s="4">
        <v>231.26</v>
      </c>
      <c r="G667" t="s">
        <v>33</v>
      </c>
      <c r="H667" t="s">
        <v>25</v>
      </c>
      <c r="I667">
        <v>6</v>
      </c>
      <c r="J667" t="s">
        <v>87</v>
      </c>
      <c r="K667" t="s">
        <v>82</v>
      </c>
      <c r="L667" s="4">
        <v>925.04</v>
      </c>
      <c r="M667" t="str">
        <f>VLOOKUP(D667,tblProduct[],2,FALSE)</f>
        <v>Electronics</v>
      </c>
      <c r="N667" t="str">
        <f>VLOOKUP(D667,tblProduct[],3,FALSE)</f>
        <v>Medium</v>
      </c>
      <c r="O667">
        <f>VLOOKUP(D667,tblProduct[],4,FALSE)</f>
        <v>100000</v>
      </c>
      <c r="P667">
        <v>925.04</v>
      </c>
      <c r="Q667" s="19" t="str">
        <f t="shared" si="10"/>
        <v>May-2023</v>
      </c>
      <c r="R667" s="26">
        <f>DATE(YEAR(tblEnriched[[#This Row],[Date]]),MONTH(tblEnriched[[#This Row],[Date]]),1)</f>
        <v>45047</v>
      </c>
    </row>
    <row r="668" spans="1:18">
      <c r="A668" t="s">
        <v>2498</v>
      </c>
      <c r="B668" s="10">
        <v>45535</v>
      </c>
      <c r="C668" t="s">
        <v>2499</v>
      </c>
      <c r="D668" t="s">
        <v>22</v>
      </c>
      <c r="E668">
        <v>4</v>
      </c>
      <c r="F668" s="4">
        <v>327.12</v>
      </c>
      <c r="G668" t="s">
        <v>40</v>
      </c>
      <c r="H668" t="s">
        <v>41</v>
      </c>
      <c r="I668">
        <v>4</v>
      </c>
      <c r="K668" t="s">
        <v>44</v>
      </c>
      <c r="L668" s="4">
        <v>1308.48</v>
      </c>
      <c r="M668" t="str">
        <f>VLOOKUP(D668,tblProduct[],2,FALSE)</f>
        <v>Electronics</v>
      </c>
      <c r="N668" t="str">
        <f>VLOOKUP(D668,tblProduct[],3,FALSE)</f>
        <v>Medium</v>
      </c>
      <c r="O668">
        <f>VLOOKUP(D668,tblProduct[],4,FALSE)</f>
        <v>90000</v>
      </c>
      <c r="P668">
        <v>1308.48</v>
      </c>
      <c r="Q668" s="19" t="str">
        <f t="shared" si="10"/>
        <v>Aug-2024</v>
      </c>
      <c r="R668" s="26">
        <f>DATE(YEAR(tblEnriched[[#This Row],[Date]]),MONTH(tblEnriched[[#This Row],[Date]]),1)</f>
        <v>45505</v>
      </c>
    </row>
    <row r="669" spans="1:18">
      <c r="A669" t="s">
        <v>2501</v>
      </c>
      <c r="B669" s="10">
        <v>45049</v>
      </c>
      <c r="C669" t="s">
        <v>2502</v>
      </c>
      <c r="D669" t="s">
        <v>64</v>
      </c>
      <c r="E669">
        <v>1</v>
      </c>
      <c r="F669" s="4">
        <v>466.42</v>
      </c>
      <c r="G669" t="s">
        <v>66</v>
      </c>
      <c r="H669" t="s">
        <v>95</v>
      </c>
      <c r="I669">
        <v>5</v>
      </c>
      <c r="J669" t="s">
        <v>27</v>
      </c>
      <c r="K669" t="s">
        <v>44</v>
      </c>
      <c r="L669" s="4">
        <v>466.42</v>
      </c>
      <c r="M669" t="str">
        <f>VLOOKUP(D669,tblProduct[],2,FALSE)</f>
        <v>Electronics</v>
      </c>
      <c r="N669" t="str">
        <f>VLOOKUP(D669,tblProduct[],3,FALSE)</f>
        <v>High</v>
      </c>
      <c r="O669">
        <f>VLOOKUP(D669,tblProduct[],4,FALSE)</f>
        <v>150000</v>
      </c>
      <c r="P669">
        <v>466.42</v>
      </c>
      <c r="Q669" s="19" t="str">
        <f t="shared" si="10"/>
        <v>May-2023</v>
      </c>
      <c r="R669" s="26">
        <f>DATE(YEAR(tblEnriched[[#This Row],[Date]]),MONTH(tblEnriched[[#This Row],[Date]]),1)</f>
        <v>45047</v>
      </c>
    </row>
    <row r="670" spans="1:18">
      <c r="A670" t="s">
        <v>2504</v>
      </c>
      <c r="B670" s="10">
        <v>45478</v>
      </c>
      <c r="C670" t="s">
        <v>2505</v>
      </c>
      <c r="D670" t="s">
        <v>22</v>
      </c>
      <c r="E670">
        <v>2</v>
      </c>
      <c r="F670" s="4">
        <v>253.67</v>
      </c>
      <c r="G670" t="s">
        <v>71</v>
      </c>
      <c r="H670" t="s">
        <v>49</v>
      </c>
      <c r="I670">
        <v>3</v>
      </c>
      <c r="J670" t="s">
        <v>87</v>
      </c>
      <c r="K670" t="s">
        <v>51</v>
      </c>
      <c r="L670" s="4">
        <v>507.34</v>
      </c>
      <c r="M670" t="str">
        <f>VLOOKUP(D670,tblProduct[],2,FALSE)</f>
        <v>Electronics</v>
      </c>
      <c r="N670" t="str">
        <f>VLOOKUP(D670,tblProduct[],3,FALSE)</f>
        <v>Medium</v>
      </c>
      <c r="O670">
        <f>VLOOKUP(D670,tblProduct[],4,FALSE)</f>
        <v>90000</v>
      </c>
      <c r="P670">
        <v>507.34</v>
      </c>
      <c r="Q670" s="19" t="str">
        <f t="shared" si="10"/>
        <v>Jul-2024</v>
      </c>
      <c r="R670" s="26">
        <f>DATE(YEAR(tblEnriched[[#This Row],[Date]]),MONTH(tblEnriched[[#This Row],[Date]]),1)</f>
        <v>45474</v>
      </c>
    </row>
    <row r="671" spans="1:18">
      <c r="A671" t="s">
        <v>2507</v>
      </c>
      <c r="B671" s="10">
        <v>44962</v>
      </c>
      <c r="C671" t="s">
        <v>2508</v>
      </c>
      <c r="D671" t="s">
        <v>79</v>
      </c>
      <c r="E671">
        <v>1</v>
      </c>
      <c r="F671" s="4">
        <v>257</v>
      </c>
      <c r="G671" t="s">
        <v>24</v>
      </c>
      <c r="H671" t="s">
        <v>41</v>
      </c>
      <c r="I671">
        <v>5</v>
      </c>
      <c r="K671" t="s">
        <v>35</v>
      </c>
      <c r="L671" s="4">
        <v>257</v>
      </c>
      <c r="M671" t="str">
        <f>VLOOKUP(D671,tblProduct[],2,FALSE)</f>
        <v>Furniture</v>
      </c>
      <c r="N671" t="str">
        <f>VLOOKUP(D671,tblProduct[],3,FALSE)</f>
        <v>High</v>
      </c>
      <c r="O671">
        <f>VLOOKUP(D671,tblProduct[],4,FALSE)</f>
        <v>75000</v>
      </c>
      <c r="P671">
        <v>257</v>
      </c>
      <c r="Q671" s="19" t="str">
        <f t="shared" si="10"/>
        <v>Feb-2023</v>
      </c>
      <c r="R671" s="26">
        <f>DATE(YEAR(tblEnriched[[#This Row],[Date]]),MONTH(tblEnriched[[#This Row],[Date]]),1)</f>
        <v>44958</v>
      </c>
    </row>
    <row r="672" spans="1:18">
      <c r="A672" t="s">
        <v>2511</v>
      </c>
      <c r="B672" s="10">
        <v>45400</v>
      </c>
      <c r="C672" t="s">
        <v>2512</v>
      </c>
      <c r="D672" t="s">
        <v>79</v>
      </c>
      <c r="E672">
        <v>4</v>
      </c>
      <c r="F672" s="4">
        <v>539.20000000000005</v>
      </c>
      <c r="G672" t="s">
        <v>40</v>
      </c>
      <c r="H672" t="s">
        <v>95</v>
      </c>
      <c r="I672">
        <v>8</v>
      </c>
      <c r="J672" t="s">
        <v>43</v>
      </c>
      <c r="K672" t="s">
        <v>82</v>
      </c>
      <c r="L672" s="4">
        <v>2156.8000000000002</v>
      </c>
      <c r="M672" t="str">
        <f>VLOOKUP(D672,tblProduct[],2,FALSE)</f>
        <v>Furniture</v>
      </c>
      <c r="N672" t="str">
        <f>VLOOKUP(D672,tblProduct[],3,FALSE)</f>
        <v>High</v>
      </c>
      <c r="O672">
        <f>VLOOKUP(D672,tblProduct[],4,FALSE)</f>
        <v>75000</v>
      </c>
      <c r="P672">
        <v>2156.8000000000002</v>
      </c>
      <c r="Q672" s="19" t="str">
        <f t="shared" si="10"/>
        <v>Apr-2024</v>
      </c>
      <c r="R672" s="26">
        <f>DATE(YEAR(tblEnriched[[#This Row],[Date]]),MONTH(tblEnriched[[#This Row],[Date]]),1)</f>
        <v>45383</v>
      </c>
    </row>
    <row r="673" spans="1:18">
      <c r="A673" t="s">
        <v>2514</v>
      </c>
      <c r="B673" s="10">
        <v>45092</v>
      </c>
      <c r="C673" t="s">
        <v>2515</v>
      </c>
      <c r="D673" t="s">
        <v>47</v>
      </c>
      <c r="E673">
        <v>5</v>
      </c>
      <c r="F673" s="4">
        <v>50.74</v>
      </c>
      <c r="G673" t="s">
        <v>66</v>
      </c>
      <c r="H673" t="s">
        <v>41</v>
      </c>
      <c r="I673">
        <v>7</v>
      </c>
      <c r="J673" t="s">
        <v>87</v>
      </c>
      <c r="K673" t="s">
        <v>82</v>
      </c>
      <c r="L673" s="4">
        <v>253.7</v>
      </c>
      <c r="M673" t="str">
        <f>VLOOKUP(D673,tblProduct[],2,FALSE)</f>
        <v>Furniture</v>
      </c>
      <c r="N673" t="str">
        <f>VLOOKUP(D673,tblProduct[],3,FALSE)</f>
        <v>Medium</v>
      </c>
      <c r="O673">
        <f>VLOOKUP(D673,tblProduct[],4,FALSE)</f>
        <v>70000</v>
      </c>
      <c r="P673">
        <v>253.7</v>
      </c>
      <c r="Q673" s="19" t="str">
        <f t="shared" si="10"/>
        <v>Jun-2023</v>
      </c>
      <c r="R673" s="26">
        <f>DATE(YEAR(tblEnriched[[#This Row],[Date]]),MONTH(tblEnriched[[#This Row],[Date]]),1)</f>
        <v>45078</v>
      </c>
    </row>
    <row r="674" spans="1:18">
      <c r="A674" t="s">
        <v>2517</v>
      </c>
      <c r="B674" s="10">
        <v>45055</v>
      </c>
      <c r="C674" t="s">
        <v>2518</v>
      </c>
      <c r="D674" t="s">
        <v>31</v>
      </c>
      <c r="E674">
        <v>2</v>
      </c>
      <c r="F674" s="4">
        <v>624.16</v>
      </c>
      <c r="G674" t="s">
        <v>24</v>
      </c>
      <c r="H674" t="s">
        <v>25</v>
      </c>
      <c r="I674">
        <v>2</v>
      </c>
      <c r="J674" t="s">
        <v>27</v>
      </c>
      <c r="K674" t="s">
        <v>28</v>
      </c>
      <c r="L674" s="4">
        <v>1248.32</v>
      </c>
      <c r="M674" t="str">
        <f>VLOOKUP(D674,tblProduct[],2,FALSE)</f>
        <v>Electronics</v>
      </c>
      <c r="N674" t="str">
        <f>VLOOKUP(D674,tblProduct[],3,FALSE)</f>
        <v>High</v>
      </c>
      <c r="O674">
        <f>VLOOKUP(D674,tblProduct[],4,FALSE)</f>
        <v>120000</v>
      </c>
      <c r="P674">
        <v>1248.32</v>
      </c>
      <c r="Q674" s="19" t="str">
        <f t="shared" si="10"/>
        <v>May-2023</v>
      </c>
      <c r="R674" s="26">
        <f>DATE(YEAR(tblEnriched[[#This Row],[Date]]),MONTH(tblEnriched[[#This Row],[Date]]),1)</f>
        <v>45047</v>
      </c>
    </row>
    <row r="675" spans="1:18">
      <c r="A675" t="s">
        <v>2520</v>
      </c>
      <c r="B675" s="10">
        <v>44978</v>
      </c>
      <c r="C675" t="s">
        <v>2521</v>
      </c>
      <c r="D675" t="s">
        <v>38</v>
      </c>
      <c r="E675">
        <v>2</v>
      </c>
      <c r="F675" s="4">
        <v>372.92</v>
      </c>
      <c r="G675" t="s">
        <v>40</v>
      </c>
      <c r="H675" t="s">
        <v>56</v>
      </c>
      <c r="I675">
        <v>7</v>
      </c>
      <c r="J675" t="s">
        <v>27</v>
      </c>
      <c r="K675" t="s">
        <v>44</v>
      </c>
      <c r="L675" s="4">
        <v>745.84</v>
      </c>
      <c r="M675" t="str">
        <f>VLOOKUP(D675,tblProduct[],2,FALSE)</f>
        <v>Electronics</v>
      </c>
      <c r="N675" t="str">
        <f>VLOOKUP(D675,tblProduct[],3,FALSE)</f>
        <v>Medium</v>
      </c>
      <c r="O675">
        <f>VLOOKUP(D675,tblProduct[],4,FALSE)</f>
        <v>100000</v>
      </c>
      <c r="P675">
        <v>745.84</v>
      </c>
      <c r="Q675" s="19" t="str">
        <f t="shared" si="10"/>
        <v>Feb-2023</v>
      </c>
      <c r="R675" s="26">
        <f>DATE(YEAR(tblEnriched[[#This Row],[Date]]),MONTH(tblEnriched[[#This Row],[Date]]),1)</f>
        <v>44958</v>
      </c>
    </row>
    <row r="676" spans="1:18">
      <c r="A676" t="s">
        <v>2523</v>
      </c>
      <c r="B676" s="10">
        <v>45300</v>
      </c>
      <c r="C676" t="s">
        <v>2524</v>
      </c>
      <c r="D676" t="s">
        <v>64</v>
      </c>
      <c r="E676">
        <v>4</v>
      </c>
      <c r="F676" s="4">
        <v>358.75</v>
      </c>
      <c r="G676" t="s">
        <v>66</v>
      </c>
      <c r="H676" t="s">
        <v>56</v>
      </c>
      <c r="I676">
        <v>9</v>
      </c>
      <c r="J676" t="s">
        <v>27</v>
      </c>
      <c r="K676" t="s">
        <v>51</v>
      </c>
      <c r="L676" s="4">
        <v>1435</v>
      </c>
      <c r="M676" t="str">
        <f>VLOOKUP(D676,tblProduct[],2,FALSE)</f>
        <v>Electronics</v>
      </c>
      <c r="N676" t="str">
        <f>VLOOKUP(D676,tblProduct[],3,FALSE)</f>
        <v>High</v>
      </c>
      <c r="O676">
        <f>VLOOKUP(D676,tblProduct[],4,FALSE)</f>
        <v>150000</v>
      </c>
      <c r="P676">
        <v>1435</v>
      </c>
      <c r="Q676" s="19" t="str">
        <f t="shared" si="10"/>
        <v>Jan-2024</v>
      </c>
      <c r="R676" s="26">
        <f>DATE(YEAR(tblEnriched[[#This Row],[Date]]),MONTH(tblEnriched[[#This Row],[Date]]),1)</f>
        <v>45292</v>
      </c>
    </row>
    <row r="677" spans="1:18">
      <c r="A677" t="s">
        <v>2527</v>
      </c>
      <c r="B677" s="10">
        <v>45510</v>
      </c>
      <c r="C677" t="s">
        <v>2528</v>
      </c>
      <c r="D677" t="s">
        <v>79</v>
      </c>
      <c r="E677">
        <v>3</v>
      </c>
      <c r="F677" s="4">
        <v>342.02</v>
      </c>
      <c r="G677" t="s">
        <v>24</v>
      </c>
      <c r="H677" t="s">
        <v>95</v>
      </c>
      <c r="I677">
        <v>5</v>
      </c>
      <c r="K677" t="s">
        <v>44</v>
      </c>
      <c r="L677" s="4">
        <v>1026.06</v>
      </c>
      <c r="M677" t="str">
        <f>VLOOKUP(D677,tblProduct[],2,FALSE)</f>
        <v>Furniture</v>
      </c>
      <c r="N677" t="str">
        <f>VLOOKUP(D677,tblProduct[],3,FALSE)</f>
        <v>High</v>
      </c>
      <c r="O677">
        <f>VLOOKUP(D677,tblProduct[],4,FALSE)</f>
        <v>75000</v>
      </c>
      <c r="P677">
        <v>1026.06</v>
      </c>
      <c r="Q677" s="19" t="str">
        <f t="shared" si="10"/>
        <v>Aug-2024</v>
      </c>
      <c r="R677" s="26">
        <f>DATE(YEAR(tblEnriched[[#This Row],[Date]]),MONTH(tblEnriched[[#This Row],[Date]]),1)</f>
        <v>45505</v>
      </c>
    </row>
    <row r="678" spans="1:18">
      <c r="A678" t="s">
        <v>2530</v>
      </c>
      <c r="B678" s="10">
        <v>45831</v>
      </c>
      <c r="C678" t="s">
        <v>2531</v>
      </c>
      <c r="D678" t="s">
        <v>64</v>
      </c>
      <c r="E678">
        <v>2</v>
      </c>
      <c r="F678" s="4">
        <v>422.34</v>
      </c>
      <c r="G678" t="s">
        <v>40</v>
      </c>
      <c r="H678" t="s">
        <v>41</v>
      </c>
      <c r="I678">
        <v>4</v>
      </c>
      <c r="J678" t="s">
        <v>43</v>
      </c>
      <c r="K678" t="s">
        <v>28</v>
      </c>
      <c r="L678" s="4">
        <v>844.68</v>
      </c>
      <c r="M678" t="str">
        <f>VLOOKUP(D678,tblProduct[],2,FALSE)</f>
        <v>Electronics</v>
      </c>
      <c r="N678" t="str">
        <f>VLOOKUP(D678,tblProduct[],3,FALSE)</f>
        <v>High</v>
      </c>
      <c r="O678">
        <f>VLOOKUP(D678,tblProduct[],4,FALSE)</f>
        <v>150000</v>
      </c>
      <c r="P678">
        <v>844.68</v>
      </c>
      <c r="Q678" s="19" t="str">
        <f t="shared" si="10"/>
        <v>Jun-2025</v>
      </c>
      <c r="R678" s="26">
        <f>DATE(YEAR(tblEnriched[[#This Row],[Date]]),MONTH(tblEnriched[[#This Row],[Date]]),1)</f>
        <v>45809</v>
      </c>
    </row>
    <row r="679" spans="1:18">
      <c r="A679" t="s">
        <v>2533</v>
      </c>
      <c r="B679" s="10">
        <v>45750</v>
      </c>
      <c r="C679" t="s">
        <v>2534</v>
      </c>
      <c r="D679" t="s">
        <v>38</v>
      </c>
      <c r="E679">
        <v>5</v>
      </c>
      <c r="F679" s="4">
        <v>22.07</v>
      </c>
      <c r="G679" t="s">
        <v>33</v>
      </c>
      <c r="H679" t="s">
        <v>41</v>
      </c>
      <c r="I679">
        <v>7</v>
      </c>
      <c r="J679" t="s">
        <v>43</v>
      </c>
      <c r="K679" t="s">
        <v>28</v>
      </c>
      <c r="L679" s="4">
        <v>110.35</v>
      </c>
      <c r="M679" t="str">
        <f>VLOOKUP(D679,tblProduct[],2,FALSE)</f>
        <v>Electronics</v>
      </c>
      <c r="N679" t="str">
        <f>VLOOKUP(D679,tblProduct[],3,FALSE)</f>
        <v>Medium</v>
      </c>
      <c r="O679">
        <f>VLOOKUP(D679,tblProduct[],4,FALSE)</f>
        <v>100000</v>
      </c>
      <c r="P679">
        <v>110.35</v>
      </c>
      <c r="Q679" s="19" t="str">
        <f t="shared" si="10"/>
        <v>Apr-2025</v>
      </c>
      <c r="R679" s="26">
        <f>DATE(YEAR(tblEnriched[[#This Row],[Date]]),MONTH(tblEnriched[[#This Row],[Date]]),1)</f>
        <v>45748</v>
      </c>
    </row>
    <row r="680" spans="1:18">
      <c r="A680" t="s">
        <v>2536</v>
      </c>
      <c r="B680" s="10">
        <v>45620</v>
      </c>
      <c r="C680" t="s">
        <v>2537</v>
      </c>
      <c r="D680" t="s">
        <v>47</v>
      </c>
      <c r="E680">
        <v>3</v>
      </c>
      <c r="F680" s="4">
        <v>163.13</v>
      </c>
      <c r="G680" t="s">
        <v>66</v>
      </c>
      <c r="H680" t="s">
        <v>25</v>
      </c>
      <c r="I680">
        <v>5</v>
      </c>
      <c r="J680" t="s">
        <v>87</v>
      </c>
      <c r="K680" t="s">
        <v>51</v>
      </c>
      <c r="L680" s="4">
        <v>489.39</v>
      </c>
      <c r="M680" t="str">
        <f>VLOOKUP(D680,tblProduct[],2,FALSE)</f>
        <v>Furniture</v>
      </c>
      <c r="N680" t="str">
        <f>VLOOKUP(D680,tblProduct[],3,FALSE)</f>
        <v>Medium</v>
      </c>
      <c r="O680">
        <f>VLOOKUP(D680,tblProduct[],4,FALSE)</f>
        <v>70000</v>
      </c>
      <c r="P680">
        <v>489.39</v>
      </c>
      <c r="Q680" s="19" t="str">
        <f t="shared" si="10"/>
        <v>Nov-2024</v>
      </c>
      <c r="R680" s="26">
        <f>DATE(YEAR(tblEnriched[[#This Row],[Date]]),MONTH(tblEnriched[[#This Row],[Date]]),1)</f>
        <v>45597</v>
      </c>
    </row>
    <row r="681" spans="1:18">
      <c r="A681" t="s">
        <v>2539</v>
      </c>
      <c r="B681" s="10">
        <v>44959</v>
      </c>
      <c r="C681" t="s">
        <v>2540</v>
      </c>
      <c r="D681" t="s">
        <v>38</v>
      </c>
      <c r="E681">
        <v>3</v>
      </c>
      <c r="F681" s="4">
        <v>360.66</v>
      </c>
      <c r="G681" t="s">
        <v>33</v>
      </c>
      <c r="H681" t="s">
        <v>49</v>
      </c>
      <c r="I681">
        <v>5</v>
      </c>
      <c r="J681" t="s">
        <v>43</v>
      </c>
      <c r="K681" t="s">
        <v>28</v>
      </c>
      <c r="L681" s="4">
        <v>1081.98</v>
      </c>
      <c r="M681" t="str">
        <f>VLOOKUP(D681,tblProduct[],2,FALSE)</f>
        <v>Electronics</v>
      </c>
      <c r="N681" t="str">
        <f>VLOOKUP(D681,tblProduct[],3,FALSE)</f>
        <v>Medium</v>
      </c>
      <c r="O681">
        <f>VLOOKUP(D681,tblProduct[],4,FALSE)</f>
        <v>100000</v>
      </c>
      <c r="P681">
        <v>1081.98</v>
      </c>
      <c r="Q681" s="19" t="str">
        <f t="shared" si="10"/>
        <v>Feb-2023</v>
      </c>
      <c r="R681" s="26">
        <f>DATE(YEAR(tblEnriched[[#This Row],[Date]]),MONTH(tblEnriched[[#This Row],[Date]]),1)</f>
        <v>44958</v>
      </c>
    </row>
    <row r="682" spans="1:18">
      <c r="A682" t="s">
        <v>2542</v>
      </c>
      <c r="B682" s="10">
        <v>45165</v>
      </c>
      <c r="C682" t="s">
        <v>2543</v>
      </c>
      <c r="D682" t="s">
        <v>22</v>
      </c>
      <c r="E682">
        <v>3</v>
      </c>
      <c r="F682" s="4">
        <v>463.39</v>
      </c>
      <c r="G682" t="s">
        <v>40</v>
      </c>
      <c r="H682" t="s">
        <v>49</v>
      </c>
      <c r="I682">
        <v>3</v>
      </c>
      <c r="K682" t="s">
        <v>51</v>
      </c>
      <c r="L682" s="4">
        <v>1390.17</v>
      </c>
      <c r="M682" t="str">
        <f>VLOOKUP(D682,tblProduct[],2,FALSE)</f>
        <v>Electronics</v>
      </c>
      <c r="N682" t="str">
        <f>VLOOKUP(D682,tblProduct[],3,FALSE)</f>
        <v>Medium</v>
      </c>
      <c r="O682">
        <f>VLOOKUP(D682,tblProduct[],4,FALSE)</f>
        <v>90000</v>
      </c>
      <c r="P682">
        <v>1390.17</v>
      </c>
      <c r="Q682" s="19" t="str">
        <f t="shared" si="10"/>
        <v>Aug-2023</v>
      </c>
      <c r="R682" s="26">
        <f>DATE(YEAR(tblEnriched[[#This Row],[Date]]),MONTH(tblEnriched[[#This Row],[Date]]),1)</f>
        <v>45139</v>
      </c>
    </row>
    <row r="683" spans="1:18">
      <c r="A683" t="s">
        <v>2546</v>
      </c>
      <c r="B683" s="10">
        <v>45321</v>
      </c>
      <c r="C683" t="s">
        <v>2547</v>
      </c>
      <c r="D683" t="s">
        <v>38</v>
      </c>
      <c r="E683">
        <v>1</v>
      </c>
      <c r="F683" s="4">
        <v>155.27000000000001</v>
      </c>
      <c r="G683" t="s">
        <v>24</v>
      </c>
      <c r="H683" t="s">
        <v>25</v>
      </c>
      <c r="I683">
        <v>6</v>
      </c>
      <c r="K683" t="s">
        <v>44</v>
      </c>
      <c r="L683" s="4">
        <v>155.27000000000001</v>
      </c>
      <c r="M683" t="str">
        <f>VLOOKUP(D683,tblProduct[],2,FALSE)</f>
        <v>Electronics</v>
      </c>
      <c r="N683" t="str">
        <f>VLOOKUP(D683,tblProduct[],3,FALSE)</f>
        <v>Medium</v>
      </c>
      <c r="O683">
        <f>VLOOKUP(D683,tblProduct[],4,FALSE)</f>
        <v>100000</v>
      </c>
      <c r="P683">
        <v>155.27000000000001</v>
      </c>
      <c r="Q683" s="19" t="str">
        <f t="shared" si="10"/>
        <v>Jan-2024</v>
      </c>
      <c r="R683" s="26">
        <f>DATE(YEAR(tblEnriched[[#This Row],[Date]]),MONTH(tblEnriched[[#This Row],[Date]]),1)</f>
        <v>45292</v>
      </c>
    </row>
    <row r="684" spans="1:18">
      <c r="A684" t="s">
        <v>2550</v>
      </c>
      <c r="B684" s="10">
        <v>45130</v>
      </c>
      <c r="C684" t="s">
        <v>2551</v>
      </c>
      <c r="D684" t="s">
        <v>22</v>
      </c>
      <c r="E684">
        <v>3</v>
      </c>
      <c r="F684" s="4">
        <v>509.42</v>
      </c>
      <c r="G684" t="s">
        <v>40</v>
      </c>
      <c r="H684" t="s">
        <v>41</v>
      </c>
      <c r="I684">
        <v>5</v>
      </c>
      <c r="J684" t="s">
        <v>43</v>
      </c>
      <c r="K684" t="s">
        <v>82</v>
      </c>
      <c r="L684" s="4">
        <v>1528.26</v>
      </c>
      <c r="M684" t="str">
        <f>VLOOKUP(D684,tblProduct[],2,FALSE)</f>
        <v>Electronics</v>
      </c>
      <c r="N684" t="str">
        <f>VLOOKUP(D684,tblProduct[],3,FALSE)</f>
        <v>Medium</v>
      </c>
      <c r="O684">
        <f>VLOOKUP(D684,tblProduct[],4,FALSE)</f>
        <v>90000</v>
      </c>
      <c r="P684">
        <v>1528.26</v>
      </c>
      <c r="Q684" s="19" t="str">
        <f t="shared" si="10"/>
        <v>Jul-2023</v>
      </c>
      <c r="R684" s="26">
        <f>DATE(YEAR(tblEnriched[[#This Row],[Date]]),MONTH(tblEnriched[[#This Row],[Date]]),1)</f>
        <v>45108</v>
      </c>
    </row>
    <row r="685" spans="1:18">
      <c r="A685" t="s">
        <v>2553</v>
      </c>
      <c r="B685" s="10">
        <v>45795</v>
      </c>
      <c r="C685" t="s">
        <v>2554</v>
      </c>
      <c r="D685" t="s">
        <v>79</v>
      </c>
      <c r="E685">
        <v>4</v>
      </c>
      <c r="F685" s="4">
        <v>652.48</v>
      </c>
      <c r="G685" t="s">
        <v>71</v>
      </c>
      <c r="H685" t="s">
        <v>95</v>
      </c>
      <c r="I685">
        <v>5</v>
      </c>
      <c r="J685" t="s">
        <v>43</v>
      </c>
      <c r="K685" t="s">
        <v>28</v>
      </c>
      <c r="L685" s="4">
        <v>2609.92</v>
      </c>
      <c r="M685" t="str">
        <f>VLOOKUP(D685,tblProduct[],2,FALSE)</f>
        <v>Furniture</v>
      </c>
      <c r="N685" t="str">
        <f>VLOOKUP(D685,tblProduct[],3,FALSE)</f>
        <v>High</v>
      </c>
      <c r="O685">
        <f>VLOOKUP(D685,tblProduct[],4,FALSE)</f>
        <v>75000</v>
      </c>
      <c r="P685">
        <v>2609.92</v>
      </c>
      <c r="Q685" s="19" t="str">
        <f t="shared" si="10"/>
        <v>May-2025</v>
      </c>
      <c r="R685" s="26">
        <f>DATE(YEAR(tblEnriched[[#This Row],[Date]]),MONTH(tblEnriched[[#This Row],[Date]]),1)</f>
        <v>45778</v>
      </c>
    </row>
    <row r="686" spans="1:18">
      <c r="A686" t="s">
        <v>2557</v>
      </c>
      <c r="B686" s="10">
        <v>45557</v>
      </c>
      <c r="C686" t="s">
        <v>2558</v>
      </c>
      <c r="D686" t="s">
        <v>54</v>
      </c>
      <c r="E686">
        <v>4</v>
      </c>
      <c r="F686" s="4">
        <v>34.840000000000003</v>
      </c>
      <c r="G686" t="s">
        <v>40</v>
      </c>
      <c r="H686" t="s">
        <v>25</v>
      </c>
      <c r="I686">
        <v>8</v>
      </c>
      <c r="K686" t="s">
        <v>44</v>
      </c>
      <c r="L686" s="4">
        <v>139.36000000000001</v>
      </c>
      <c r="M686" t="str">
        <f>VLOOKUP(D686,tblProduct[],2,FALSE)</f>
        <v>Electronics</v>
      </c>
      <c r="N686" t="str">
        <f>VLOOKUP(D686,tblProduct[],3,FALSE)</f>
        <v>Medium</v>
      </c>
      <c r="O686">
        <f>VLOOKUP(D686,tblProduct[],4,FALSE)</f>
        <v>80000</v>
      </c>
      <c r="P686">
        <v>139.36000000000001</v>
      </c>
      <c r="Q686" s="19" t="str">
        <f t="shared" si="10"/>
        <v>Sep-2024</v>
      </c>
      <c r="R686" s="26">
        <f>DATE(YEAR(tblEnriched[[#This Row],[Date]]),MONTH(tblEnriched[[#This Row],[Date]]),1)</f>
        <v>45536</v>
      </c>
    </row>
    <row r="687" spans="1:18">
      <c r="A687" t="s">
        <v>2561</v>
      </c>
      <c r="B687" s="10">
        <v>45695</v>
      </c>
      <c r="C687" t="s">
        <v>2562</v>
      </c>
      <c r="D687" t="s">
        <v>79</v>
      </c>
      <c r="E687">
        <v>1</v>
      </c>
      <c r="F687" s="4">
        <v>234.37</v>
      </c>
      <c r="G687" t="s">
        <v>24</v>
      </c>
      <c r="H687" t="s">
        <v>25</v>
      </c>
      <c r="I687">
        <v>5</v>
      </c>
      <c r="J687" t="s">
        <v>43</v>
      </c>
      <c r="K687" t="s">
        <v>44</v>
      </c>
      <c r="L687" s="4">
        <v>234.37</v>
      </c>
      <c r="M687" t="str">
        <f>VLOOKUP(D687,tblProduct[],2,FALSE)</f>
        <v>Furniture</v>
      </c>
      <c r="N687" t="str">
        <f>VLOOKUP(D687,tblProduct[],3,FALSE)</f>
        <v>High</v>
      </c>
      <c r="O687">
        <f>VLOOKUP(D687,tblProduct[],4,FALSE)</f>
        <v>75000</v>
      </c>
      <c r="P687">
        <v>234.37</v>
      </c>
      <c r="Q687" s="19" t="str">
        <f t="shared" si="10"/>
        <v>Feb-2025</v>
      </c>
      <c r="R687" s="26">
        <f>DATE(YEAR(tblEnriched[[#This Row],[Date]]),MONTH(tblEnriched[[#This Row],[Date]]),1)</f>
        <v>45689</v>
      </c>
    </row>
    <row r="688" spans="1:18">
      <c r="A688" t="s">
        <v>2565</v>
      </c>
      <c r="B688" s="10">
        <v>45208</v>
      </c>
      <c r="C688" t="s">
        <v>2566</v>
      </c>
      <c r="D688" t="s">
        <v>79</v>
      </c>
      <c r="E688">
        <v>3</v>
      </c>
      <c r="F688" s="4">
        <v>53.6</v>
      </c>
      <c r="G688" t="s">
        <v>71</v>
      </c>
      <c r="H688" t="s">
        <v>95</v>
      </c>
      <c r="I688">
        <v>4</v>
      </c>
      <c r="J688" t="s">
        <v>87</v>
      </c>
      <c r="K688" t="s">
        <v>51</v>
      </c>
      <c r="L688" s="4">
        <v>160.80000000000001</v>
      </c>
      <c r="M688" t="str">
        <f>VLOOKUP(D688,tblProduct[],2,FALSE)</f>
        <v>Furniture</v>
      </c>
      <c r="N688" t="str">
        <f>VLOOKUP(D688,tblProduct[],3,FALSE)</f>
        <v>High</v>
      </c>
      <c r="O688">
        <f>VLOOKUP(D688,tblProduct[],4,FALSE)</f>
        <v>75000</v>
      </c>
      <c r="P688">
        <v>160.80000000000001</v>
      </c>
      <c r="Q688" s="19" t="str">
        <f t="shared" si="10"/>
        <v>Oct-2023</v>
      </c>
      <c r="R688" s="26">
        <f>DATE(YEAR(tblEnriched[[#This Row],[Date]]),MONTH(tblEnriched[[#This Row],[Date]]),1)</f>
        <v>45200</v>
      </c>
    </row>
    <row r="689" spans="1:18">
      <c r="A689" t="s">
        <v>2569</v>
      </c>
      <c r="B689" s="10">
        <v>45182</v>
      </c>
      <c r="C689" t="s">
        <v>2570</v>
      </c>
      <c r="D689" t="s">
        <v>38</v>
      </c>
      <c r="E689">
        <v>1</v>
      </c>
      <c r="F689" s="4">
        <v>332.09</v>
      </c>
      <c r="G689" t="s">
        <v>66</v>
      </c>
      <c r="H689" t="s">
        <v>49</v>
      </c>
      <c r="I689">
        <v>5</v>
      </c>
      <c r="J689" t="s">
        <v>43</v>
      </c>
      <c r="K689" t="s">
        <v>28</v>
      </c>
      <c r="L689" s="4">
        <v>332.09</v>
      </c>
      <c r="M689" t="str">
        <f>VLOOKUP(D689,tblProduct[],2,FALSE)</f>
        <v>Electronics</v>
      </c>
      <c r="N689" t="str">
        <f>VLOOKUP(D689,tblProduct[],3,FALSE)</f>
        <v>Medium</v>
      </c>
      <c r="O689">
        <f>VLOOKUP(D689,tblProduct[],4,FALSE)</f>
        <v>100000</v>
      </c>
      <c r="P689">
        <v>332.09</v>
      </c>
      <c r="Q689" s="19" t="str">
        <f t="shared" si="10"/>
        <v>Sep-2023</v>
      </c>
      <c r="R689" s="26">
        <f>DATE(YEAR(tblEnriched[[#This Row],[Date]]),MONTH(tblEnriched[[#This Row],[Date]]),1)</f>
        <v>45170</v>
      </c>
    </row>
    <row r="690" spans="1:18">
      <c r="A690" t="s">
        <v>2573</v>
      </c>
      <c r="B690" s="10">
        <v>45357</v>
      </c>
      <c r="C690" t="s">
        <v>2574</v>
      </c>
      <c r="D690" t="s">
        <v>22</v>
      </c>
      <c r="E690">
        <v>4</v>
      </c>
      <c r="F690" s="4">
        <v>593.22</v>
      </c>
      <c r="G690" t="s">
        <v>40</v>
      </c>
      <c r="H690" t="s">
        <v>41</v>
      </c>
      <c r="I690">
        <v>8</v>
      </c>
      <c r="J690" t="s">
        <v>87</v>
      </c>
      <c r="K690" t="s">
        <v>51</v>
      </c>
      <c r="L690" s="4">
        <v>2372.88</v>
      </c>
      <c r="M690" t="str">
        <f>VLOOKUP(D690,tblProduct[],2,FALSE)</f>
        <v>Electronics</v>
      </c>
      <c r="N690" t="str">
        <f>VLOOKUP(D690,tblProduct[],3,FALSE)</f>
        <v>Medium</v>
      </c>
      <c r="O690">
        <f>VLOOKUP(D690,tblProduct[],4,FALSE)</f>
        <v>90000</v>
      </c>
      <c r="P690">
        <v>2372.88</v>
      </c>
      <c r="Q690" s="19" t="str">
        <f t="shared" si="10"/>
        <v>Mar-2024</v>
      </c>
      <c r="R690" s="26">
        <f>DATE(YEAR(tblEnriched[[#This Row],[Date]]),MONTH(tblEnriched[[#This Row],[Date]]),1)</f>
        <v>45352</v>
      </c>
    </row>
    <row r="691" spans="1:18">
      <c r="A691" t="s">
        <v>2576</v>
      </c>
      <c r="B691" s="10">
        <v>45167</v>
      </c>
      <c r="C691" t="s">
        <v>2577</v>
      </c>
      <c r="D691" t="s">
        <v>38</v>
      </c>
      <c r="E691">
        <v>2</v>
      </c>
      <c r="F691" s="4">
        <v>444.84</v>
      </c>
      <c r="G691" t="s">
        <v>33</v>
      </c>
      <c r="H691" t="s">
        <v>25</v>
      </c>
      <c r="I691">
        <v>7</v>
      </c>
      <c r="K691" t="s">
        <v>51</v>
      </c>
      <c r="L691" s="4">
        <v>889.68</v>
      </c>
      <c r="M691" t="str">
        <f>VLOOKUP(D691,tblProduct[],2,FALSE)</f>
        <v>Electronics</v>
      </c>
      <c r="N691" t="str">
        <f>VLOOKUP(D691,tblProduct[],3,FALSE)</f>
        <v>Medium</v>
      </c>
      <c r="O691">
        <f>VLOOKUP(D691,tblProduct[],4,FALSE)</f>
        <v>100000</v>
      </c>
      <c r="P691">
        <v>889.68</v>
      </c>
      <c r="Q691" s="19" t="str">
        <f t="shared" si="10"/>
        <v>Aug-2023</v>
      </c>
      <c r="R691" s="26">
        <f>DATE(YEAR(tblEnriched[[#This Row],[Date]]),MONTH(tblEnriched[[#This Row],[Date]]),1)</f>
        <v>45139</v>
      </c>
    </row>
    <row r="692" spans="1:18">
      <c r="A692" t="s">
        <v>2580</v>
      </c>
      <c r="B692" s="10">
        <v>45485</v>
      </c>
      <c r="C692" t="s">
        <v>2581</v>
      </c>
      <c r="D692" t="s">
        <v>22</v>
      </c>
      <c r="E692">
        <v>1</v>
      </c>
      <c r="F692" s="4">
        <v>24.48</v>
      </c>
      <c r="G692" t="s">
        <v>66</v>
      </c>
      <c r="H692" t="s">
        <v>49</v>
      </c>
      <c r="I692">
        <v>1</v>
      </c>
      <c r="K692" t="s">
        <v>28</v>
      </c>
      <c r="L692" s="4">
        <v>24.48</v>
      </c>
      <c r="M692" t="str">
        <f>VLOOKUP(D692,tblProduct[],2,FALSE)</f>
        <v>Electronics</v>
      </c>
      <c r="N692" t="str">
        <f>VLOOKUP(D692,tblProduct[],3,FALSE)</f>
        <v>Medium</v>
      </c>
      <c r="O692">
        <f>VLOOKUP(D692,tblProduct[],4,FALSE)</f>
        <v>90000</v>
      </c>
      <c r="P692">
        <v>24.48</v>
      </c>
      <c r="Q692" s="19" t="str">
        <f t="shared" si="10"/>
        <v>Jul-2024</v>
      </c>
      <c r="R692" s="26">
        <f>DATE(YEAR(tblEnriched[[#This Row],[Date]]),MONTH(tblEnriched[[#This Row],[Date]]),1)</f>
        <v>45474</v>
      </c>
    </row>
    <row r="693" spans="1:18">
      <c r="A693" t="s">
        <v>2583</v>
      </c>
      <c r="B693" s="10">
        <v>45620</v>
      </c>
      <c r="C693" t="s">
        <v>2584</v>
      </c>
      <c r="D693" t="s">
        <v>64</v>
      </c>
      <c r="E693">
        <v>3</v>
      </c>
      <c r="F693" s="4">
        <v>239.08</v>
      </c>
      <c r="G693" t="s">
        <v>71</v>
      </c>
      <c r="H693" t="s">
        <v>25</v>
      </c>
      <c r="I693">
        <v>8</v>
      </c>
      <c r="K693" t="s">
        <v>82</v>
      </c>
      <c r="L693" s="4">
        <v>717.24</v>
      </c>
      <c r="M693" t="str">
        <f>VLOOKUP(D693,tblProduct[],2,FALSE)</f>
        <v>Electronics</v>
      </c>
      <c r="N693" t="str">
        <f>VLOOKUP(D693,tblProduct[],3,FALSE)</f>
        <v>High</v>
      </c>
      <c r="O693">
        <f>VLOOKUP(D693,tblProduct[],4,FALSE)</f>
        <v>150000</v>
      </c>
      <c r="P693">
        <v>717.24</v>
      </c>
      <c r="Q693" s="19" t="str">
        <f t="shared" si="10"/>
        <v>Nov-2024</v>
      </c>
      <c r="R693" s="26">
        <f>DATE(YEAR(tblEnriched[[#This Row],[Date]]),MONTH(tblEnriched[[#This Row],[Date]]),1)</f>
        <v>45597</v>
      </c>
    </row>
    <row r="694" spans="1:18">
      <c r="A694" t="s">
        <v>2587</v>
      </c>
      <c r="B694" s="10">
        <v>44949</v>
      </c>
      <c r="C694" t="s">
        <v>2588</v>
      </c>
      <c r="D694" t="s">
        <v>79</v>
      </c>
      <c r="E694">
        <v>5</v>
      </c>
      <c r="F694" s="4">
        <v>196.84</v>
      </c>
      <c r="G694" t="s">
        <v>40</v>
      </c>
      <c r="H694" t="s">
        <v>56</v>
      </c>
      <c r="I694">
        <v>5</v>
      </c>
      <c r="J694" t="s">
        <v>87</v>
      </c>
      <c r="K694" t="s">
        <v>28</v>
      </c>
      <c r="L694" s="4">
        <v>984.2</v>
      </c>
      <c r="M694" t="str">
        <f>VLOOKUP(D694,tblProduct[],2,FALSE)</f>
        <v>Furniture</v>
      </c>
      <c r="N694" t="str">
        <f>VLOOKUP(D694,tblProduct[],3,FALSE)</f>
        <v>High</v>
      </c>
      <c r="O694">
        <f>VLOOKUP(D694,tblProduct[],4,FALSE)</f>
        <v>75000</v>
      </c>
      <c r="P694">
        <v>984.2</v>
      </c>
      <c r="Q694" s="19" t="str">
        <f t="shared" si="10"/>
        <v>Jan-2023</v>
      </c>
      <c r="R694" s="26">
        <f>DATE(YEAR(tblEnriched[[#This Row],[Date]]),MONTH(tblEnriched[[#This Row],[Date]]),1)</f>
        <v>44927</v>
      </c>
    </row>
    <row r="695" spans="1:18">
      <c r="A695" t="s">
        <v>2590</v>
      </c>
      <c r="B695" s="10">
        <v>45728</v>
      </c>
      <c r="C695" t="s">
        <v>2591</v>
      </c>
      <c r="D695" t="s">
        <v>22</v>
      </c>
      <c r="E695">
        <v>1</v>
      </c>
      <c r="F695" s="4">
        <v>176.58</v>
      </c>
      <c r="G695" t="s">
        <v>24</v>
      </c>
      <c r="H695" t="s">
        <v>49</v>
      </c>
      <c r="I695">
        <v>4</v>
      </c>
      <c r="K695" t="s">
        <v>35</v>
      </c>
      <c r="L695" s="4">
        <v>176.58</v>
      </c>
      <c r="M695" t="str">
        <f>VLOOKUP(D695,tblProduct[],2,FALSE)</f>
        <v>Electronics</v>
      </c>
      <c r="N695" t="str">
        <f>VLOOKUP(D695,tblProduct[],3,FALSE)</f>
        <v>Medium</v>
      </c>
      <c r="O695">
        <f>VLOOKUP(D695,tblProduct[],4,FALSE)</f>
        <v>90000</v>
      </c>
      <c r="P695">
        <v>176.58</v>
      </c>
      <c r="Q695" s="19" t="str">
        <f t="shared" si="10"/>
        <v>Mar-2025</v>
      </c>
      <c r="R695" s="26">
        <f>DATE(YEAR(tblEnriched[[#This Row],[Date]]),MONTH(tblEnriched[[#This Row],[Date]]),1)</f>
        <v>45717</v>
      </c>
    </row>
    <row r="696" spans="1:18">
      <c r="A696" t="s">
        <v>2594</v>
      </c>
      <c r="B696" s="10">
        <v>45201</v>
      </c>
      <c r="C696" t="s">
        <v>2595</v>
      </c>
      <c r="D696" t="s">
        <v>54</v>
      </c>
      <c r="E696">
        <v>4</v>
      </c>
      <c r="F696" s="4">
        <v>666.52</v>
      </c>
      <c r="G696" t="s">
        <v>71</v>
      </c>
      <c r="H696" t="s">
        <v>25</v>
      </c>
      <c r="I696">
        <v>8</v>
      </c>
      <c r="J696" t="s">
        <v>43</v>
      </c>
      <c r="K696" t="s">
        <v>44</v>
      </c>
      <c r="L696" s="4">
        <v>2666.08</v>
      </c>
      <c r="M696" t="str">
        <f>VLOOKUP(D696,tblProduct[],2,FALSE)</f>
        <v>Electronics</v>
      </c>
      <c r="N696" t="str">
        <f>VLOOKUP(D696,tblProduct[],3,FALSE)</f>
        <v>Medium</v>
      </c>
      <c r="O696">
        <f>VLOOKUP(D696,tblProduct[],4,FALSE)</f>
        <v>80000</v>
      </c>
      <c r="P696">
        <v>2666.08</v>
      </c>
      <c r="Q696" s="19" t="str">
        <f t="shared" si="10"/>
        <v>Oct-2023</v>
      </c>
      <c r="R696" s="26">
        <f>DATE(YEAR(tblEnriched[[#This Row],[Date]]),MONTH(tblEnriched[[#This Row],[Date]]),1)</f>
        <v>45200</v>
      </c>
    </row>
    <row r="697" spans="1:18">
      <c r="A697" t="s">
        <v>2597</v>
      </c>
      <c r="B697" s="10">
        <v>45619</v>
      </c>
      <c r="C697" t="s">
        <v>2598</v>
      </c>
      <c r="D697" t="s">
        <v>54</v>
      </c>
      <c r="E697">
        <v>5</v>
      </c>
      <c r="F697" s="4">
        <v>101.3</v>
      </c>
      <c r="G697" t="s">
        <v>33</v>
      </c>
      <c r="H697" t="s">
        <v>25</v>
      </c>
      <c r="I697">
        <v>7</v>
      </c>
      <c r="J697" t="s">
        <v>43</v>
      </c>
      <c r="K697" t="s">
        <v>44</v>
      </c>
      <c r="L697" s="4">
        <v>506.5</v>
      </c>
      <c r="M697" t="str">
        <f>VLOOKUP(D697,tblProduct[],2,FALSE)</f>
        <v>Electronics</v>
      </c>
      <c r="N697" t="str">
        <f>VLOOKUP(D697,tblProduct[],3,FALSE)</f>
        <v>Medium</v>
      </c>
      <c r="O697">
        <f>VLOOKUP(D697,tblProduct[],4,FALSE)</f>
        <v>80000</v>
      </c>
      <c r="P697">
        <v>506.5</v>
      </c>
      <c r="Q697" s="19" t="str">
        <f t="shared" si="10"/>
        <v>Nov-2024</v>
      </c>
      <c r="R697" s="26">
        <f>DATE(YEAR(tblEnriched[[#This Row],[Date]]),MONTH(tblEnriched[[#This Row],[Date]]),1)</f>
        <v>45597</v>
      </c>
    </row>
    <row r="698" spans="1:18">
      <c r="A698" t="s">
        <v>2600</v>
      </c>
      <c r="B698" s="10">
        <v>45109</v>
      </c>
      <c r="C698" t="s">
        <v>2601</v>
      </c>
      <c r="D698" t="s">
        <v>47</v>
      </c>
      <c r="E698">
        <v>4</v>
      </c>
      <c r="F698" s="4">
        <v>151.19999999999999</v>
      </c>
      <c r="G698" t="s">
        <v>66</v>
      </c>
      <c r="H698" t="s">
        <v>95</v>
      </c>
      <c r="I698">
        <v>9</v>
      </c>
      <c r="J698" t="s">
        <v>87</v>
      </c>
      <c r="K698" t="s">
        <v>51</v>
      </c>
      <c r="L698" s="4">
        <v>604.79999999999995</v>
      </c>
      <c r="M698" t="str">
        <f>VLOOKUP(D698,tblProduct[],2,FALSE)</f>
        <v>Furniture</v>
      </c>
      <c r="N698" t="str">
        <f>VLOOKUP(D698,tblProduct[],3,FALSE)</f>
        <v>Medium</v>
      </c>
      <c r="O698">
        <f>VLOOKUP(D698,tblProduct[],4,FALSE)</f>
        <v>70000</v>
      </c>
      <c r="P698">
        <v>604.79999999999995</v>
      </c>
      <c r="Q698" s="19" t="str">
        <f t="shared" si="10"/>
        <v>Jul-2023</v>
      </c>
      <c r="R698" s="26">
        <f>DATE(YEAR(tblEnriched[[#This Row],[Date]]),MONTH(tblEnriched[[#This Row],[Date]]),1)</f>
        <v>45108</v>
      </c>
    </row>
    <row r="699" spans="1:18">
      <c r="A699" t="s">
        <v>2604</v>
      </c>
      <c r="B699" s="10">
        <v>45692</v>
      </c>
      <c r="C699" t="s">
        <v>2605</v>
      </c>
      <c r="D699" t="s">
        <v>54</v>
      </c>
      <c r="E699">
        <v>5</v>
      </c>
      <c r="F699" s="4">
        <v>94.85</v>
      </c>
      <c r="G699" t="s">
        <v>71</v>
      </c>
      <c r="H699" t="s">
        <v>25</v>
      </c>
      <c r="I699">
        <v>6</v>
      </c>
      <c r="J699" t="s">
        <v>87</v>
      </c>
      <c r="K699" t="s">
        <v>44</v>
      </c>
      <c r="L699" s="4">
        <v>474.25</v>
      </c>
      <c r="M699" t="str">
        <f>VLOOKUP(D699,tblProduct[],2,FALSE)</f>
        <v>Electronics</v>
      </c>
      <c r="N699" t="str">
        <f>VLOOKUP(D699,tblProduct[],3,FALSE)</f>
        <v>Medium</v>
      </c>
      <c r="O699">
        <f>VLOOKUP(D699,tblProduct[],4,FALSE)</f>
        <v>80000</v>
      </c>
      <c r="P699">
        <v>474.25</v>
      </c>
      <c r="Q699" s="19" t="str">
        <f t="shared" si="10"/>
        <v>Feb-2025</v>
      </c>
      <c r="R699" s="26">
        <f>DATE(YEAR(tblEnriched[[#This Row],[Date]]),MONTH(tblEnriched[[#This Row],[Date]]),1)</f>
        <v>45689</v>
      </c>
    </row>
    <row r="700" spans="1:18">
      <c r="A700" t="s">
        <v>2607</v>
      </c>
      <c r="B700" s="10">
        <v>44930</v>
      </c>
      <c r="C700" t="s">
        <v>2608</v>
      </c>
      <c r="D700" t="s">
        <v>64</v>
      </c>
      <c r="E700">
        <v>2</v>
      </c>
      <c r="F700" s="4">
        <v>388.22</v>
      </c>
      <c r="G700" t="s">
        <v>71</v>
      </c>
      <c r="H700" t="s">
        <v>56</v>
      </c>
      <c r="I700">
        <v>2</v>
      </c>
      <c r="J700" t="s">
        <v>87</v>
      </c>
      <c r="K700" t="s">
        <v>28</v>
      </c>
      <c r="L700" s="4">
        <v>776.44</v>
      </c>
      <c r="M700" t="str">
        <f>VLOOKUP(D700,tblProduct[],2,FALSE)</f>
        <v>Electronics</v>
      </c>
      <c r="N700" t="str">
        <f>VLOOKUP(D700,tblProduct[],3,FALSE)</f>
        <v>High</v>
      </c>
      <c r="O700">
        <f>VLOOKUP(D700,tblProduct[],4,FALSE)</f>
        <v>150000</v>
      </c>
      <c r="P700">
        <v>776.44</v>
      </c>
      <c r="Q700" s="19" t="str">
        <f t="shared" si="10"/>
        <v>Jan-2023</v>
      </c>
      <c r="R700" s="26">
        <f>DATE(YEAR(tblEnriched[[#This Row],[Date]]),MONTH(tblEnriched[[#This Row],[Date]]),1)</f>
        <v>44927</v>
      </c>
    </row>
    <row r="701" spans="1:18">
      <c r="A701" t="s">
        <v>2610</v>
      </c>
      <c r="B701" s="10">
        <v>45243</v>
      </c>
      <c r="C701" t="s">
        <v>2611</v>
      </c>
      <c r="D701" t="s">
        <v>64</v>
      </c>
      <c r="E701">
        <v>3</v>
      </c>
      <c r="F701" s="4">
        <v>614.15</v>
      </c>
      <c r="G701" t="s">
        <v>66</v>
      </c>
      <c r="H701" t="s">
        <v>41</v>
      </c>
      <c r="I701">
        <v>3</v>
      </c>
      <c r="K701" t="s">
        <v>51</v>
      </c>
      <c r="L701" s="4">
        <v>1842.45</v>
      </c>
      <c r="M701" t="str">
        <f>VLOOKUP(D701,tblProduct[],2,FALSE)</f>
        <v>Electronics</v>
      </c>
      <c r="N701" t="str">
        <f>VLOOKUP(D701,tblProduct[],3,FALSE)</f>
        <v>High</v>
      </c>
      <c r="O701">
        <f>VLOOKUP(D701,tblProduct[],4,FALSE)</f>
        <v>150000</v>
      </c>
      <c r="P701">
        <v>1842.45</v>
      </c>
      <c r="Q701" s="19" t="str">
        <f t="shared" si="10"/>
        <v>Nov-2023</v>
      </c>
      <c r="R701" s="26">
        <f>DATE(YEAR(tblEnriched[[#This Row],[Date]]),MONTH(tblEnriched[[#This Row],[Date]]),1)</f>
        <v>45231</v>
      </c>
    </row>
    <row r="702" spans="1:18">
      <c r="A702" t="s">
        <v>2614</v>
      </c>
      <c r="B702" s="10">
        <v>45560</v>
      </c>
      <c r="C702" t="s">
        <v>2615</v>
      </c>
      <c r="D702" t="s">
        <v>64</v>
      </c>
      <c r="E702">
        <v>2</v>
      </c>
      <c r="F702" s="4">
        <v>92.91</v>
      </c>
      <c r="G702" t="s">
        <v>71</v>
      </c>
      <c r="H702" t="s">
        <v>49</v>
      </c>
      <c r="I702">
        <v>3</v>
      </c>
      <c r="J702" t="s">
        <v>87</v>
      </c>
      <c r="K702" t="s">
        <v>28</v>
      </c>
      <c r="L702" s="4">
        <v>185.82</v>
      </c>
      <c r="M702" t="str">
        <f>VLOOKUP(D702,tblProduct[],2,FALSE)</f>
        <v>Electronics</v>
      </c>
      <c r="N702" t="str">
        <f>VLOOKUP(D702,tblProduct[],3,FALSE)</f>
        <v>High</v>
      </c>
      <c r="O702">
        <f>VLOOKUP(D702,tblProduct[],4,FALSE)</f>
        <v>150000</v>
      </c>
      <c r="P702">
        <v>185.82</v>
      </c>
      <c r="Q702" s="19" t="str">
        <f t="shared" si="10"/>
        <v>Sep-2024</v>
      </c>
      <c r="R702" s="26">
        <f>DATE(YEAR(tblEnriched[[#This Row],[Date]]),MONTH(tblEnriched[[#This Row],[Date]]),1)</f>
        <v>45536</v>
      </c>
    </row>
    <row r="703" spans="1:18">
      <c r="A703" t="s">
        <v>2618</v>
      </c>
      <c r="B703" s="10">
        <v>45466</v>
      </c>
      <c r="C703" t="s">
        <v>2619</v>
      </c>
      <c r="D703" t="s">
        <v>22</v>
      </c>
      <c r="E703">
        <v>3</v>
      </c>
      <c r="F703" s="4">
        <v>92.22</v>
      </c>
      <c r="G703" t="s">
        <v>40</v>
      </c>
      <c r="H703" t="s">
        <v>56</v>
      </c>
      <c r="I703">
        <v>5</v>
      </c>
      <c r="J703" t="s">
        <v>43</v>
      </c>
      <c r="K703" t="s">
        <v>44</v>
      </c>
      <c r="L703" s="4">
        <v>276.66000000000003</v>
      </c>
      <c r="M703" t="str">
        <f>VLOOKUP(D703,tblProduct[],2,FALSE)</f>
        <v>Electronics</v>
      </c>
      <c r="N703" t="str">
        <f>VLOOKUP(D703,tblProduct[],3,FALSE)</f>
        <v>Medium</v>
      </c>
      <c r="O703">
        <f>VLOOKUP(D703,tblProduct[],4,FALSE)</f>
        <v>90000</v>
      </c>
      <c r="P703">
        <v>276.66000000000003</v>
      </c>
      <c r="Q703" s="19" t="str">
        <f t="shared" si="10"/>
        <v>Jun-2024</v>
      </c>
      <c r="R703" s="26">
        <f>DATE(YEAR(tblEnriched[[#This Row],[Date]]),MONTH(tblEnriched[[#This Row],[Date]]),1)</f>
        <v>45444</v>
      </c>
    </row>
    <row r="704" spans="1:18">
      <c r="A704" t="s">
        <v>2621</v>
      </c>
      <c r="B704" s="10">
        <v>45452</v>
      </c>
      <c r="C704" t="s">
        <v>2622</v>
      </c>
      <c r="D704" t="s">
        <v>54</v>
      </c>
      <c r="E704">
        <v>3</v>
      </c>
      <c r="F704" s="4">
        <v>562.54999999999995</v>
      </c>
      <c r="G704" t="s">
        <v>24</v>
      </c>
      <c r="H704" t="s">
        <v>49</v>
      </c>
      <c r="I704">
        <v>6</v>
      </c>
      <c r="K704" t="s">
        <v>44</v>
      </c>
      <c r="L704" s="4">
        <v>1687.65</v>
      </c>
      <c r="M704" t="str">
        <f>VLOOKUP(D704,tblProduct[],2,FALSE)</f>
        <v>Electronics</v>
      </c>
      <c r="N704" t="str">
        <f>VLOOKUP(D704,tblProduct[],3,FALSE)</f>
        <v>Medium</v>
      </c>
      <c r="O704">
        <f>VLOOKUP(D704,tblProduct[],4,FALSE)</f>
        <v>80000</v>
      </c>
      <c r="P704">
        <v>1687.65</v>
      </c>
      <c r="Q704" s="19" t="str">
        <f t="shared" si="10"/>
        <v>Jun-2024</v>
      </c>
      <c r="R704" s="26">
        <f>DATE(YEAR(tblEnriched[[#This Row],[Date]]),MONTH(tblEnriched[[#This Row],[Date]]),1)</f>
        <v>45444</v>
      </c>
    </row>
    <row r="705" spans="1:18">
      <c r="A705" t="s">
        <v>2624</v>
      </c>
      <c r="B705" s="10">
        <v>45007</v>
      </c>
      <c r="C705" t="s">
        <v>2625</v>
      </c>
      <c r="D705" t="s">
        <v>79</v>
      </c>
      <c r="E705">
        <v>1</v>
      </c>
      <c r="F705" s="4">
        <v>92.79</v>
      </c>
      <c r="G705" t="s">
        <v>71</v>
      </c>
      <c r="H705" t="s">
        <v>95</v>
      </c>
      <c r="I705">
        <v>3</v>
      </c>
      <c r="J705" t="s">
        <v>87</v>
      </c>
      <c r="K705" t="s">
        <v>44</v>
      </c>
      <c r="L705" s="4">
        <v>92.79</v>
      </c>
      <c r="M705" t="str">
        <f>VLOOKUP(D705,tblProduct[],2,FALSE)</f>
        <v>Furniture</v>
      </c>
      <c r="N705" t="str">
        <f>VLOOKUP(D705,tblProduct[],3,FALSE)</f>
        <v>High</v>
      </c>
      <c r="O705">
        <f>VLOOKUP(D705,tblProduct[],4,FALSE)</f>
        <v>75000</v>
      </c>
      <c r="P705">
        <v>92.79</v>
      </c>
      <c r="Q705" s="19" t="str">
        <f t="shared" si="10"/>
        <v>Mar-2023</v>
      </c>
      <c r="R705" s="26">
        <f>DATE(YEAR(tblEnriched[[#This Row],[Date]]),MONTH(tblEnriched[[#This Row],[Date]]),1)</f>
        <v>44986</v>
      </c>
    </row>
    <row r="706" spans="1:18">
      <c r="A706" t="s">
        <v>2628</v>
      </c>
      <c r="B706" s="10">
        <v>45080</v>
      </c>
      <c r="C706" t="s">
        <v>2629</v>
      </c>
      <c r="D706" t="s">
        <v>79</v>
      </c>
      <c r="E706">
        <v>4</v>
      </c>
      <c r="F706" s="4">
        <v>30.27</v>
      </c>
      <c r="G706" t="s">
        <v>33</v>
      </c>
      <c r="H706" t="s">
        <v>56</v>
      </c>
      <c r="I706">
        <v>9</v>
      </c>
      <c r="J706" t="s">
        <v>43</v>
      </c>
      <c r="K706" t="s">
        <v>82</v>
      </c>
      <c r="L706" s="4">
        <v>121.08</v>
      </c>
      <c r="M706" t="str">
        <f>VLOOKUP(D706,tblProduct[],2,FALSE)</f>
        <v>Furniture</v>
      </c>
      <c r="N706" t="str">
        <f>VLOOKUP(D706,tblProduct[],3,FALSE)</f>
        <v>High</v>
      </c>
      <c r="O706">
        <f>VLOOKUP(D706,tblProduct[],4,FALSE)</f>
        <v>75000</v>
      </c>
      <c r="P706">
        <v>121.08</v>
      </c>
      <c r="Q706" s="19" t="str">
        <f t="shared" ref="Q706:Q769" si="11">TEXT(B706,"mmm-yyyy")</f>
        <v>Jun-2023</v>
      </c>
      <c r="R706" s="26">
        <f>DATE(YEAR(tblEnriched[[#This Row],[Date]]),MONTH(tblEnriched[[#This Row],[Date]]),1)</f>
        <v>45078</v>
      </c>
    </row>
    <row r="707" spans="1:18">
      <c r="A707" t="s">
        <v>2631</v>
      </c>
      <c r="B707" s="10">
        <v>45746</v>
      </c>
      <c r="C707" t="s">
        <v>2632</v>
      </c>
      <c r="D707" t="s">
        <v>22</v>
      </c>
      <c r="E707">
        <v>2</v>
      </c>
      <c r="F707" s="4">
        <v>49.08</v>
      </c>
      <c r="G707" t="s">
        <v>24</v>
      </c>
      <c r="H707" t="s">
        <v>49</v>
      </c>
      <c r="I707">
        <v>7</v>
      </c>
      <c r="J707" t="s">
        <v>43</v>
      </c>
      <c r="K707" t="s">
        <v>28</v>
      </c>
      <c r="L707" s="4">
        <v>98.16</v>
      </c>
      <c r="M707" t="str">
        <f>VLOOKUP(D707,tblProduct[],2,FALSE)</f>
        <v>Electronics</v>
      </c>
      <c r="N707" t="str">
        <f>VLOOKUP(D707,tblProduct[],3,FALSE)</f>
        <v>Medium</v>
      </c>
      <c r="O707">
        <f>VLOOKUP(D707,tblProduct[],4,FALSE)</f>
        <v>90000</v>
      </c>
      <c r="P707">
        <v>98.16</v>
      </c>
      <c r="Q707" s="19" t="str">
        <f t="shared" si="11"/>
        <v>Mar-2025</v>
      </c>
      <c r="R707" s="26">
        <f>DATE(YEAR(tblEnriched[[#This Row],[Date]]),MONTH(tblEnriched[[#This Row],[Date]]),1)</f>
        <v>45717</v>
      </c>
    </row>
    <row r="708" spans="1:18">
      <c r="A708" t="s">
        <v>2635</v>
      </c>
      <c r="B708" s="10">
        <v>45718</v>
      </c>
      <c r="C708" t="s">
        <v>2636</v>
      </c>
      <c r="D708" t="s">
        <v>79</v>
      </c>
      <c r="E708">
        <v>5</v>
      </c>
      <c r="F708" s="4">
        <v>228.09</v>
      </c>
      <c r="G708" t="s">
        <v>66</v>
      </c>
      <c r="H708" t="s">
        <v>49</v>
      </c>
      <c r="I708">
        <v>9</v>
      </c>
      <c r="J708" t="s">
        <v>43</v>
      </c>
      <c r="K708" t="s">
        <v>51</v>
      </c>
      <c r="L708" s="4">
        <v>1140.45</v>
      </c>
      <c r="M708" t="str">
        <f>VLOOKUP(D708,tblProduct[],2,FALSE)</f>
        <v>Furniture</v>
      </c>
      <c r="N708" t="str">
        <f>VLOOKUP(D708,tblProduct[],3,FALSE)</f>
        <v>High</v>
      </c>
      <c r="O708">
        <f>VLOOKUP(D708,tblProduct[],4,FALSE)</f>
        <v>75000</v>
      </c>
      <c r="P708">
        <v>1140.45</v>
      </c>
      <c r="Q708" s="19" t="str">
        <f t="shared" si="11"/>
        <v>Mar-2025</v>
      </c>
      <c r="R708" s="26">
        <f>DATE(YEAR(tblEnriched[[#This Row],[Date]]),MONTH(tblEnriched[[#This Row],[Date]]),1)</f>
        <v>45717</v>
      </c>
    </row>
    <row r="709" spans="1:18">
      <c r="A709" t="s">
        <v>2638</v>
      </c>
      <c r="B709" s="10">
        <v>45597</v>
      </c>
      <c r="C709" t="s">
        <v>2639</v>
      </c>
      <c r="D709" t="s">
        <v>47</v>
      </c>
      <c r="E709">
        <v>4</v>
      </c>
      <c r="F709" s="4">
        <v>650.04</v>
      </c>
      <c r="G709" t="s">
        <v>66</v>
      </c>
      <c r="H709" t="s">
        <v>41</v>
      </c>
      <c r="I709">
        <v>6</v>
      </c>
      <c r="J709" t="s">
        <v>27</v>
      </c>
      <c r="K709" t="s">
        <v>51</v>
      </c>
      <c r="L709" s="4">
        <v>2600.16</v>
      </c>
      <c r="M709" t="str">
        <f>VLOOKUP(D709,tblProduct[],2,FALSE)</f>
        <v>Furniture</v>
      </c>
      <c r="N709" t="str">
        <f>VLOOKUP(D709,tblProduct[],3,FALSE)</f>
        <v>Medium</v>
      </c>
      <c r="O709">
        <f>VLOOKUP(D709,tblProduct[],4,FALSE)</f>
        <v>70000</v>
      </c>
      <c r="P709">
        <v>2600.16</v>
      </c>
      <c r="Q709" s="19" t="str">
        <f t="shared" si="11"/>
        <v>Nov-2024</v>
      </c>
      <c r="R709" s="26">
        <f>DATE(YEAR(tblEnriched[[#This Row],[Date]]),MONTH(tblEnriched[[#This Row],[Date]]),1)</f>
        <v>45597</v>
      </c>
    </row>
    <row r="710" spans="1:18">
      <c r="A710" t="s">
        <v>2641</v>
      </c>
      <c r="B710" s="10">
        <v>45720</v>
      </c>
      <c r="C710" t="s">
        <v>2642</v>
      </c>
      <c r="D710" t="s">
        <v>54</v>
      </c>
      <c r="E710">
        <v>1</v>
      </c>
      <c r="F710" s="4">
        <v>665.11</v>
      </c>
      <c r="G710" t="s">
        <v>71</v>
      </c>
      <c r="H710" t="s">
        <v>95</v>
      </c>
      <c r="I710">
        <v>3</v>
      </c>
      <c r="J710" t="s">
        <v>43</v>
      </c>
      <c r="K710" t="s">
        <v>28</v>
      </c>
      <c r="L710" s="4">
        <v>665.11</v>
      </c>
      <c r="M710" t="str">
        <f>VLOOKUP(D710,tblProduct[],2,FALSE)</f>
        <v>Electronics</v>
      </c>
      <c r="N710" t="str">
        <f>VLOOKUP(D710,tblProduct[],3,FALSE)</f>
        <v>Medium</v>
      </c>
      <c r="O710">
        <f>VLOOKUP(D710,tblProduct[],4,FALSE)</f>
        <v>80000</v>
      </c>
      <c r="P710">
        <v>665.11</v>
      </c>
      <c r="Q710" s="19" t="str">
        <f t="shared" si="11"/>
        <v>Mar-2025</v>
      </c>
      <c r="R710" s="26">
        <f>DATE(YEAR(tblEnriched[[#This Row],[Date]]),MONTH(tblEnriched[[#This Row],[Date]]),1)</f>
        <v>45717</v>
      </c>
    </row>
    <row r="711" spans="1:18">
      <c r="A711" t="s">
        <v>2644</v>
      </c>
      <c r="B711" s="10">
        <v>45633</v>
      </c>
      <c r="C711" t="s">
        <v>2645</v>
      </c>
      <c r="D711" t="s">
        <v>79</v>
      </c>
      <c r="E711">
        <v>1</v>
      </c>
      <c r="F711" s="4">
        <v>386.03</v>
      </c>
      <c r="G711" t="s">
        <v>33</v>
      </c>
      <c r="H711" t="s">
        <v>95</v>
      </c>
      <c r="I711">
        <v>4</v>
      </c>
      <c r="J711" t="s">
        <v>43</v>
      </c>
      <c r="K711" t="s">
        <v>82</v>
      </c>
      <c r="L711" s="4">
        <v>386.03</v>
      </c>
      <c r="M711" t="str">
        <f>VLOOKUP(D711,tblProduct[],2,FALSE)</f>
        <v>Furniture</v>
      </c>
      <c r="N711" t="str">
        <f>VLOOKUP(D711,tblProduct[],3,FALSE)</f>
        <v>High</v>
      </c>
      <c r="O711">
        <f>VLOOKUP(D711,tblProduct[],4,FALSE)</f>
        <v>75000</v>
      </c>
      <c r="P711">
        <v>386.03</v>
      </c>
      <c r="Q711" s="19" t="str">
        <f t="shared" si="11"/>
        <v>Dec-2024</v>
      </c>
      <c r="R711" s="26">
        <f>DATE(YEAR(tblEnriched[[#This Row],[Date]]),MONTH(tblEnriched[[#This Row],[Date]]),1)</f>
        <v>45627</v>
      </c>
    </row>
    <row r="712" spans="1:18">
      <c r="A712" t="s">
        <v>2648</v>
      </c>
      <c r="B712" s="10">
        <v>45495</v>
      </c>
      <c r="C712" t="s">
        <v>2649</v>
      </c>
      <c r="D712" t="s">
        <v>64</v>
      </c>
      <c r="E712">
        <v>5</v>
      </c>
      <c r="F712" s="4">
        <v>21.54</v>
      </c>
      <c r="G712" t="s">
        <v>66</v>
      </c>
      <c r="H712" t="s">
        <v>49</v>
      </c>
      <c r="I712">
        <v>10</v>
      </c>
      <c r="K712" t="s">
        <v>82</v>
      </c>
      <c r="L712" s="4">
        <v>107.7</v>
      </c>
      <c r="M712" t="str">
        <f>VLOOKUP(D712,tblProduct[],2,FALSE)</f>
        <v>Electronics</v>
      </c>
      <c r="N712" t="str">
        <f>VLOOKUP(D712,tblProduct[],3,FALSE)</f>
        <v>High</v>
      </c>
      <c r="O712">
        <f>VLOOKUP(D712,tblProduct[],4,FALSE)</f>
        <v>150000</v>
      </c>
      <c r="P712">
        <v>107.7</v>
      </c>
      <c r="Q712" s="19" t="str">
        <f t="shared" si="11"/>
        <v>Jul-2024</v>
      </c>
      <c r="R712" s="26">
        <f>DATE(YEAR(tblEnriched[[#This Row],[Date]]),MONTH(tblEnriched[[#This Row],[Date]]),1)</f>
        <v>45474</v>
      </c>
    </row>
    <row r="713" spans="1:18">
      <c r="A713" t="s">
        <v>2652</v>
      </c>
      <c r="B713" s="10">
        <v>45477</v>
      </c>
      <c r="C713" t="s">
        <v>2653</v>
      </c>
      <c r="D713" t="s">
        <v>38</v>
      </c>
      <c r="E713">
        <v>2</v>
      </c>
      <c r="F713" s="4">
        <v>475.78</v>
      </c>
      <c r="G713" t="s">
        <v>33</v>
      </c>
      <c r="H713" t="s">
        <v>25</v>
      </c>
      <c r="I713">
        <v>2</v>
      </c>
      <c r="J713" t="s">
        <v>87</v>
      </c>
      <c r="K713" t="s">
        <v>82</v>
      </c>
      <c r="L713" s="4">
        <v>951.56</v>
      </c>
      <c r="M713" t="str">
        <f>VLOOKUP(D713,tblProduct[],2,FALSE)</f>
        <v>Electronics</v>
      </c>
      <c r="N713" t="str">
        <f>VLOOKUP(D713,tblProduct[],3,FALSE)</f>
        <v>Medium</v>
      </c>
      <c r="O713">
        <f>VLOOKUP(D713,tblProduct[],4,FALSE)</f>
        <v>100000</v>
      </c>
      <c r="P713">
        <v>951.56</v>
      </c>
      <c r="Q713" s="19" t="str">
        <f t="shared" si="11"/>
        <v>Jul-2024</v>
      </c>
      <c r="R713" s="26">
        <f>DATE(YEAR(tblEnriched[[#This Row],[Date]]),MONTH(tblEnriched[[#This Row],[Date]]),1)</f>
        <v>45474</v>
      </c>
    </row>
    <row r="714" spans="1:18">
      <c r="A714" t="s">
        <v>2656</v>
      </c>
      <c r="B714" s="10">
        <v>45300</v>
      </c>
      <c r="C714" t="s">
        <v>2125</v>
      </c>
      <c r="D714" t="s">
        <v>38</v>
      </c>
      <c r="E714">
        <v>2</v>
      </c>
      <c r="F714" s="4">
        <v>68.400000000000006</v>
      </c>
      <c r="G714" t="s">
        <v>66</v>
      </c>
      <c r="H714" t="s">
        <v>95</v>
      </c>
      <c r="I714">
        <v>7</v>
      </c>
      <c r="J714" t="s">
        <v>43</v>
      </c>
      <c r="K714" t="s">
        <v>44</v>
      </c>
      <c r="L714" s="4">
        <v>136.80000000000001</v>
      </c>
      <c r="M714" t="str">
        <f>VLOOKUP(D714,tblProduct[],2,FALSE)</f>
        <v>Electronics</v>
      </c>
      <c r="N714" t="str">
        <f>VLOOKUP(D714,tblProduct[],3,FALSE)</f>
        <v>Medium</v>
      </c>
      <c r="O714">
        <f>VLOOKUP(D714,tblProduct[],4,FALSE)</f>
        <v>100000</v>
      </c>
      <c r="P714">
        <v>136.80000000000001</v>
      </c>
      <c r="Q714" s="19" t="str">
        <f t="shared" si="11"/>
        <v>Jan-2024</v>
      </c>
      <c r="R714" s="26">
        <f>DATE(YEAR(tblEnriched[[#This Row],[Date]]),MONTH(tblEnriched[[#This Row],[Date]]),1)</f>
        <v>45292</v>
      </c>
    </row>
    <row r="715" spans="1:18">
      <c r="A715" t="s">
        <v>2659</v>
      </c>
      <c r="B715" s="10">
        <v>45829</v>
      </c>
      <c r="C715" t="s">
        <v>2660</v>
      </c>
      <c r="D715" t="s">
        <v>38</v>
      </c>
      <c r="E715">
        <v>4</v>
      </c>
      <c r="F715" s="4">
        <v>532.49</v>
      </c>
      <c r="G715" t="s">
        <v>33</v>
      </c>
      <c r="H715" t="s">
        <v>41</v>
      </c>
      <c r="I715">
        <v>6</v>
      </c>
      <c r="J715" t="s">
        <v>27</v>
      </c>
      <c r="K715" t="s">
        <v>51</v>
      </c>
      <c r="L715" s="4">
        <v>2129.96</v>
      </c>
      <c r="M715" t="str">
        <f>VLOOKUP(D715,tblProduct[],2,FALSE)</f>
        <v>Electronics</v>
      </c>
      <c r="N715" t="str">
        <f>VLOOKUP(D715,tblProduct[],3,FALSE)</f>
        <v>Medium</v>
      </c>
      <c r="O715">
        <f>VLOOKUP(D715,tblProduct[],4,FALSE)</f>
        <v>100000</v>
      </c>
      <c r="P715">
        <v>2129.96</v>
      </c>
      <c r="Q715" s="19" t="str">
        <f t="shared" si="11"/>
        <v>Jun-2025</v>
      </c>
      <c r="R715" s="26">
        <f>DATE(YEAR(tblEnriched[[#This Row],[Date]]),MONTH(tblEnriched[[#This Row],[Date]]),1)</f>
        <v>45809</v>
      </c>
    </row>
    <row r="716" spans="1:18">
      <c r="A716" t="s">
        <v>2662</v>
      </c>
      <c r="B716" s="10">
        <v>45037</v>
      </c>
      <c r="C716" t="s">
        <v>2663</v>
      </c>
      <c r="D716" t="s">
        <v>64</v>
      </c>
      <c r="E716">
        <v>1</v>
      </c>
      <c r="F716" s="4">
        <v>51.73</v>
      </c>
      <c r="G716" t="s">
        <v>24</v>
      </c>
      <c r="H716" t="s">
        <v>95</v>
      </c>
      <c r="I716">
        <v>1</v>
      </c>
      <c r="J716" t="s">
        <v>43</v>
      </c>
      <c r="K716" t="s">
        <v>51</v>
      </c>
      <c r="L716" s="4">
        <v>51.73</v>
      </c>
      <c r="M716" t="str">
        <f>VLOOKUP(D716,tblProduct[],2,FALSE)</f>
        <v>Electronics</v>
      </c>
      <c r="N716" t="str">
        <f>VLOOKUP(D716,tblProduct[],3,FALSE)</f>
        <v>High</v>
      </c>
      <c r="O716">
        <f>VLOOKUP(D716,tblProduct[],4,FALSE)</f>
        <v>150000</v>
      </c>
      <c r="P716">
        <v>51.73</v>
      </c>
      <c r="Q716" s="19" t="str">
        <f t="shared" si="11"/>
        <v>Apr-2023</v>
      </c>
      <c r="R716" s="26">
        <f>DATE(YEAR(tblEnriched[[#This Row],[Date]]),MONTH(tblEnriched[[#This Row],[Date]]),1)</f>
        <v>45017</v>
      </c>
    </row>
    <row r="717" spans="1:18">
      <c r="A717" t="s">
        <v>2665</v>
      </c>
      <c r="B717" s="10">
        <v>45499</v>
      </c>
      <c r="C717" t="s">
        <v>2666</v>
      </c>
      <c r="D717" t="s">
        <v>54</v>
      </c>
      <c r="E717">
        <v>3</v>
      </c>
      <c r="F717" s="4">
        <v>653.63</v>
      </c>
      <c r="G717" t="s">
        <v>33</v>
      </c>
      <c r="H717" t="s">
        <v>56</v>
      </c>
      <c r="I717">
        <v>7</v>
      </c>
      <c r="J717" t="s">
        <v>43</v>
      </c>
      <c r="K717" t="s">
        <v>44</v>
      </c>
      <c r="L717" s="4">
        <v>1960.89</v>
      </c>
      <c r="M717" t="str">
        <f>VLOOKUP(D717,tblProduct[],2,FALSE)</f>
        <v>Electronics</v>
      </c>
      <c r="N717" t="str">
        <f>VLOOKUP(D717,tblProduct[],3,FALSE)</f>
        <v>Medium</v>
      </c>
      <c r="O717">
        <f>VLOOKUP(D717,tblProduct[],4,FALSE)</f>
        <v>80000</v>
      </c>
      <c r="P717">
        <v>1960.89</v>
      </c>
      <c r="Q717" s="19" t="str">
        <f t="shared" si="11"/>
        <v>Jul-2024</v>
      </c>
      <c r="R717" s="26">
        <f>DATE(YEAR(tblEnriched[[#This Row],[Date]]),MONTH(tblEnriched[[#This Row],[Date]]),1)</f>
        <v>45474</v>
      </c>
    </row>
    <row r="718" spans="1:18">
      <c r="A718" t="s">
        <v>2669</v>
      </c>
      <c r="B718" s="10">
        <v>45456</v>
      </c>
      <c r="C718" t="s">
        <v>2670</v>
      </c>
      <c r="D718" t="s">
        <v>47</v>
      </c>
      <c r="E718">
        <v>3</v>
      </c>
      <c r="F718" s="4">
        <v>454.29</v>
      </c>
      <c r="G718" t="s">
        <v>40</v>
      </c>
      <c r="H718" t="s">
        <v>95</v>
      </c>
      <c r="I718">
        <v>4</v>
      </c>
      <c r="J718" t="s">
        <v>87</v>
      </c>
      <c r="K718" t="s">
        <v>82</v>
      </c>
      <c r="L718" s="4">
        <v>1362.87</v>
      </c>
      <c r="M718" t="str">
        <f>VLOOKUP(D718,tblProduct[],2,FALSE)</f>
        <v>Furniture</v>
      </c>
      <c r="N718" t="str">
        <f>VLOOKUP(D718,tblProduct[],3,FALSE)</f>
        <v>Medium</v>
      </c>
      <c r="O718">
        <f>VLOOKUP(D718,tblProduct[],4,FALSE)</f>
        <v>70000</v>
      </c>
      <c r="P718">
        <v>1362.87</v>
      </c>
      <c r="Q718" s="19" t="str">
        <f t="shared" si="11"/>
        <v>Jun-2024</v>
      </c>
      <c r="R718" s="26">
        <f>DATE(YEAR(tblEnriched[[#This Row],[Date]]),MONTH(tblEnriched[[#This Row],[Date]]),1)</f>
        <v>45444</v>
      </c>
    </row>
    <row r="719" spans="1:18">
      <c r="A719" t="s">
        <v>2672</v>
      </c>
      <c r="B719" s="10">
        <v>45215</v>
      </c>
      <c r="C719" t="s">
        <v>2673</v>
      </c>
      <c r="D719" t="s">
        <v>47</v>
      </c>
      <c r="E719">
        <v>3</v>
      </c>
      <c r="F719" s="4">
        <v>122.11</v>
      </c>
      <c r="G719" t="s">
        <v>33</v>
      </c>
      <c r="H719" t="s">
        <v>56</v>
      </c>
      <c r="I719">
        <v>4</v>
      </c>
      <c r="J719" t="s">
        <v>87</v>
      </c>
      <c r="K719" t="s">
        <v>44</v>
      </c>
      <c r="L719" s="4">
        <v>366.33</v>
      </c>
      <c r="M719" t="str">
        <f>VLOOKUP(D719,tblProduct[],2,FALSE)</f>
        <v>Furniture</v>
      </c>
      <c r="N719" t="str">
        <f>VLOOKUP(D719,tblProduct[],3,FALSE)</f>
        <v>Medium</v>
      </c>
      <c r="O719">
        <f>VLOOKUP(D719,tblProduct[],4,FALSE)</f>
        <v>70000</v>
      </c>
      <c r="P719">
        <v>366.33</v>
      </c>
      <c r="Q719" s="19" t="str">
        <f t="shared" si="11"/>
        <v>Oct-2023</v>
      </c>
      <c r="R719" s="26">
        <f>DATE(YEAR(tblEnriched[[#This Row],[Date]]),MONTH(tblEnriched[[#This Row],[Date]]),1)</f>
        <v>45200</v>
      </c>
    </row>
    <row r="720" spans="1:18">
      <c r="A720" t="s">
        <v>2676</v>
      </c>
      <c r="B720" s="10">
        <v>45024</v>
      </c>
      <c r="C720" t="s">
        <v>2677</v>
      </c>
      <c r="D720" t="s">
        <v>64</v>
      </c>
      <c r="E720">
        <v>4</v>
      </c>
      <c r="F720" s="4">
        <v>64.739999999999995</v>
      </c>
      <c r="G720" t="s">
        <v>66</v>
      </c>
      <c r="H720" t="s">
        <v>41</v>
      </c>
      <c r="I720">
        <v>8</v>
      </c>
      <c r="J720" t="s">
        <v>27</v>
      </c>
      <c r="K720" t="s">
        <v>82</v>
      </c>
      <c r="L720" s="4">
        <v>258.95999999999998</v>
      </c>
      <c r="M720" t="str">
        <f>VLOOKUP(D720,tblProduct[],2,FALSE)</f>
        <v>Electronics</v>
      </c>
      <c r="N720" t="str">
        <f>VLOOKUP(D720,tblProduct[],3,FALSE)</f>
        <v>High</v>
      </c>
      <c r="O720">
        <f>VLOOKUP(D720,tblProduct[],4,FALSE)</f>
        <v>150000</v>
      </c>
      <c r="P720">
        <v>258.95999999999998</v>
      </c>
      <c r="Q720" s="19" t="str">
        <f t="shared" si="11"/>
        <v>Apr-2023</v>
      </c>
      <c r="R720" s="26">
        <f>DATE(YEAR(tblEnriched[[#This Row],[Date]]),MONTH(tblEnriched[[#This Row],[Date]]),1)</f>
        <v>45017</v>
      </c>
    </row>
    <row r="721" spans="1:18">
      <c r="A721" t="s">
        <v>2680</v>
      </c>
      <c r="B721" s="10">
        <v>45312</v>
      </c>
      <c r="C721" t="s">
        <v>2681</v>
      </c>
      <c r="D721" t="s">
        <v>64</v>
      </c>
      <c r="E721">
        <v>2</v>
      </c>
      <c r="F721" s="4">
        <v>681.06</v>
      </c>
      <c r="G721" t="s">
        <v>24</v>
      </c>
      <c r="H721" t="s">
        <v>25</v>
      </c>
      <c r="I721">
        <v>3</v>
      </c>
      <c r="J721" t="s">
        <v>43</v>
      </c>
      <c r="K721" t="s">
        <v>51</v>
      </c>
      <c r="L721" s="4">
        <v>1362.12</v>
      </c>
      <c r="M721" t="str">
        <f>VLOOKUP(D721,tblProduct[],2,FALSE)</f>
        <v>Electronics</v>
      </c>
      <c r="N721" t="str">
        <f>VLOOKUP(D721,tblProduct[],3,FALSE)</f>
        <v>High</v>
      </c>
      <c r="O721">
        <f>VLOOKUP(D721,tblProduct[],4,FALSE)</f>
        <v>150000</v>
      </c>
      <c r="P721">
        <v>1362.12</v>
      </c>
      <c r="Q721" s="19" t="str">
        <f t="shared" si="11"/>
        <v>Jan-2024</v>
      </c>
      <c r="R721" s="26">
        <f>DATE(YEAR(tblEnriched[[#This Row],[Date]]),MONTH(tblEnriched[[#This Row],[Date]]),1)</f>
        <v>45292</v>
      </c>
    </row>
    <row r="722" spans="1:18">
      <c r="A722" t="s">
        <v>2684</v>
      </c>
      <c r="B722" s="10">
        <v>45190</v>
      </c>
      <c r="C722" t="s">
        <v>2685</v>
      </c>
      <c r="D722" t="s">
        <v>79</v>
      </c>
      <c r="E722">
        <v>5</v>
      </c>
      <c r="F722" s="4">
        <v>128.94999999999999</v>
      </c>
      <c r="G722" t="s">
        <v>71</v>
      </c>
      <c r="H722" t="s">
        <v>95</v>
      </c>
      <c r="I722">
        <v>10</v>
      </c>
      <c r="J722" t="s">
        <v>43</v>
      </c>
      <c r="K722" t="s">
        <v>28</v>
      </c>
      <c r="L722" s="4">
        <v>644.75</v>
      </c>
      <c r="M722" t="str">
        <f>VLOOKUP(D722,tblProduct[],2,FALSE)</f>
        <v>Furniture</v>
      </c>
      <c r="N722" t="str">
        <f>VLOOKUP(D722,tblProduct[],3,FALSE)</f>
        <v>High</v>
      </c>
      <c r="O722">
        <f>VLOOKUP(D722,tblProduct[],4,FALSE)</f>
        <v>75000</v>
      </c>
      <c r="P722">
        <v>644.75</v>
      </c>
      <c r="Q722" s="19" t="str">
        <f t="shared" si="11"/>
        <v>Sep-2023</v>
      </c>
      <c r="R722" s="26">
        <f>DATE(YEAR(tblEnriched[[#This Row],[Date]]),MONTH(tblEnriched[[#This Row],[Date]]),1)</f>
        <v>45170</v>
      </c>
    </row>
    <row r="723" spans="1:18">
      <c r="A723" t="s">
        <v>2688</v>
      </c>
      <c r="B723" s="10">
        <v>45369</v>
      </c>
      <c r="C723" t="s">
        <v>2689</v>
      </c>
      <c r="D723" t="s">
        <v>79</v>
      </c>
      <c r="E723">
        <v>2</v>
      </c>
      <c r="F723" s="4">
        <v>118.59</v>
      </c>
      <c r="G723" t="s">
        <v>40</v>
      </c>
      <c r="H723" t="s">
        <v>56</v>
      </c>
      <c r="I723">
        <v>2</v>
      </c>
      <c r="K723" t="s">
        <v>44</v>
      </c>
      <c r="L723" s="4">
        <v>237.18</v>
      </c>
      <c r="M723" t="str">
        <f>VLOOKUP(D723,tblProduct[],2,FALSE)</f>
        <v>Furniture</v>
      </c>
      <c r="N723" t="str">
        <f>VLOOKUP(D723,tblProduct[],3,FALSE)</f>
        <v>High</v>
      </c>
      <c r="O723">
        <f>VLOOKUP(D723,tblProduct[],4,FALSE)</f>
        <v>75000</v>
      </c>
      <c r="P723">
        <v>237.18</v>
      </c>
      <c r="Q723" s="19" t="str">
        <f t="shared" si="11"/>
        <v>Mar-2024</v>
      </c>
      <c r="R723" s="26">
        <f>DATE(YEAR(tblEnriched[[#This Row],[Date]]),MONTH(tblEnriched[[#This Row],[Date]]),1)</f>
        <v>45352</v>
      </c>
    </row>
    <row r="724" spans="1:18">
      <c r="A724" t="s">
        <v>2692</v>
      </c>
      <c r="B724" s="10">
        <v>45611</v>
      </c>
      <c r="C724" t="s">
        <v>2693</v>
      </c>
      <c r="D724" t="s">
        <v>54</v>
      </c>
      <c r="E724">
        <v>1</v>
      </c>
      <c r="F724" s="4">
        <v>95.1</v>
      </c>
      <c r="G724" t="s">
        <v>66</v>
      </c>
      <c r="H724" t="s">
        <v>95</v>
      </c>
      <c r="I724">
        <v>1</v>
      </c>
      <c r="J724" t="s">
        <v>87</v>
      </c>
      <c r="K724" t="s">
        <v>28</v>
      </c>
      <c r="L724" s="4">
        <v>95.1</v>
      </c>
      <c r="M724" t="str">
        <f>VLOOKUP(D724,tblProduct[],2,FALSE)</f>
        <v>Electronics</v>
      </c>
      <c r="N724" t="str">
        <f>VLOOKUP(D724,tblProduct[],3,FALSE)</f>
        <v>Medium</v>
      </c>
      <c r="O724">
        <f>VLOOKUP(D724,tblProduct[],4,FALSE)</f>
        <v>80000</v>
      </c>
      <c r="P724">
        <v>95.1</v>
      </c>
      <c r="Q724" s="19" t="str">
        <f t="shared" si="11"/>
        <v>Nov-2024</v>
      </c>
      <c r="R724" s="26">
        <f>DATE(YEAR(tblEnriched[[#This Row],[Date]]),MONTH(tblEnriched[[#This Row],[Date]]),1)</f>
        <v>45597</v>
      </c>
    </row>
    <row r="725" spans="1:18">
      <c r="A725" t="s">
        <v>2695</v>
      </c>
      <c r="B725" s="10">
        <v>45269</v>
      </c>
      <c r="C725" t="s">
        <v>2696</v>
      </c>
      <c r="D725" t="s">
        <v>79</v>
      </c>
      <c r="E725">
        <v>3</v>
      </c>
      <c r="F725" s="4">
        <v>54.95</v>
      </c>
      <c r="G725" t="s">
        <v>71</v>
      </c>
      <c r="H725" t="s">
        <v>49</v>
      </c>
      <c r="I725">
        <v>8</v>
      </c>
      <c r="J725" t="s">
        <v>27</v>
      </c>
      <c r="K725" t="s">
        <v>35</v>
      </c>
      <c r="L725" s="4">
        <v>164.85</v>
      </c>
      <c r="M725" t="str">
        <f>VLOOKUP(D725,tblProduct[],2,FALSE)</f>
        <v>Furniture</v>
      </c>
      <c r="N725" t="str">
        <f>VLOOKUP(D725,tblProduct[],3,FALSE)</f>
        <v>High</v>
      </c>
      <c r="O725">
        <f>VLOOKUP(D725,tblProduct[],4,FALSE)</f>
        <v>75000</v>
      </c>
      <c r="P725">
        <v>164.85</v>
      </c>
      <c r="Q725" s="19" t="str">
        <f t="shared" si="11"/>
        <v>Dec-2023</v>
      </c>
      <c r="R725" s="26">
        <f>DATE(YEAR(tblEnriched[[#This Row],[Date]]),MONTH(tblEnriched[[#This Row],[Date]]),1)</f>
        <v>45261</v>
      </c>
    </row>
    <row r="726" spans="1:18">
      <c r="A726" t="s">
        <v>2698</v>
      </c>
      <c r="B726" s="10">
        <v>45583</v>
      </c>
      <c r="C726" t="s">
        <v>2699</v>
      </c>
      <c r="D726" t="s">
        <v>54</v>
      </c>
      <c r="E726">
        <v>3</v>
      </c>
      <c r="F726" s="4">
        <v>136.97</v>
      </c>
      <c r="G726" t="s">
        <v>40</v>
      </c>
      <c r="H726" t="s">
        <v>49</v>
      </c>
      <c r="I726">
        <v>4</v>
      </c>
      <c r="J726" t="s">
        <v>43</v>
      </c>
      <c r="K726" t="s">
        <v>35</v>
      </c>
      <c r="L726" s="4">
        <v>410.91</v>
      </c>
      <c r="M726" t="str">
        <f>VLOOKUP(D726,tblProduct[],2,FALSE)</f>
        <v>Electronics</v>
      </c>
      <c r="N726" t="str">
        <f>VLOOKUP(D726,tblProduct[],3,FALSE)</f>
        <v>Medium</v>
      </c>
      <c r="O726">
        <f>VLOOKUP(D726,tblProduct[],4,FALSE)</f>
        <v>80000</v>
      </c>
      <c r="P726">
        <v>410.91</v>
      </c>
      <c r="Q726" s="19" t="str">
        <f t="shared" si="11"/>
        <v>Oct-2024</v>
      </c>
      <c r="R726" s="26">
        <f>DATE(YEAR(tblEnriched[[#This Row],[Date]]),MONTH(tblEnriched[[#This Row],[Date]]),1)</f>
        <v>45566</v>
      </c>
    </row>
    <row r="727" spans="1:18">
      <c r="A727" t="s">
        <v>2701</v>
      </c>
      <c r="B727" s="10">
        <v>44997</v>
      </c>
      <c r="C727" t="s">
        <v>2702</v>
      </c>
      <c r="D727" t="s">
        <v>47</v>
      </c>
      <c r="E727">
        <v>2</v>
      </c>
      <c r="F727" s="4">
        <v>194.85</v>
      </c>
      <c r="G727" t="s">
        <v>66</v>
      </c>
      <c r="H727" t="s">
        <v>49</v>
      </c>
      <c r="I727">
        <v>5</v>
      </c>
      <c r="K727" t="s">
        <v>35</v>
      </c>
      <c r="L727" s="4">
        <v>389.7</v>
      </c>
      <c r="M727" t="str">
        <f>VLOOKUP(D727,tblProduct[],2,FALSE)</f>
        <v>Furniture</v>
      </c>
      <c r="N727" t="str">
        <f>VLOOKUP(D727,tblProduct[],3,FALSE)</f>
        <v>Medium</v>
      </c>
      <c r="O727">
        <f>VLOOKUP(D727,tblProduct[],4,FALSE)</f>
        <v>70000</v>
      </c>
      <c r="P727">
        <v>389.7</v>
      </c>
      <c r="Q727" s="19" t="str">
        <f t="shared" si="11"/>
        <v>Mar-2023</v>
      </c>
      <c r="R727" s="26">
        <f>DATE(YEAR(tblEnriched[[#This Row],[Date]]),MONTH(tblEnriched[[#This Row],[Date]]),1)</f>
        <v>44986</v>
      </c>
    </row>
    <row r="728" spans="1:18">
      <c r="A728" t="s">
        <v>2704</v>
      </c>
      <c r="B728" s="10">
        <v>45590</v>
      </c>
      <c r="C728" t="s">
        <v>2705</v>
      </c>
      <c r="D728" t="s">
        <v>64</v>
      </c>
      <c r="E728">
        <v>4</v>
      </c>
      <c r="F728" s="4">
        <v>583.02</v>
      </c>
      <c r="G728" t="s">
        <v>33</v>
      </c>
      <c r="H728" t="s">
        <v>56</v>
      </c>
      <c r="I728">
        <v>4</v>
      </c>
      <c r="J728" t="s">
        <v>43</v>
      </c>
      <c r="K728" t="s">
        <v>51</v>
      </c>
      <c r="L728" s="4">
        <v>2332.08</v>
      </c>
      <c r="M728" t="str">
        <f>VLOOKUP(D728,tblProduct[],2,FALSE)</f>
        <v>Electronics</v>
      </c>
      <c r="N728" t="str">
        <f>VLOOKUP(D728,tblProduct[],3,FALSE)</f>
        <v>High</v>
      </c>
      <c r="O728">
        <f>VLOOKUP(D728,tblProduct[],4,FALSE)</f>
        <v>150000</v>
      </c>
      <c r="P728">
        <v>2332.08</v>
      </c>
      <c r="Q728" s="19" t="str">
        <f t="shared" si="11"/>
        <v>Oct-2024</v>
      </c>
      <c r="R728" s="26">
        <f>DATE(YEAR(tblEnriched[[#This Row],[Date]]),MONTH(tblEnriched[[#This Row],[Date]]),1)</f>
        <v>45566</v>
      </c>
    </row>
    <row r="729" spans="1:18">
      <c r="A729" t="s">
        <v>2708</v>
      </c>
      <c r="B729" s="10">
        <v>45564</v>
      </c>
      <c r="C729" t="s">
        <v>2709</v>
      </c>
      <c r="D729" t="s">
        <v>47</v>
      </c>
      <c r="E729">
        <v>5</v>
      </c>
      <c r="F729" s="4">
        <v>95.75</v>
      </c>
      <c r="G729" t="s">
        <v>33</v>
      </c>
      <c r="H729" t="s">
        <v>25</v>
      </c>
      <c r="I729">
        <v>8</v>
      </c>
      <c r="J729" t="s">
        <v>27</v>
      </c>
      <c r="K729" t="s">
        <v>28</v>
      </c>
      <c r="L729" s="4">
        <v>478.75</v>
      </c>
      <c r="M729" t="str">
        <f>VLOOKUP(D729,tblProduct[],2,FALSE)</f>
        <v>Furniture</v>
      </c>
      <c r="N729" t="str">
        <f>VLOOKUP(D729,tblProduct[],3,FALSE)</f>
        <v>Medium</v>
      </c>
      <c r="O729">
        <f>VLOOKUP(D729,tblProduct[],4,FALSE)</f>
        <v>70000</v>
      </c>
      <c r="P729">
        <v>478.75</v>
      </c>
      <c r="Q729" s="19" t="str">
        <f t="shared" si="11"/>
        <v>Sep-2024</v>
      </c>
      <c r="R729" s="26">
        <f>DATE(YEAR(tblEnriched[[#This Row],[Date]]),MONTH(tblEnriched[[#This Row],[Date]]),1)</f>
        <v>45536</v>
      </c>
    </row>
    <row r="730" spans="1:18">
      <c r="A730" t="s">
        <v>2711</v>
      </c>
      <c r="B730" s="10">
        <v>45502</v>
      </c>
      <c r="C730" t="s">
        <v>2712</v>
      </c>
      <c r="D730" t="s">
        <v>79</v>
      </c>
      <c r="E730">
        <v>4</v>
      </c>
      <c r="F730" s="4">
        <v>325.76</v>
      </c>
      <c r="G730" t="s">
        <v>66</v>
      </c>
      <c r="H730" t="s">
        <v>25</v>
      </c>
      <c r="I730">
        <v>8</v>
      </c>
      <c r="J730" t="s">
        <v>87</v>
      </c>
      <c r="K730" t="s">
        <v>44</v>
      </c>
      <c r="L730" s="4">
        <v>1303.04</v>
      </c>
      <c r="M730" t="str">
        <f>VLOOKUP(D730,tblProduct[],2,FALSE)</f>
        <v>Furniture</v>
      </c>
      <c r="N730" t="str">
        <f>VLOOKUP(D730,tblProduct[],3,FALSE)</f>
        <v>High</v>
      </c>
      <c r="O730">
        <f>VLOOKUP(D730,tblProduct[],4,FALSE)</f>
        <v>75000</v>
      </c>
      <c r="P730">
        <v>1303.04</v>
      </c>
      <c r="Q730" s="19" t="str">
        <f t="shared" si="11"/>
        <v>Jul-2024</v>
      </c>
      <c r="R730" s="26">
        <f>DATE(YEAR(tblEnriched[[#This Row],[Date]]),MONTH(tblEnriched[[#This Row],[Date]]),1)</f>
        <v>45474</v>
      </c>
    </row>
    <row r="731" spans="1:18">
      <c r="A731" t="s">
        <v>2715</v>
      </c>
      <c r="B731" s="10">
        <v>45177</v>
      </c>
      <c r="C731" t="s">
        <v>2716</v>
      </c>
      <c r="D731" t="s">
        <v>31</v>
      </c>
      <c r="E731">
        <v>4</v>
      </c>
      <c r="F731" s="4">
        <v>186.41</v>
      </c>
      <c r="G731" t="s">
        <v>66</v>
      </c>
      <c r="H731" t="s">
        <v>95</v>
      </c>
      <c r="I731">
        <v>6</v>
      </c>
      <c r="J731" t="s">
        <v>27</v>
      </c>
      <c r="K731" t="s">
        <v>82</v>
      </c>
      <c r="L731" s="4">
        <v>745.64</v>
      </c>
      <c r="M731" t="str">
        <f>VLOOKUP(D731,tblProduct[],2,FALSE)</f>
        <v>Electronics</v>
      </c>
      <c r="N731" t="str">
        <f>VLOOKUP(D731,tblProduct[],3,FALSE)</f>
        <v>High</v>
      </c>
      <c r="O731">
        <f>VLOOKUP(D731,tblProduct[],4,FALSE)</f>
        <v>120000</v>
      </c>
      <c r="P731">
        <v>745.64</v>
      </c>
      <c r="Q731" s="19" t="str">
        <f t="shared" si="11"/>
        <v>Sep-2023</v>
      </c>
      <c r="R731" s="26">
        <f>DATE(YEAR(tblEnriched[[#This Row],[Date]]),MONTH(tblEnriched[[#This Row],[Date]]),1)</f>
        <v>45170</v>
      </c>
    </row>
    <row r="732" spans="1:18">
      <c r="A732" t="s">
        <v>2718</v>
      </c>
      <c r="B732" s="10">
        <v>45710</v>
      </c>
      <c r="C732" t="s">
        <v>2719</v>
      </c>
      <c r="D732" t="s">
        <v>31</v>
      </c>
      <c r="E732">
        <v>1</v>
      </c>
      <c r="F732" s="4">
        <v>474.6</v>
      </c>
      <c r="G732" t="s">
        <v>24</v>
      </c>
      <c r="H732" t="s">
        <v>56</v>
      </c>
      <c r="I732">
        <v>4</v>
      </c>
      <c r="J732" t="s">
        <v>27</v>
      </c>
      <c r="K732" t="s">
        <v>44</v>
      </c>
      <c r="L732" s="4">
        <v>474.6</v>
      </c>
      <c r="M732" t="str">
        <f>VLOOKUP(D732,tblProduct[],2,FALSE)</f>
        <v>Electronics</v>
      </c>
      <c r="N732" t="str">
        <f>VLOOKUP(D732,tblProduct[],3,FALSE)</f>
        <v>High</v>
      </c>
      <c r="O732">
        <f>VLOOKUP(D732,tblProduct[],4,FALSE)</f>
        <v>120000</v>
      </c>
      <c r="P732">
        <v>474.6</v>
      </c>
      <c r="Q732" s="19" t="str">
        <f t="shared" si="11"/>
        <v>Feb-2025</v>
      </c>
      <c r="R732" s="26">
        <f>DATE(YEAR(tblEnriched[[#This Row],[Date]]),MONTH(tblEnriched[[#This Row],[Date]]),1)</f>
        <v>45689</v>
      </c>
    </row>
    <row r="733" spans="1:18">
      <c r="A733" t="s">
        <v>2721</v>
      </c>
      <c r="B733" s="10">
        <v>45450</v>
      </c>
      <c r="C733" t="s">
        <v>2722</v>
      </c>
      <c r="D733" t="s">
        <v>54</v>
      </c>
      <c r="E733">
        <v>5</v>
      </c>
      <c r="F733" s="4">
        <v>584.46</v>
      </c>
      <c r="G733" t="s">
        <v>40</v>
      </c>
      <c r="H733" t="s">
        <v>49</v>
      </c>
      <c r="I733">
        <v>8</v>
      </c>
      <c r="K733" t="s">
        <v>44</v>
      </c>
      <c r="L733" s="4">
        <v>2922.3</v>
      </c>
      <c r="M733" t="str">
        <f>VLOOKUP(D733,tblProduct[],2,FALSE)</f>
        <v>Electronics</v>
      </c>
      <c r="N733" t="str">
        <f>VLOOKUP(D733,tblProduct[],3,FALSE)</f>
        <v>Medium</v>
      </c>
      <c r="O733">
        <f>VLOOKUP(D733,tblProduct[],4,FALSE)</f>
        <v>80000</v>
      </c>
      <c r="P733">
        <v>2922.3</v>
      </c>
      <c r="Q733" s="19" t="str">
        <f t="shared" si="11"/>
        <v>Jun-2024</v>
      </c>
      <c r="R733" s="26">
        <f>DATE(YEAR(tblEnriched[[#This Row],[Date]]),MONTH(tblEnriched[[#This Row],[Date]]),1)</f>
        <v>45444</v>
      </c>
    </row>
    <row r="734" spans="1:18">
      <c r="A734" t="s">
        <v>2725</v>
      </c>
      <c r="B734" s="10">
        <v>45723</v>
      </c>
      <c r="C734" t="s">
        <v>2726</v>
      </c>
      <c r="D734" t="s">
        <v>64</v>
      </c>
      <c r="E734">
        <v>1</v>
      </c>
      <c r="F734" s="4">
        <v>132.05000000000001</v>
      </c>
      <c r="G734" t="s">
        <v>33</v>
      </c>
      <c r="H734" t="s">
        <v>56</v>
      </c>
      <c r="I734">
        <v>2</v>
      </c>
      <c r="K734" t="s">
        <v>82</v>
      </c>
      <c r="L734" s="4">
        <v>132.05000000000001</v>
      </c>
      <c r="M734" t="str">
        <f>VLOOKUP(D734,tblProduct[],2,FALSE)</f>
        <v>Electronics</v>
      </c>
      <c r="N734" t="str">
        <f>VLOOKUP(D734,tblProduct[],3,FALSE)</f>
        <v>High</v>
      </c>
      <c r="O734">
        <f>VLOOKUP(D734,tblProduct[],4,FALSE)</f>
        <v>150000</v>
      </c>
      <c r="P734">
        <v>132.05000000000001</v>
      </c>
      <c r="Q734" s="19" t="str">
        <f t="shared" si="11"/>
        <v>Mar-2025</v>
      </c>
      <c r="R734" s="26">
        <f>DATE(YEAR(tblEnriched[[#This Row],[Date]]),MONTH(tblEnriched[[#This Row],[Date]]),1)</f>
        <v>45717</v>
      </c>
    </row>
    <row r="735" spans="1:18">
      <c r="A735" t="s">
        <v>2728</v>
      </c>
      <c r="B735" s="10">
        <v>45264</v>
      </c>
      <c r="C735" t="s">
        <v>2729</v>
      </c>
      <c r="D735" t="s">
        <v>38</v>
      </c>
      <c r="E735">
        <v>4</v>
      </c>
      <c r="F735" s="4">
        <v>494.84</v>
      </c>
      <c r="G735" t="s">
        <v>71</v>
      </c>
      <c r="H735" t="s">
        <v>49</v>
      </c>
      <c r="I735">
        <v>8</v>
      </c>
      <c r="J735" t="s">
        <v>27</v>
      </c>
      <c r="K735" t="s">
        <v>44</v>
      </c>
      <c r="L735" s="4">
        <v>1979.36</v>
      </c>
      <c r="M735" t="str">
        <f>VLOOKUP(D735,tblProduct[],2,FALSE)</f>
        <v>Electronics</v>
      </c>
      <c r="N735" t="str">
        <f>VLOOKUP(D735,tblProduct[],3,FALSE)</f>
        <v>Medium</v>
      </c>
      <c r="O735">
        <f>VLOOKUP(D735,tblProduct[],4,FALSE)</f>
        <v>100000</v>
      </c>
      <c r="P735">
        <v>1979.36</v>
      </c>
      <c r="Q735" s="19" t="str">
        <f t="shared" si="11"/>
        <v>Dec-2023</v>
      </c>
      <c r="R735" s="26">
        <f>DATE(YEAR(tblEnriched[[#This Row],[Date]]),MONTH(tblEnriched[[#This Row],[Date]]),1)</f>
        <v>45261</v>
      </c>
    </row>
    <row r="736" spans="1:18">
      <c r="A736" t="s">
        <v>2731</v>
      </c>
      <c r="B736" s="10">
        <v>45314</v>
      </c>
      <c r="C736" t="s">
        <v>2732</v>
      </c>
      <c r="D736" t="s">
        <v>54</v>
      </c>
      <c r="E736">
        <v>4</v>
      </c>
      <c r="F736" s="4">
        <v>224.61</v>
      </c>
      <c r="G736" t="s">
        <v>40</v>
      </c>
      <c r="H736" t="s">
        <v>49</v>
      </c>
      <c r="I736">
        <v>6</v>
      </c>
      <c r="J736" t="s">
        <v>87</v>
      </c>
      <c r="K736" t="s">
        <v>51</v>
      </c>
      <c r="L736" s="4">
        <v>898.44</v>
      </c>
      <c r="M736" t="str">
        <f>VLOOKUP(D736,tblProduct[],2,FALSE)</f>
        <v>Electronics</v>
      </c>
      <c r="N736" t="str">
        <f>VLOOKUP(D736,tblProduct[],3,FALSE)</f>
        <v>Medium</v>
      </c>
      <c r="O736">
        <f>VLOOKUP(D736,tblProduct[],4,FALSE)</f>
        <v>80000</v>
      </c>
      <c r="P736">
        <v>898.44</v>
      </c>
      <c r="Q736" s="19" t="str">
        <f t="shared" si="11"/>
        <v>Jan-2024</v>
      </c>
      <c r="R736" s="26">
        <f>DATE(YEAR(tblEnriched[[#This Row],[Date]]),MONTH(tblEnriched[[#This Row],[Date]]),1)</f>
        <v>45292</v>
      </c>
    </row>
    <row r="737" spans="1:18">
      <c r="A737" t="s">
        <v>2734</v>
      </c>
      <c r="B737" s="10">
        <v>45471</v>
      </c>
      <c r="C737" t="s">
        <v>2735</v>
      </c>
      <c r="D737" t="s">
        <v>22</v>
      </c>
      <c r="E737">
        <v>4</v>
      </c>
      <c r="F737" s="4">
        <v>44.07</v>
      </c>
      <c r="G737" t="s">
        <v>24</v>
      </c>
      <c r="H737" t="s">
        <v>95</v>
      </c>
      <c r="I737">
        <v>6</v>
      </c>
      <c r="K737" t="s">
        <v>44</v>
      </c>
      <c r="L737" s="4">
        <v>176.28</v>
      </c>
      <c r="M737" t="str">
        <f>VLOOKUP(D737,tblProduct[],2,FALSE)</f>
        <v>Electronics</v>
      </c>
      <c r="N737" t="str">
        <f>VLOOKUP(D737,tblProduct[],3,FALSE)</f>
        <v>Medium</v>
      </c>
      <c r="O737">
        <f>VLOOKUP(D737,tblProduct[],4,FALSE)</f>
        <v>90000</v>
      </c>
      <c r="P737">
        <v>176.28</v>
      </c>
      <c r="Q737" s="19" t="str">
        <f t="shared" si="11"/>
        <v>Jun-2024</v>
      </c>
      <c r="R737" s="26">
        <f>DATE(YEAR(tblEnriched[[#This Row],[Date]]),MONTH(tblEnriched[[#This Row],[Date]]),1)</f>
        <v>45444</v>
      </c>
    </row>
    <row r="738" spans="1:18">
      <c r="A738" t="s">
        <v>2737</v>
      </c>
      <c r="B738" s="10">
        <v>45331</v>
      </c>
      <c r="C738" t="s">
        <v>2738</v>
      </c>
      <c r="D738" t="s">
        <v>22</v>
      </c>
      <c r="E738">
        <v>5</v>
      </c>
      <c r="F738" s="4">
        <v>418.53</v>
      </c>
      <c r="G738" t="s">
        <v>40</v>
      </c>
      <c r="H738" t="s">
        <v>95</v>
      </c>
      <c r="I738">
        <v>6</v>
      </c>
      <c r="J738" t="s">
        <v>43</v>
      </c>
      <c r="K738" t="s">
        <v>82</v>
      </c>
      <c r="L738" s="4">
        <v>2092.65</v>
      </c>
      <c r="M738" t="str">
        <f>VLOOKUP(D738,tblProduct[],2,FALSE)</f>
        <v>Electronics</v>
      </c>
      <c r="N738" t="str">
        <f>VLOOKUP(D738,tblProduct[],3,FALSE)</f>
        <v>Medium</v>
      </c>
      <c r="O738">
        <f>VLOOKUP(D738,tblProduct[],4,FALSE)</f>
        <v>90000</v>
      </c>
      <c r="P738">
        <v>2092.65</v>
      </c>
      <c r="Q738" s="19" t="str">
        <f t="shared" si="11"/>
        <v>Feb-2024</v>
      </c>
      <c r="R738" s="26">
        <f>DATE(YEAR(tblEnriched[[#This Row],[Date]]),MONTH(tblEnriched[[#This Row],[Date]]),1)</f>
        <v>45323</v>
      </c>
    </row>
    <row r="739" spans="1:18">
      <c r="A739" t="s">
        <v>2740</v>
      </c>
      <c r="B739" s="10">
        <v>45294</v>
      </c>
      <c r="C739" t="s">
        <v>2741</v>
      </c>
      <c r="D739" t="s">
        <v>31</v>
      </c>
      <c r="E739">
        <v>4</v>
      </c>
      <c r="F739" s="4">
        <v>532.87</v>
      </c>
      <c r="G739" t="s">
        <v>71</v>
      </c>
      <c r="H739" t="s">
        <v>95</v>
      </c>
      <c r="I739">
        <v>9</v>
      </c>
      <c r="J739" t="s">
        <v>43</v>
      </c>
      <c r="K739" t="s">
        <v>28</v>
      </c>
      <c r="L739" s="4">
        <v>2131.48</v>
      </c>
      <c r="M739" t="str">
        <f>VLOOKUP(D739,tblProduct[],2,FALSE)</f>
        <v>Electronics</v>
      </c>
      <c r="N739" t="str">
        <f>VLOOKUP(D739,tblProduct[],3,FALSE)</f>
        <v>High</v>
      </c>
      <c r="O739">
        <f>VLOOKUP(D739,tblProduct[],4,FALSE)</f>
        <v>120000</v>
      </c>
      <c r="P739">
        <v>2131.48</v>
      </c>
      <c r="Q739" s="19" t="str">
        <f t="shared" si="11"/>
        <v>Jan-2024</v>
      </c>
      <c r="R739" s="26">
        <f>DATE(YEAR(tblEnriched[[#This Row],[Date]]),MONTH(tblEnriched[[#This Row],[Date]]),1)</f>
        <v>45292</v>
      </c>
    </row>
    <row r="740" spans="1:18">
      <c r="A740" t="s">
        <v>2744</v>
      </c>
      <c r="B740" s="10">
        <v>45812</v>
      </c>
      <c r="C740" t="s">
        <v>2745</v>
      </c>
      <c r="D740" t="s">
        <v>31</v>
      </c>
      <c r="E740">
        <v>2</v>
      </c>
      <c r="F740" s="4">
        <v>485.37</v>
      </c>
      <c r="G740" t="s">
        <v>40</v>
      </c>
      <c r="H740" t="s">
        <v>25</v>
      </c>
      <c r="I740">
        <v>5</v>
      </c>
      <c r="J740" t="s">
        <v>27</v>
      </c>
      <c r="K740" t="s">
        <v>44</v>
      </c>
      <c r="L740" s="4">
        <v>970.74</v>
      </c>
      <c r="M740" t="str">
        <f>VLOOKUP(D740,tblProduct[],2,FALSE)</f>
        <v>Electronics</v>
      </c>
      <c r="N740" t="str">
        <f>VLOOKUP(D740,tblProduct[],3,FALSE)</f>
        <v>High</v>
      </c>
      <c r="O740">
        <f>VLOOKUP(D740,tblProduct[],4,FALSE)</f>
        <v>120000</v>
      </c>
      <c r="P740">
        <v>970.74</v>
      </c>
      <c r="Q740" s="19" t="str">
        <f t="shared" si="11"/>
        <v>Jun-2025</v>
      </c>
      <c r="R740" s="26">
        <f>DATE(YEAR(tblEnriched[[#This Row],[Date]]),MONTH(tblEnriched[[#This Row],[Date]]),1)</f>
        <v>45809</v>
      </c>
    </row>
    <row r="741" spans="1:18">
      <c r="A741" t="s">
        <v>2748</v>
      </c>
      <c r="B741" s="10">
        <v>45456</v>
      </c>
      <c r="C741" t="s">
        <v>2749</v>
      </c>
      <c r="D741" t="s">
        <v>31</v>
      </c>
      <c r="E741">
        <v>4</v>
      </c>
      <c r="F741" s="4">
        <v>386.73</v>
      </c>
      <c r="G741" t="s">
        <v>71</v>
      </c>
      <c r="H741" t="s">
        <v>56</v>
      </c>
      <c r="I741">
        <v>4</v>
      </c>
      <c r="J741" t="s">
        <v>27</v>
      </c>
      <c r="K741" t="s">
        <v>51</v>
      </c>
      <c r="L741" s="4">
        <v>1546.92</v>
      </c>
      <c r="M741" t="str">
        <f>VLOOKUP(D741,tblProduct[],2,FALSE)</f>
        <v>Electronics</v>
      </c>
      <c r="N741" t="str">
        <f>VLOOKUP(D741,tblProduct[],3,FALSE)</f>
        <v>High</v>
      </c>
      <c r="O741">
        <f>VLOOKUP(D741,tblProduct[],4,FALSE)</f>
        <v>120000</v>
      </c>
      <c r="P741">
        <v>1546.92</v>
      </c>
      <c r="Q741" s="19" t="str">
        <f t="shared" si="11"/>
        <v>Jun-2024</v>
      </c>
      <c r="R741" s="26">
        <f>DATE(YEAR(tblEnriched[[#This Row],[Date]]),MONTH(tblEnriched[[#This Row],[Date]]),1)</f>
        <v>45444</v>
      </c>
    </row>
    <row r="742" spans="1:18">
      <c r="A742" t="s">
        <v>2751</v>
      </c>
      <c r="B742" s="10">
        <v>45493</v>
      </c>
      <c r="C742" t="s">
        <v>2752</v>
      </c>
      <c r="D742" t="s">
        <v>79</v>
      </c>
      <c r="E742">
        <v>2</v>
      </c>
      <c r="F742" s="4">
        <v>377.47</v>
      </c>
      <c r="G742" t="s">
        <v>71</v>
      </c>
      <c r="H742" t="s">
        <v>95</v>
      </c>
      <c r="I742">
        <v>7</v>
      </c>
      <c r="K742" t="s">
        <v>82</v>
      </c>
      <c r="L742" s="4">
        <v>754.94</v>
      </c>
      <c r="M742" t="str">
        <f>VLOOKUP(D742,tblProduct[],2,FALSE)</f>
        <v>Furniture</v>
      </c>
      <c r="N742" t="str">
        <f>VLOOKUP(D742,tblProduct[],3,FALSE)</f>
        <v>High</v>
      </c>
      <c r="O742">
        <f>VLOOKUP(D742,tblProduct[],4,FALSE)</f>
        <v>75000</v>
      </c>
      <c r="P742">
        <v>754.94</v>
      </c>
      <c r="Q742" s="19" t="str">
        <f t="shared" si="11"/>
        <v>Jul-2024</v>
      </c>
      <c r="R742" s="26">
        <f>DATE(YEAR(tblEnriched[[#This Row],[Date]]),MONTH(tblEnriched[[#This Row],[Date]]),1)</f>
        <v>45474</v>
      </c>
    </row>
    <row r="743" spans="1:18">
      <c r="A743" t="s">
        <v>2754</v>
      </c>
      <c r="B743" s="10">
        <v>45680</v>
      </c>
      <c r="C743" t="s">
        <v>2755</v>
      </c>
      <c r="D743" t="s">
        <v>22</v>
      </c>
      <c r="E743">
        <v>5</v>
      </c>
      <c r="F743" s="4">
        <v>332.64</v>
      </c>
      <c r="G743" t="s">
        <v>66</v>
      </c>
      <c r="H743" t="s">
        <v>56</v>
      </c>
      <c r="I743">
        <v>10</v>
      </c>
      <c r="K743" t="s">
        <v>35</v>
      </c>
      <c r="L743" s="4">
        <v>1663.2</v>
      </c>
      <c r="M743" t="str">
        <f>VLOOKUP(D743,tblProduct[],2,FALSE)</f>
        <v>Electronics</v>
      </c>
      <c r="N743" t="str">
        <f>VLOOKUP(D743,tblProduct[],3,FALSE)</f>
        <v>Medium</v>
      </c>
      <c r="O743">
        <f>VLOOKUP(D743,tblProduct[],4,FALSE)</f>
        <v>90000</v>
      </c>
      <c r="P743">
        <v>1663.2</v>
      </c>
      <c r="Q743" s="19" t="str">
        <f t="shared" si="11"/>
        <v>Jan-2025</v>
      </c>
      <c r="R743" s="26">
        <f>DATE(YEAR(tblEnriched[[#This Row],[Date]]),MONTH(tblEnriched[[#This Row],[Date]]),1)</f>
        <v>45658</v>
      </c>
    </row>
    <row r="744" spans="1:18">
      <c r="A744" t="s">
        <v>2758</v>
      </c>
      <c r="B744" s="10">
        <v>45626</v>
      </c>
      <c r="C744" t="s">
        <v>2759</v>
      </c>
      <c r="D744" t="s">
        <v>64</v>
      </c>
      <c r="E744">
        <v>3</v>
      </c>
      <c r="F744" s="4">
        <v>699.93</v>
      </c>
      <c r="G744" t="s">
        <v>71</v>
      </c>
      <c r="H744" t="s">
        <v>49</v>
      </c>
      <c r="I744">
        <v>7</v>
      </c>
      <c r="J744" t="s">
        <v>27</v>
      </c>
      <c r="K744" t="s">
        <v>82</v>
      </c>
      <c r="L744" s="4">
        <v>2099.79</v>
      </c>
      <c r="M744" t="str">
        <f>VLOOKUP(D744,tblProduct[],2,FALSE)</f>
        <v>Electronics</v>
      </c>
      <c r="N744" t="str">
        <f>VLOOKUP(D744,tblProduct[],3,FALSE)</f>
        <v>High</v>
      </c>
      <c r="O744">
        <f>VLOOKUP(D744,tblProduct[],4,FALSE)</f>
        <v>150000</v>
      </c>
      <c r="P744">
        <v>2099.79</v>
      </c>
      <c r="Q744" s="19" t="str">
        <f t="shared" si="11"/>
        <v>Nov-2024</v>
      </c>
      <c r="R744" s="26">
        <f>DATE(YEAR(tblEnriched[[#This Row],[Date]]),MONTH(tblEnriched[[#This Row],[Date]]),1)</f>
        <v>45597</v>
      </c>
    </row>
    <row r="745" spans="1:18">
      <c r="A745" t="s">
        <v>2761</v>
      </c>
      <c r="B745" s="10">
        <v>45565</v>
      </c>
      <c r="C745" t="s">
        <v>2762</v>
      </c>
      <c r="D745" t="s">
        <v>22</v>
      </c>
      <c r="E745">
        <v>1</v>
      </c>
      <c r="F745" s="4">
        <v>576.35</v>
      </c>
      <c r="G745" t="s">
        <v>66</v>
      </c>
      <c r="H745" t="s">
        <v>49</v>
      </c>
      <c r="I745">
        <v>1</v>
      </c>
      <c r="J745" t="s">
        <v>87</v>
      </c>
      <c r="K745" t="s">
        <v>28</v>
      </c>
      <c r="L745" s="4">
        <v>576.35</v>
      </c>
      <c r="M745" t="str">
        <f>VLOOKUP(D745,tblProduct[],2,FALSE)</f>
        <v>Electronics</v>
      </c>
      <c r="N745" t="str">
        <f>VLOOKUP(D745,tblProduct[],3,FALSE)</f>
        <v>Medium</v>
      </c>
      <c r="O745">
        <f>VLOOKUP(D745,tblProduct[],4,FALSE)</f>
        <v>90000</v>
      </c>
      <c r="P745">
        <v>576.35</v>
      </c>
      <c r="Q745" s="19" t="str">
        <f t="shared" si="11"/>
        <v>Sep-2024</v>
      </c>
      <c r="R745" s="26">
        <f>DATE(YEAR(tblEnriched[[#This Row],[Date]]),MONTH(tblEnriched[[#This Row],[Date]]),1)</f>
        <v>45536</v>
      </c>
    </row>
    <row r="746" spans="1:18">
      <c r="A746" t="s">
        <v>2764</v>
      </c>
      <c r="B746" s="10">
        <v>45455</v>
      </c>
      <c r="C746" t="s">
        <v>2765</v>
      </c>
      <c r="D746" t="s">
        <v>38</v>
      </c>
      <c r="E746">
        <v>2</v>
      </c>
      <c r="F746" s="4">
        <v>461.37</v>
      </c>
      <c r="G746" t="s">
        <v>71</v>
      </c>
      <c r="H746" t="s">
        <v>56</v>
      </c>
      <c r="I746">
        <v>5</v>
      </c>
      <c r="J746" t="s">
        <v>27</v>
      </c>
      <c r="K746" t="s">
        <v>82</v>
      </c>
      <c r="L746" s="4">
        <v>922.74</v>
      </c>
      <c r="M746" t="str">
        <f>VLOOKUP(D746,tblProduct[],2,FALSE)</f>
        <v>Electronics</v>
      </c>
      <c r="N746" t="str">
        <f>VLOOKUP(D746,tblProduct[],3,FALSE)</f>
        <v>Medium</v>
      </c>
      <c r="O746">
        <f>VLOOKUP(D746,tblProduct[],4,FALSE)</f>
        <v>100000</v>
      </c>
      <c r="P746">
        <v>922.74</v>
      </c>
      <c r="Q746" s="19" t="str">
        <f t="shared" si="11"/>
        <v>Jun-2024</v>
      </c>
      <c r="R746" s="26">
        <f>DATE(YEAR(tblEnriched[[#This Row],[Date]]),MONTH(tblEnriched[[#This Row],[Date]]),1)</f>
        <v>45444</v>
      </c>
    </row>
    <row r="747" spans="1:18">
      <c r="A747" t="s">
        <v>2768</v>
      </c>
      <c r="B747" s="10">
        <v>44987</v>
      </c>
      <c r="C747" t="s">
        <v>2769</v>
      </c>
      <c r="D747" t="s">
        <v>54</v>
      </c>
      <c r="E747">
        <v>4</v>
      </c>
      <c r="F747" s="4">
        <v>111.3</v>
      </c>
      <c r="G747" t="s">
        <v>24</v>
      </c>
      <c r="H747" t="s">
        <v>95</v>
      </c>
      <c r="I747">
        <v>7</v>
      </c>
      <c r="J747" t="s">
        <v>43</v>
      </c>
      <c r="K747" t="s">
        <v>44</v>
      </c>
      <c r="L747" s="4">
        <v>445.2</v>
      </c>
      <c r="M747" t="str">
        <f>VLOOKUP(D747,tblProduct[],2,FALSE)</f>
        <v>Electronics</v>
      </c>
      <c r="N747" t="str">
        <f>VLOOKUP(D747,tblProduct[],3,FALSE)</f>
        <v>Medium</v>
      </c>
      <c r="O747">
        <f>VLOOKUP(D747,tblProduct[],4,FALSE)</f>
        <v>80000</v>
      </c>
      <c r="P747">
        <v>445.2</v>
      </c>
      <c r="Q747" s="19" t="str">
        <f t="shared" si="11"/>
        <v>Mar-2023</v>
      </c>
      <c r="R747" s="26">
        <f>DATE(YEAR(tblEnriched[[#This Row],[Date]]),MONTH(tblEnriched[[#This Row],[Date]]),1)</f>
        <v>44986</v>
      </c>
    </row>
    <row r="748" spans="1:18">
      <c r="A748" t="s">
        <v>2772</v>
      </c>
      <c r="B748" s="10">
        <v>45712</v>
      </c>
      <c r="C748" t="s">
        <v>2773</v>
      </c>
      <c r="D748" t="s">
        <v>79</v>
      </c>
      <c r="E748">
        <v>3</v>
      </c>
      <c r="F748" s="4">
        <v>661.89</v>
      </c>
      <c r="G748" t="s">
        <v>33</v>
      </c>
      <c r="H748" t="s">
        <v>41</v>
      </c>
      <c r="I748">
        <v>6</v>
      </c>
      <c r="J748" t="s">
        <v>87</v>
      </c>
      <c r="K748" t="s">
        <v>35</v>
      </c>
      <c r="L748" s="4">
        <v>1985.67</v>
      </c>
      <c r="M748" t="str">
        <f>VLOOKUP(D748,tblProduct[],2,FALSE)</f>
        <v>Furniture</v>
      </c>
      <c r="N748" t="str">
        <f>VLOOKUP(D748,tblProduct[],3,FALSE)</f>
        <v>High</v>
      </c>
      <c r="O748">
        <f>VLOOKUP(D748,tblProduct[],4,FALSE)</f>
        <v>75000</v>
      </c>
      <c r="P748">
        <v>1985.67</v>
      </c>
      <c r="Q748" s="19" t="str">
        <f t="shared" si="11"/>
        <v>Feb-2025</v>
      </c>
      <c r="R748" s="26">
        <f>DATE(YEAR(tblEnriched[[#This Row],[Date]]),MONTH(tblEnriched[[#This Row],[Date]]),1)</f>
        <v>45689</v>
      </c>
    </row>
    <row r="749" spans="1:18">
      <c r="A749" t="s">
        <v>2776</v>
      </c>
      <c r="B749" s="10">
        <v>45728</v>
      </c>
      <c r="C749" t="s">
        <v>2777</v>
      </c>
      <c r="D749" t="s">
        <v>38</v>
      </c>
      <c r="E749">
        <v>2</v>
      </c>
      <c r="F749" s="4">
        <v>259.58</v>
      </c>
      <c r="G749" t="s">
        <v>24</v>
      </c>
      <c r="H749" t="s">
        <v>56</v>
      </c>
      <c r="I749">
        <v>7</v>
      </c>
      <c r="J749" t="s">
        <v>43</v>
      </c>
      <c r="K749" t="s">
        <v>28</v>
      </c>
      <c r="L749" s="4">
        <v>519.16</v>
      </c>
      <c r="M749" t="str">
        <f>VLOOKUP(D749,tblProduct[],2,FALSE)</f>
        <v>Electronics</v>
      </c>
      <c r="N749" t="str">
        <f>VLOOKUP(D749,tblProduct[],3,FALSE)</f>
        <v>Medium</v>
      </c>
      <c r="O749">
        <f>VLOOKUP(D749,tblProduct[],4,FALSE)</f>
        <v>100000</v>
      </c>
      <c r="P749">
        <v>519.16</v>
      </c>
      <c r="Q749" s="19" t="str">
        <f t="shared" si="11"/>
        <v>Mar-2025</v>
      </c>
      <c r="R749" s="26">
        <f>DATE(YEAR(tblEnriched[[#This Row],[Date]]),MONTH(tblEnriched[[#This Row],[Date]]),1)</f>
        <v>45717</v>
      </c>
    </row>
    <row r="750" spans="1:18">
      <c r="A750" t="s">
        <v>2780</v>
      </c>
      <c r="B750" s="10">
        <v>45488</v>
      </c>
      <c r="C750" t="s">
        <v>2781</v>
      </c>
      <c r="D750" t="s">
        <v>38</v>
      </c>
      <c r="E750">
        <v>3</v>
      </c>
      <c r="F750" s="4">
        <v>70.81</v>
      </c>
      <c r="G750" t="s">
        <v>40</v>
      </c>
      <c r="H750" t="s">
        <v>25</v>
      </c>
      <c r="I750">
        <v>8</v>
      </c>
      <c r="J750" t="s">
        <v>43</v>
      </c>
      <c r="K750" t="s">
        <v>35</v>
      </c>
      <c r="L750" s="4">
        <v>212.43</v>
      </c>
      <c r="M750" t="str">
        <f>VLOOKUP(D750,tblProduct[],2,FALSE)</f>
        <v>Electronics</v>
      </c>
      <c r="N750" t="str">
        <f>VLOOKUP(D750,tblProduct[],3,FALSE)</f>
        <v>Medium</v>
      </c>
      <c r="O750">
        <f>VLOOKUP(D750,tblProduct[],4,FALSE)</f>
        <v>100000</v>
      </c>
      <c r="P750">
        <v>212.43</v>
      </c>
      <c r="Q750" s="19" t="str">
        <f t="shared" si="11"/>
        <v>Jul-2024</v>
      </c>
      <c r="R750" s="26">
        <f>DATE(YEAR(tblEnriched[[#This Row],[Date]]),MONTH(tblEnriched[[#This Row],[Date]]),1)</f>
        <v>45474</v>
      </c>
    </row>
    <row r="751" spans="1:18">
      <c r="A751" t="s">
        <v>2783</v>
      </c>
      <c r="B751" s="10">
        <v>45760</v>
      </c>
      <c r="C751" t="s">
        <v>2784</v>
      </c>
      <c r="D751" t="s">
        <v>64</v>
      </c>
      <c r="E751">
        <v>1</v>
      </c>
      <c r="F751" s="4">
        <v>518.39</v>
      </c>
      <c r="G751" t="s">
        <v>24</v>
      </c>
      <c r="H751" t="s">
        <v>95</v>
      </c>
      <c r="I751">
        <v>4</v>
      </c>
      <c r="J751" t="s">
        <v>43</v>
      </c>
      <c r="K751" t="s">
        <v>28</v>
      </c>
      <c r="L751" s="4">
        <v>518.39</v>
      </c>
      <c r="M751" t="str">
        <f>VLOOKUP(D751,tblProduct[],2,FALSE)</f>
        <v>Electronics</v>
      </c>
      <c r="N751" t="str">
        <f>VLOOKUP(D751,tblProduct[],3,FALSE)</f>
        <v>High</v>
      </c>
      <c r="O751">
        <f>VLOOKUP(D751,tblProduct[],4,FALSE)</f>
        <v>150000</v>
      </c>
      <c r="P751">
        <v>518.39</v>
      </c>
      <c r="Q751" s="19" t="str">
        <f t="shared" si="11"/>
        <v>Apr-2025</v>
      </c>
      <c r="R751" s="26">
        <f>DATE(YEAR(tblEnriched[[#This Row],[Date]]),MONTH(tblEnriched[[#This Row],[Date]]),1)</f>
        <v>45748</v>
      </c>
    </row>
    <row r="752" spans="1:18">
      <c r="A752" t="s">
        <v>2787</v>
      </c>
      <c r="B752" s="10">
        <v>44940</v>
      </c>
      <c r="C752" t="s">
        <v>2788</v>
      </c>
      <c r="D752" t="s">
        <v>38</v>
      </c>
      <c r="E752">
        <v>4</v>
      </c>
      <c r="F752" s="4">
        <v>145.41</v>
      </c>
      <c r="G752" t="s">
        <v>40</v>
      </c>
      <c r="H752" t="s">
        <v>49</v>
      </c>
      <c r="I752">
        <v>7</v>
      </c>
      <c r="J752" t="s">
        <v>43</v>
      </c>
      <c r="K752" t="s">
        <v>44</v>
      </c>
      <c r="L752" s="4">
        <v>581.64</v>
      </c>
      <c r="M752" t="str">
        <f>VLOOKUP(D752,tblProduct[],2,FALSE)</f>
        <v>Electronics</v>
      </c>
      <c r="N752" t="str">
        <f>VLOOKUP(D752,tblProduct[],3,FALSE)</f>
        <v>Medium</v>
      </c>
      <c r="O752">
        <f>VLOOKUP(D752,tblProduct[],4,FALSE)</f>
        <v>100000</v>
      </c>
      <c r="P752">
        <v>581.64</v>
      </c>
      <c r="Q752" s="19" t="str">
        <f t="shared" si="11"/>
        <v>Jan-2023</v>
      </c>
      <c r="R752" s="26">
        <f>DATE(YEAR(tblEnriched[[#This Row],[Date]]),MONTH(tblEnriched[[#This Row],[Date]]),1)</f>
        <v>44927</v>
      </c>
    </row>
    <row r="753" spans="1:18">
      <c r="A753" t="s">
        <v>2791</v>
      </c>
      <c r="B753" s="10">
        <v>44950</v>
      </c>
      <c r="C753" t="s">
        <v>2792</v>
      </c>
      <c r="D753" t="s">
        <v>38</v>
      </c>
      <c r="E753">
        <v>2</v>
      </c>
      <c r="F753" s="4">
        <v>599.86</v>
      </c>
      <c r="G753" t="s">
        <v>66</v>
      </c>
      <c r="H753" t="s">
        <v>95</v>
      </c>
      <c r="I753">
        <v>7</v>
      </c>
      <c r="J753" t="s">
        <v>43</v>
      </c>
      <c r="K753" t="s">
        <v>51</v>
      </c>
      <c r="L753" s="4">
        <v>1199.72</v>
      </c>
      <c r="M753" t="str">
        <f>VLOOKUP(D753,tblProduct[],2,FALSE)</f>
        <v>Electronics</v>
      </c>
      <c r="N753" t="str">
        <f>VLOOKUP(D753,tblProduct[],3,FALSE)</f>
        <v>Medium</v>
      </c>
      <c r="O753">
        <f>VLOOKUP(D753,tblProduct[],4,FALSE)</f>
        <v>100000</v>
      </c>
      <c r="P753">
        <v>1199.72</v>
      </c>
      <c r="Q753" s="19" t="str">
        <f t="shared" si="11"/>
        <v>Jan-2023</v>
      </c>
      <c r="R753" s="26">
        <f>DATE(YEAR(tblEnriched[[#This Row],[Date]]),MONTH(tblEnriched[[#This Row],[Date]]),1)</f>
        <v>44927</v>
      </c>
    </row>
    <row r="754" spans="1:18">
      <c r="A754" t="s">
        <v>2795</v>
      </c>
      <c r="B754" s="10">
        <v>45568</v>
      </c>
      <c r="C754" t="s">
        <v>2796</v>
      </c>
      <c r="D754" t="s">
        <v>31</v>
      </c>
      <c r="E754">
        <v>4</v>
      </c>
      <c r="F754" s="4">
        <v>429.37</v>
      </c>
      <c r="G754" t="s">
        <v>40</v>
      </c>
      <c r="H754" t="s">
        <v>56</v>
      </c>
      <c r="I754">
        <v>8</v>
      </c>
      <c r="J754" t="s">
        <v>43</v>
      </c>
      <c r="K754" t="s">
        <v>82</v>
      </c>
      <c r="L754" s="4">
        <v>1717.48</v>
      </c>
      <c r="M754" t="str">
        <f>VLOOKUP(D754,tblProduct[],2,FALSE)</f>
        <v>Electronics</v>
      </c>
      <c r="N754" t="str">
        <f>VLOOKUP(D754,tblProduct[],3,FALSE)</f>
        <v>High</v>
      </c>
      <c r="O754">
        <f>VLOOKUP(D754,tblProduct[],4,FALSE)</f>
        <v>120000</v>
      </c>
      <c r="P754">
        <v>1717.48</v>
      </c>
      <c r="Q754" s="19" t="str">
        <f t="shared" si="11"/>
        <v>Oct-2024</v>
      </c>
      <c r="R754" s="26">
        <f>DATE(YEAR(tblEnriched[[#This Row],[Date]]),MONTH(tblEnriched[[#This Row],[Date]]),1)</f>
        <v>45566</v>
      </c>
    </row>
    <row r="755" spans="1:18">
      <c r="A755" t="s">
        <v>2798</v>
      </c>
      <c r="B755" s="10">
        <v>45406</v>
      </c>
      <c r="C755" t="s">
        <v>2799</v>
      </c>
      <c r="D755" t="s">
        <v>31</v>
      </c>
      <c r="E755">
        <v>2</v>
      </c>
      <c r="F755" s="4">
        <v>241.49</v>
      </c>
      <c r="G755" t="s">
        <v>24</v>
      </c>
      <c r="H755" t="s">
        <v>49</v>
      </c>
      <c r="I755">
        <v>7</v>
      </c>
      <c r="J755" t="s">
        <v>43</v>
      </c>
      <c r="K755" t="s">
        <v>28</v>
      </c>
      <c r="L755" s="4">
        <v>482.98</v>
      </c>
      <c r="M755" t="str">
        <f>VLOOKUP(D755,tblProduct[],2,FALSE)</f>
        <v>Electronics</v>
      </c>
      <c r="N755" t="str">
        <f>VLOOKUP(D755,tblProduct[],3,FALSE)</f>
        <v>High</v>
      </c>
      <c r="O755">
        <f>VLOOKUP(D755,tblProduct[],4,FALSE)</f>
        <v>120000</v>
      </c>
      <c r="P755">
        <v>482.98</v>
      </c>
      <c r="Q755" s="19" t="str">
        <f t="shared" si="11"/>
        <v>Apr-2024</v>
      </c>
      <c r="R755" s="26">
        <f>DATE(YEAR(tblEnriched[[#This Row],[Date]]),MONTH(tblEnriched[[#This Row],[Date]]),1)</f>
        <v>45383</v>
      </c>
    </row>
    <row r="756" spans="1:18">
      <c r="A756" t="s">
        <v>2802</v>
      </c>
      <c r="B756" s="10">
        <v>45808</v>
      </c>
      <c r="C756" t="s">
        <v>2803</v>
      </c>
      <c r="D756" t="s">
        <v>54</v>
      </c>
      <c r="E756">
        <v>2</v>
      </c>
      <c r="F756" s="4">
        <v>452.05</v>
      </c>
      <c r="G756" t="s">
        <v>40</v>
      </c>
      <c r="H756" t="s">
        <v>49</v>
      </c>
      <c r="I756">
        <v>3</v>
      </c>
      <c r="J756" t="s">
        <v>87</v>
      </c>
      <c r="K756" t="s">
        <v>44</v>
      </c>
      <c r="L756" s="4">
        <v>904.1</v>
      </c>
      <c r="M756" t="str">
        <f>VLOOKUP(D756,tblProduct[],2,FALSE)</f>
        <v>Electronics</v>
      </c>
      <c r="N756" t="str">
        <f>VLOOKUP(D756,tblProduct[],3,FALSE)</f>
        <v>Medium</v>
      </c>
      <c r="O756">
        <f>VLOOKUP(D756,tblProduct[],4,FALSE)</f>
        <v>80000</v>
      </c>
      <c r="P756">
        <v>904.1</v>
      </c>
      <c r="Q756" s="19" t="str">
        <f t="shared" si="11"/>
        <v>May-2025</v>
      </c>
      <c r="R756" s="26">
        <f>DATE(YEAR(tblEnriched[[#This Row],[Date]]),MONTH(tblEnriched[[#This Row],[Date]]),1)</f>
        <v>45778</v>
      </c>
    </row>
    <row r="757" spans="1:18">
      <c r="A757" t="s">
        <v>2806</v>
      </c>
      <c r="B757" s="10">
        <v>45090</v>
      </c>
      <c r="C757" t="s">
        <v>2807</v>
      </c>
      <c r="D757" t="s">
        <v>79</v>
      </c>
      <c r="E757">
        <v>3</v>
      </c>
      <c r="F757" s="4">
        <v>336.71</v>
      </c>
      <c r="G757" t="s">
        <v>40</v>
      </c>
      <c r="H757" t="s">
        <v>95</v>
      </c>
      <c r="I757">
        <v>4</v>
      </c>
      <c r="K757" t="s">
        <v>44</v>
      </c>
      <c r="L757" s="4">
        <v>1010.13</v>
      </c>
      <c r="M757" t="str">
        <f>VLOOKUP(D757,tblProduct[],2,FALSE)</f>
        <v>Furniture</v>
      </c>
      <c r="N757" t="str">
        <f>VLOOKUP(D757,tblProduct[],3,FALSE)</f>
        <v>High</v>
      </c>
      <c r="O757">
        <f>VLOOKUP(D757,tblProduct[],4,FALSE)</f>
        <v>75000</v>
      </c>
      <c r="P757">
        <v>1010.13</v>
      </c>
      <c r="Q757" s="19" t="str">
        <f t="shared" si="11"/>
        <v>Jun-2023</v>
      </c>
      <c r="R757" s="26">
        <f>DATE(YEAR(tblEnriched[[#This Row],[Date]]),MONTH(tblEnriched[[#This Row],[Date]]),1)</f>
        <v>45078</v>
      </c>
    </row>
    <row r="758" spans="1:18">
      <c r="A758" t="s">
        <v>2810</v>
      </c>
      <c r="B758" s="10">
        <v>45470</v>
      </c>
      <c r="C758" t="s">
        <v>2811</v>
      </c>
      <c r="D758" t="s">
        <v>31</v>
      </c>
      <c r="E758">
        <v>1</v>
      </c>
      <c r="F758" s="4">
        <v>283.69</v>
      </c>
      <c r="G758" t="s">
        <v>66</v>
      </c>
      <c r="H758" t="s">
        <v>25</v>
      </c>
      <c r="I758">
        <v>6</v>
      </c>
      <c r="K758" t="s">
        <v>82</v>
      </c>
      <c r="L758" s="4">
        <v>283.69</v>
      </c>
      <c r="M758" t="str">
        <f>VLOOKUP(D758,tblProduct[],2,FALSE)</f>
        <v>Electronics</v>
      </c>
      <c r="N758" t="str">
        <f>VLOOKUP(D758,tblProduct[],3,FALSE)</f>
        <v>High</v>
      </c>
      <c r="O758">
        <f>VLOOKUP(D758,tblProduct[],4,FALSE)</f>
        <v>120000</v>
      </c>
      <c r="P758">
        <v>283.69</v>
      </c>
      <c r="Q758" s="19" t="str">
        <f t="shared" si="11"/>
        <v>Jun-2024</v>
      </c>
      <c r="R758" s="26">
        <f>DATE(YEAR(tblEnriched[[#This Row],[Date]]),MONTH(tblEnriched[[#This Row],[Date]]),1)</f>
        <v>45444</v>
      </c>
    </row>
    <row r="759" spans="1:18">
      <c r="A759" t="s">
        <v>2813</v>
      </c>
      <c r="B759" s="10">
        <v>45344</v>
      </c>
      <c r="C759" t="s">
        <v>2814</v>
      </c>
      <c r="D759" t="s">
        <v>79</v>
      </c>
      <c r="E759">
        <v>1</v>
      </c>
      <c r="F759" s="4">
        <v>157.72</v>
      </c>
      <c r="G759" t="s">
        <v>24</v>
      </c>
      <c r="H759" t="s">
        <v>56</v>
      </c>
      <c r="I759">
        <v>2</v>
      </c>
      <c r="J759" t="s">
        <v>43</v>
      </c>
      <c r="K759" t="s">
        <v>82</v>
      </c>
      <c r="L759" s="4">
        <v>157.72</v>
      </c>
      <c r="M759" t="str">
        <f>VLOOKUP(D759,tblProduct[],2,FALSE)</f>
        <v>Furniture</v>
      </c>
      <c r="N759" t="str">
        <f>VLOOKUP(D759,tblProduct[],3,FALSE)</f>
        <v>High</v>
      </c>
      <c r="O759">
        <f>VLOOKUP(D759,tblProduct[],4,FALSE)</f>
        <v>75000</v>
      </c>
      <c r="P759">
        <v>157.72</v>
      </c>
      <c r="Q759" s="19" t="str">
        <f t="shared" si="11"/>
        <v>Feb-2024</v>
      </c>
      <c r="R759" s="26">
        <f>DATE(YEAR(tblEnriched[[#This Row],[Date]]),MONTH(tblEnriched[[#This Row],[Date]]),1)</f>
        <v>45323</v>
      </c>
    </row>
    <row r="760" spans="1:18">
      <c r="A760" t="s">
        <v>2816</v>
      </c>
      <c r="B760" s="10">
        <v>45011</v>
      </c>
      <c r="C760" t="s">
        <v>2817</v>
      </c>
      <c r="D760" t="s">
        <v>38</v>
      </c>
      <c r="E760">
        <v>3</v>
      </c>
      <c r="F760" s="4">
        <v>624.84</v>
      </c>
      <c r="G760" t="s">
        <v>40</v>
      </c>
      <c r="H760" t="s">
        <v>41</v>
      </c>
      <c r="I760">
        <v>8</v>
      </c>
      <c r="J760" t="s">
        <v>87</v>
      </c>
      <c r="K760" t="s">
        <v>51</v>
      </c>
      <c r="L760" s="4">
        <v>1874.52</v>
      </c>
      <c r="M760" t="str">
        <f>VLOOKUP(D760,tblProduct[],2,FALSE)</f>
        <v>Electronics</v>
      </c>
      <c r="N760" t="str">
        <f>VLOOKUP(D760,tblProduct[],3,FALSE)</f>
        <v>Medium</v>
      </c>
      <c r="O760">
        <f>VLOOKUP(D760,tblProduct[],4,FALSE)</f>
        <v>100000</v>
      </c>
      <c r="P760">
        <v>1874.52</v>
      </c>
      <c r="Q760" s="19" t="str">
        <f t="shared" si="11"/>
        <v>Mar-2023</v>
      </c>
      <c r="R760" s="26">
        <f>DATE(YEAR(tblEnriched[[#This Row],[Date]]),MONTH(tblEnriched[[#This Row],[Date]]),1)</f>
        <v>44986</v>
      </c>
    </row>
    <row r="761" spans="1:18">
      <c r="A761" t="s">
        <v>2819</v>
      </c>
      <c r="B761" s="10">
        <v>45131</v>
      </c>
      <c r="C761" t="s">
        <v>2820</v>
      </c>
      <c r="D761" t="s">
        <v>79</v>
      </c>
      <c r="E761">
        <v>3</v>
      </c>
      <c r="F761" s="4">
        <v>308.01</v>
      </c>
      <c r="G761" t="s">
        <v>71</v>
      </c>
      <c r="H761" t="s">
        <v>95</v>
      </c>
      <c r="I761">
        <v>3</v>
      </c>
      <c r="J761" t="s">
        <v>43</v>
      </c>
      <c r="K761" t="s">
        <v>51</v>
      </c>
      <c r="L761" s="4">
        <v>924.03</v>
      </c>
      <c r="M761" t="str">
        <f>VLOOKUP(D761,tblProduct[],2,FALSE)</f>
        <v>Furniture</v>
      </c>
      <c r="N761" t="str">
        <f>VLOOKUP(D761,tblProduct[],3,FALSE)</f>
        <v>High</v>
      </c>
      <c r="O761">
        <f>VLOOKUP(D761,tblProduct[],4,FALSE)</f>
        <v>75000</v>
      </c>
      <c r="P761">
        <v>924.03</v>
      </c>
      <c r="Q761" s="19" t="str">
        <f t="shared" si="11"/>
        <v>Jul-2023</v>
      </c>
      <c r="R761" s="26">
        <f>DATE(YEAR(tblEnriched[[#This Row],[Date]]),MONTH(tblEnriched[[#This Row],[Date]]),1)</f>
        <v>45108</v>
      </c>
    </row>
    <row r="762" spans="1:18">
      <c r="A762" t="s">
        <v>2823</v>
      </c>
      <c r="B762" s="10">
        <v>45706</v>
      </c>
      <c r="C762" t="s">
        <v>2824</v>
      </c>
      <c r="D762" t="s">
        <v>79</v>
      </c>
      <c r="E762">
        <v>1</v>
      </c>
      <c r="F762" s="4">
        <v>39.56</v>
      </c>
      <c r="G762" t="s">
        <v>24</v>
      </c>
      <c r="H762" t="s">
        <v>41</v>
      </c>
      <c r="I762">
        <v>5</v>
      </c>
      <c r="K762" t="s">
        <v>82</v>
      </c>
      <c r="L762" s="4">
        <v>39.56</v>
      </c>
      <c r="M762" t="str">
        <f>VLOOKUP(D762,tblProduct[],2,FALSE)</f>
        <v>Furniture</v>
      </c>
      <c r="N762" t="str">
        <f>VLOOKUP(D762,tblProduct[],3,FALSE)</f>
        <v>High</v>
      </c>
      <c r="O762">
        <f>VLOOKUP(D762,tblProduct[],4,FALSE)</f>
        <v>75000</v>
      </c>
      <c r="P762">
        <v>39.56</v>
      </c>
      <c r="Q762" s="19" t="str">
        <f t="shared" si="11"/>
        <v>Feb-2025</v>
      </c>
      <c r="R762" s="26">
        <f>DATE(YEAR(tblEnriched[[#This Row],[Date]]),MONTH(tblEnriched[[#This Row],[Date]]),1)</f>
        <v>45689</v>
      </c>
    </row>
    <row r="763" spans="1:18">
      <c r="A763" t="s">
        <v>2826</v>
      </c>
      <c r="B763" s="10">
        <v>45079</v>
      </c>
      <c r="C763" t="s">
        <v>2827</v>
      </c>
      <c r="D763" t="s">
        <v>79</v>
      </c>
      <c r="E763">
        <v>4</v>
      </c>
      <c r="F763" s="4">
        <v>37.76</v>
      </c>
      <c r="G763" t="s">
        <v>24</v>
      </c>
      <c r="H763" t="s">
        <v>56</v>
      </c>
      <c r="I763">
        <v>7</v>
      </c>
      <c r="K763" t="s">
        <v>82</v>
      </c>
      <c r="L763" s="4">
        <v>151.04</v>
      </c>
      <c r="M763" t="str">
        <f>VLOOKUP(D763,tblProduct[],2,FALSE)</f>
        <v>Furniture</v>
      </c>
      <c r="N763" t="str">
        <f>VLOOKUP(D763,tblProduct[],3,FALSE)</f>
        <v>High</v>
      </c>
      <c r="O763">
        <f>VLOOKUP(D763,tblProduct[],4,FALSE)</f>
        <v>75000</v>
      </c>
      <c r="P763">
        <v>151.04</v>
      </c>
      <c r="Q763" s="19" t="str">
        <f t="shared" si="11"/>
        <v>Jun-2023</v>
      </c>
      <c r="R763" s="26">
        <f>DATE(YEAR(tblEnriched[[#This Row],[Date]]),MONTH(tblEnriched[[#This Row],[Date]]),1)</f>
        <v>45078</v>
      </c>
    </row>
    <row r="764" spans="1:18">
      <c r="A764" t="s">
        <v>2830</v>
      </c>
      <c r="B764" s="10">
        <v>45552</v>
      </c>
      <c r="C764" t="s">
        <v>2831</v>
      </c>
      <c r="D764" t="s">
        <v>31</v>
      </c>
      <c r="E764">
        <v>3</v>
      </c>
      <c r="F764" s="4">
        <v>76.959999999999994</v>
      </c>
      <c r="G764" t="s">
        <v>71</v>
      </c>
      <c r="H764" t="s">
        <v>49</v>
      </c>
      <c r="I764">
        <v>8</v>
      </c>
      <c r="J764" t="s">
        <v>43</v>
      </c>
      <c r="K764" t="s">
        <v>44</v>
      </c>
      <c r="L764" s="4">
        <v>230.88</v>
      </c>
      <c r="M764" t="str">
        <f>VLOOKUP(D764,tblProduct[],2,FALSE)</f>
        <v>Electronics</v>
      </c>
      <c r="N764" t="str">
        <f>VLOOKUP(D764,tblProduct[],3,FALSE)</f>
        <v>High</v>
      </c>
      <c r="O764">
        <f>VLOOKUP(D764,tblProduct[],4,FALSE)</f>
        <v>120000</v>
      </c>
      <c r="P764">
        <v>230.88</v>
      </c>
      <c r="Q764" s="19" t="str">
        <f t="shared" si="11"/>
        <v>Sep-2024</v>
      </c>
      <c r="R764" s="26">
        <f>DATE(YEAR(tblEnriched[[#This Row],[Date]]),MONTH(tblEnriched[[#This Row],[Date]]),1)</f>
        <v>45536</v>
      </c>
    </row>
    <row r="765" spans="1:18">
      <c r="A765" t="s">
        <v>2833</v>
      </c>
      <c r="B765" s="10">
        <v>45022</v>
      </c>
      <c r="C765" t="s">
        <v>2834</v>
      </c>
      <c r="D765" t="s">
        <v>64</v>
      </c>
      <c r="E765">
        <v>1</v>
      </c>
      <c r="F765" s="4">
        <v>569.96</v>
      </c>
      <c r="G765" t="s">
        <v>33</v>
      </c>
      <c r="H765" t="s">
        <v>56</v>
      </c>
      <c r="I765">
        <v>4</v>
      </c>
      <c r="J765" t="s">
        <v>43</v>
      </c>
      <c r="K765" t="s">
        <v>44</v>
      </c>
      <c r="L765" s="4">
        <v>569.96</v>
      </c>
      <c r="M765" t="str">
        <f>VLOOKUP(D765,tblProduct[],2,FALSE)</f>
        <v>Electronics</v>
      </c>
      <c r="N765" t="str">
        <f>VLOOKUP(D765,tblProduct[],3,FALSE)</f>
        <v>High</v>
      </c>
      <c r="O765">
        <f>VLOOKUP(D765,tblProduct[],4,FALSE)</f>
        <v>150000</v>
      </c>
      <c r="P765">
        <v>569.96</v>
      </c>
      <c r="Q765" s="19" t="str">
        <f t="shared" si="11"/>
        <v>Apr-2023</v>
      </c>
      <c r="R765" s="26">
        <f>DATE(YEAR(tblEnriched[[#This Row],[Date]]),MONTH(tblEnriched[[#This Row],[Date]]),1)</f>
        <v>45017</v>
      </c>
    </row>
    <row r="766" spans="1:18">
      <c r="A766" t="s">
        <v>2836</v>
      </c>
      <c r="B766" s="10">
        <v>45361</v>
      </c>
      <c r="C766" t="s">
        <v>2837</v>
      </c>
      <c r="D766" t="s">
        <v>64</v>
      </c>
      <c r="E766">
        <v>5</v>
      </c>
      <c r="F766" s="4">
        <v>627.42999999999995</v>
      </c>
      <c r="G766" t="s">
        <v>40</v>
      </c>
      <c r="H766" t="s">
        <v>41</v>
      </c>
      <c r="I766">
        <v>10</v>
      </c>
      <c r="J766" t="s">
        <v>43</v>
      </c>
      <c r="K766" t="s">
        <v>44</v>
      </c>
      <c r="L766" s="4">
        <v>3137.15</v>
      </c>
      <c r="M766" t="str">
        <f>VLOOKUP(D766,tblProduct[],2,FALSE)</f>
        <v>Electronics</v>
      </c>
      <c r="N766" t="str">
        <f>VLOOKUP(D766,tblProduct[],3,FALSE)</f>
        <v>High</v>
      </c>
      <c r="O766">
        <f>VLOOKUP(D766,tblProduct[],4,FALSE)</f>
        <v>150000</v>
      </c>
      <c r="P766">
        <v>3137.15</v>
      </c>
      <c r="Q766" s="19" t="str">
        <f t="shared" si="11"/>
        <v>Mar-2024</v>
      </c>
      <c r="R766" s="26">
        <f>DATE(YEAR(tblEnriched[[#This Row],[Date]]),MONTH(tblEnriched[[#This Row],[Date]]),1)</f>
        <v>45352</v>
      </c>
    </row>
    <row r="767" spans="1:18">
      <c r="A767" t="s">
        <v>2839</v>
      </c>
      <c r="B767" s="10">
        <v>45205</v>
      </c>
      <c r="C767" t="s">
        <v>2840</v>
      </c>
      <c r="D767" t="s">
        <v>64</v>
      </c>
      <c r="E767">
        <v>2</v>
      </c>
      <c r="F767" s="4">
        <v>534.91</v>
      </c>
      <c r="G767" t="s">
        <v>24</v>
      </c>
      <c r="H767" t="s">
        <v>49</v>
      </c>
      <c r="I767">
        <v>5</v>
      </c>
      <c r="J767" t="s">
        <v>27</v>
      </c>
      <c r="K767" t="s">
        <v>82</v>
      </c>
      <c r="L767" s="4">
        <v>1069.82</v>
      </c>
      <c r="M767" t="str">
        <f>VLOOKUP(D767,tblProduct[],2,FALSE)</f>
        <v>Electronics</v>
      </c>
      <c r="N767" t="str">
        <f>VLOOKUP(D767,tblProduct[],3,FALSE)</f>
        <v>High</v>
      </c>
      <c r="O767">
        <f>VLOOKUP(D767,tblProduct[],4,FALSE)</f>
        <v>150000</v>
      </c>
      <c r="P767">
        <v>1069.82</v>
      </c>
      <c r="Q767" s="19" t="str">
        <f t="shared" si="11"/>
        <v>Oct-2023</v>
      </c>
      <c r="R767" s="26">
        <f>DATE(YEAR(tblEnriched[[#This Row],[Date]]),MONTH(tblEnriched[[#This Row],[Date]]),1)</f>
        <v>45200</v>
      </c>
    </row>
    <row r="768" spans="1:18">
      <c r="A768" t="s">
        <v>2842</v>
      </c>
      <c r="B768" s="10">
        <v>44948</v>
      </c>
      <c r="C768" t="s">
        <v>2843</v>
      </c>
      <c r="D768" t="s">
        <v>54</v>
      </c>
      <c r="E768">
        <v>2</v>
      </c>
      <c r="F768" s="4">
        <v>278.88</v>
      </c>
      <c r="G768" t="s">
        <v>24</v>
      </c>
      <c r="H768" t="s">
        <v>95</v>
      </c>
      <c r="I768">
        <v>3</v>
      </c>
      <c r="J768" t="s">
        <v>43</v>
      </c>
      <c r="K768" t="s">
        <v>35</v>
      </c>
      <c r="L768" s="4">
        <v>557.76</v>
      </c>
      <c r="M768" t="str">
        <f>VLOOKUP(D768,tblProduct[],2,FALSE)</f>
        <v>Electronics</v>
      </c>
      <c r="N768" t="str">
        <f>VLOOKUP(D768,tblProduct[],3,FALSE)</f>
        <v>Medium</v>
      </c>
      <c r="O768">
        <f>VLOOKUP(D768,tblProduct[],4,FALSE)</f>
        <v>80000</v>
      </c>
      <c r="P768">
        <v>557.76</v>
      </c>
      <c r="Q768" s="19" t="str">
        <f t="shared" si="11"/>
        <v>Jan-2023</v>
      </c>
      <c r="R768" s="26">
        <f>DATE(YEAR(tblEnriched[[#This Row],[Date]]),MONTH(tblEnriched[[#This Row],[Date]]),1)</f>
        <v>44927</v>
      </c>
    </row>
    <row r="769" spans="1:18">
      <c r="A769" t="s">
        <v>2845</v>
      </c>
      <c r="B769" s="10">
        <v>45765</v>
      </c>
      <c r="C769" t="s">
        <v>2846</v>
      </c>
      <c r="D769" t="s">
        <v>38</v>
      </c>
      <c r="E769">
        <v>2</v>
      </c>
      <c r="F769" s="4">
        <v>323.22000000000003</v>
      </c>
      <c r="G769" t="s">
        <v>40</v>
      </c>
      <c r="H769" t="s">
        <v>56</v>
      </c>
      <c r="I769">
        <v>7</v>
      </c>
      <c r="K769" t="s">
        <v>28</v>
      </c>
      <c r="L769" s="4">
        <v>646.44000000000005</v>
      </c>
      <c r="M769" t="str">
        <f>VLOOKUP(D769,tblProduct[],2,FALSE)</f>
        <v>Electronics</v>
      </c>
      <c r="N769" t="str">
        <f>VLOOKUP(D769,tblProduct[],3,FALSE)</f>
        <v>Medium</v>
      </c>
      <c r="O769">
        <f>VLOOKUP(D769,tblProduct[],4,FALSE)</f>
        <v>100000</v>
      </c>
      <c r="P769">
        <v>646.44000000000005</v>
      </c>
      <c r="Q769" s="19" t="str">
        <f t="shared" si="11"/>
        <v>Apr-2025</v>
      </c>
      <c r="R769" s="26">
        <f>DATE(YEAR(tblEnriched[[#This Row],[Date]]),MONTH(tblEnriched[[#This Row],[Date]]),1)</f>
        <v>45748</v>
      </c>
    </row>
    <row r="770" spans="1:18">
      <c r="A770" t="s">
        <v>2849</v>
      </c>
      <c r="B770" s="10">
        <v>45173</v>
      </c>
      <c r="C770" t="s">
        <v>2850</v>
      </c>
      <c r="D770" t="s">
        <v>38</v>
      </c>
      <c r="E770">
        <v>5</v>
      </c>
      <c r="F770" s="4">
        <v>653.46</v>
      </c>
      <c r="G770" t="s">
        <v>71</v>
      </c>
      <c r="H770" t="s">
        <v>41</v>
      </c>
      <c r="I770">
        <v>9</v>
      </c>
      <c r="J770" t="s">
        <v>87</v>
      </c>
      <c r="K770" t="s">
        <v>44</v>
      </c>
      <c r="L770" s="4">
        <v>3267.3</v>
      </c>
      <c r="M770" t="str">
        <f>VLOOKUP(D770,tblProduct[],2,FALSE)</f>
        <v>Electronics</v>
      </c>
      <c r="N770" t="str">
        <f>VLOOKUP(D770,tblProduct[],3,FALSE)</f>
        <v>Medium</v>
      </c>
      <c r="O770">
        <f>VLOOKUP(D770,tblProduct[],4,FALSE)</f>
        <v>100000</v>
      </c>
      <c r="P770">
        <v>3267.3</v>
      </c>
      <c r="Q770" s="19" t="str">
        <f t="shared" ref="Q770:Q833" si="12">TEXT(B770,"mmm-yyyy")</f>
        <v>Sep-2023</v>
      </c>
      <c r="R770" s="26">
        <f>DATE(YEAR(tblEnriched[[#This Row],[Date]]),MONTH(tblEnriched[[#This Row],[Date]]),1)</f>
        <v>45170</v>
      </c>
    </row>
    <row r="771" spans="1:18">
      <c r="A771" t="s">
        <v>2853</v>
      </c>
      <c r="B771" s="10">
        <v>45113</v>
      </c>
      <c r="C771" t="s">
        <v>2854</v>
      </c>
      <c r="D771" t="s">
        <v>54</v>
      </c>
      <c r="E771">
        <v>4</v>
      </c>
      <c r="F771" s="4">
        <v>678.55</v>
      </c>
      <c r="G771" t="s">
        <v>71</v>
      </c>
      <c r="H771" t="s">
        <v>56</v>
      </c>
      <c r="I771">
        <v>5</v>
      </c>
      <c r="K771" t="s">
        <v>44</v>
      </c>
      <c r="L771" s="4">
        <v>2714.2</v>
      </c>
      <c r="M771" t="str">
        <f>VLOOKUP(D771,tblProduct[],2,FALSE)</f>
        <v>Electronics</v>
      </c>
      <c r="N771" t="str">
        <f>VLOOKUP(D771,tblProduct[],3,FALSE)</f>
        <v>Medium</v>
      </c>
      <c r="O771">
        <f>VLOOKUP(D771,tblProduct[],4,FALSE)</f>
        <v>80000</v>
      </c>
      <c r="P771">
        <v>2714.2</v>
      </c>
      <c r="Q771" s="19" t="str">
        <f t="shared" si="12"/>
        <v>Jul-2023</v>
      </c>
      <c r="R771" s="26">
        <f>DATE(YEAR(tblEnriched[[#This Row],[Date]]),MONTH(tblEnriched[[#This Row],[Date]]),1)</f>
        <v>45108</v>
      </c>
    </row>
    <row r="772" spans="1:18">
      <c r="A772" t="s">
        <v>2856</v>
      </c>
      <c r="B772" s="10">
        <v>45333</v>
      </c>
      <c r="C772" t="s">
        <v>2857</v>
      </c>
      <c r="D772" t="s">
        <v>79</v>
      </c>
      <c r="E772">
        <v>1</v>
      </c>
      <c r="F772" s="4">
        <v>314.38</v>
      </c>
      <c r="G772" t="s">
        <v>33</v>
      </c>
      <c r="H772" t="s">
        <v>49</v>
      </c>
      <c r="I772">
        <v>6</v>
      </c>
      <c r="K772" t="s">
        <v>82</v>
      </c>
      <c r="L772" s="4">
        <v>314.38</v>
      </c>
      <c r="M772" t="str">
        <f>VLOOKUP(D772,tblProduct[],2,FALSE)</f>
        <v>Furniture</v>
      </c>
      <c r="N772" t="str">
        <f>VLOOKUP(D772,tblProduct[],3,FALSE)</f>
        <v>High</v>
      </c>
      <c r="O772">
        <f>VLOOKUP(D772,tblProduct[],4,FALSE)</f>
        <v>75000</v>
      </c>
      <c r="P772">
        <v>314.38</v>
      </c>
      <c r="Q772" s="19" t="str">
        <f t="shared" si="12"/>
        <v>Feb-2024</v>
      </c>
      <c r="R772" s="26">
        <f>DATE(YEAR(tblEnriched[[#This Row],[Date]]),MONTH(tblEnriched[[#This Row],[Date]]),1)</f>
        <v>45323</v>
      </c>
    </row>
    <row r="773" spans="1:18">
      <c r="A773" t="s">
        <v>2859</v>
      </c>
      <c r="B773" s="10">
        <v>45455</v>
      </c>
      <c r="C773" t="s">
        <v>2860</v>
      </c>
      <c r="D773" t="s">
        <v>31</v>
      </c>
      <c r="E773">
        <v>3</v>
      </c>
      <c r="F773" s="4">
        <v>692.44</v>
      </c>
      <c r="G773" t="s">
        <v>24</v>
      </c>
      <c r="H773" t="s">
        <v>41</v>
      </c>
      <c r="I773">
        <v>8</v>
      </c>
      <c r="J773" t="s">
        <v>43</v>
      </c>
      <c r="K773" t="s">
        <v>82</v>
      </c>
      <c r="L773" s="4">
        <v>2077.3200000000002</v>
      </c>
      <c r="M773" t="str">
        <f>VLOOKUP(D773,tblProduct[],2,FALSE)</f>
        <v>Electronics</v>
      </c>
      <c r="N773" t="str">
        <f>VLOOKUP(D773,tblProduct[],3,FALSE)</f>
        <v>High</v>
      </c>
      <c r="O773">
        <f>VLOOKUP(D773,tblProduct[],4,FALSE)</f>
        <v>120000</v>
      </c>
      <c r="P773">
        <v>2077.3200000000002</v>
      </c>
      <c r="Q773" s="19" t="str">
        <f t="shared" si="12"/>
        <v>Jun-2024</v>
      </c>
      <c r="R773" s="26">
        <f>DATE(YEAR(tblEnriched[[#This Row],[Date]]),MONTH(tblEnriched[[#This Row],[Date]]),1)</f>
        <v>45444</v>
      </c>
    </row>
    <row r="774" spans="1:18">
      <c r="A774" t="s">
        <v>2862</v>
      </c>
      <c r="B774" s="10">
        <v>45501</v>
      </c>
      <c r="C774" t="s">
        <v>2863</v>
      </c>
      <c r="D774" t="s">
        <v>22</v>
      </c>
      <c r="E774">
        <v>1</v>
      </c>
      <c r="F774" s="4">
        <v>604.87</v>
      </c>
      <c r="G774" t="s">
        <v>33</v>
      </c>
      <c r="H774" t="s">
        <v>56</v>
      </c>
      <c r="I774">
        <v>4</v>
      </c>
      <c r="K774" t="s">
        <v>28</v>
      </c>
      <c r="L774" s="4">
        <v>604.87</v>
      </c>
      <c r="M774" t="str">
        <f>VLOOKUP(D774,tblProduct[],2,FALSE)</f>
        <v>Electronics</v>
      </c>
      <c r="N774" t="str">
        <f>VLOOKUP(D774,tblProduct[],3,FALSE)</f>
        <v>Medium</v>
      </c>
      <c r="O774">
        <f>VLOOKUP(D774,tblProduct[],4,FALSE)</f>
        <v>90000</v>
      </c>
      <c r="P774">
        <v>604.87</v>
      </c>
      <c r="Q774" s="19" t="str">
        <f t="shared" si="12"/>
        <v>Jul-2024</v>
      </c>
      <c r="R774" s="26">
        <f>DATE(YEAR(tblEnriched[[#This Row],[Date]]),MONTH(tblEnriched[[#This Row],[Date]]),1)</f>
        <v>45474</v>
      </c>
    </row>
    <row r="775" spans="1:18">
      <c r="A775" t="s">
        <v>2866</v>
      </c>
      <c r="B775" s="10">
        <v>45836</v>
      </c>
      <c r="C775" t="s">
        <v>2867</v>
      </c>
      <c r="D775" t="s">
        <v>31</v>
      </c>
      <c r="E775">
        <v>2</v>
      </c>
      <c r="F775" s="4">
        <v>512.33000000000004</v>
      </c>
      <c r="G775" t="s">
        <v>71</v>
      </c>
      <c r="H775" t="s">
        <v>41</v>
      </c>
      <c r="I775">
        <v>7</v>
      </c>
      <c r="K775" t="s">
        <v>51</v>
      </c>
      <c r="L775" s="4">
        <v>1024.6600000000001</v>
      </c>
      <c r="M775" t="str">
        <f>VLOOKUP(D775,tblProduct[],2,FALSE)</f>
        <v>Electronics</v>
      </c>
      <c r="N775" t="str">
        <f>VLOOKUP(D775,tblProduct[],3,FALSE)</f>
        <v>High</v>
      </c>
      <c r="O775">
        <f>VLOOKUP(D775,tblProduct[],4,FALSE)</f>
        <v>120000</v>
      </c>
      <c r="P775">
        <v>1024.6600000000001</v>
      </c>
      <c r="Q775" s="19" t="str">
        <f t="shared" si="12"/>
        <v>Jun-2025</v>
      </c>
      <c r="R775" s="26">
        <f>DATE(YEAR(tblEnriched[[#This Row],[Date]]),MONTH(tblEnriched[[#This Row],[Date]]),1)</f>
        <v>45809</v>
      </c>
    </row>
    <row r="776" spans="1:18">
      <c r="A776" t="s">
        <v>2870</v>
      </c>
      <c r="B776" s="10">
        <v>45762</v>
      </c>
      <c r="C776" t="s">
        <v>2871</v>
      </c>
      <c r="D776" t="s">
        <v>47</v>
      </c>
      <c r="E776">
        <v>3</v>
      </c>
      <c r="F776" s="4">
        <v>20.54</v>
      </c>
      <c r="G776" t="s">
        <v>40</v>
      </c>
      <c r="H776" t="s">
        <v>41</v>
      </c>
      <c r="I776">
        <v>3</v>
      </c>
      <c r="J776" t="s">
        <v>43</v>
      </c>
      <c r="K776" t="s">
        <v>28</v>
      </c>
      <c r="L776" s="4">
        <v>61.62</v>
      </c>
      <c r="M776" t="str">
        <f>VLOOKUP(D776,tblProduct[],2,FALSE)</f>
        <v>Furniture</v>
      </c>
      <c r="N776" t="str">
        <f>VLOOKUP(D776,tblProduct[],3,FALSE)</f>
        <v>Medium</v>
      </c>
      <c r="O776">
        <f>VLOOKUP(D776,tblProduct[],4,FALSE)</f>
        <v>70000</v>
      </c>
      <c r="P776">
        <v>61.62</v>
      </c>
      <c r="Q776" s="19" t="str">
        <f t="shared" si="12"/>
        <v>Apr-2025</v>
      </c>
      <c r="R776" s="26">
        <f>DATE(YEAR(tblEnriched[[#This Row],[Date]]),MONTH(tblEnriched[[#This Row],[Date]]),1)</f>
        <v>45748</v>
      </c>
    </row>
    <row r="777" spans="1:18">
      <c r="A777" t="s">
        <v>2874</v>
      </c>
      <c r="B777" s="10">
        <v>44989</v>
      </c>
      <c r="C777" t="s">
        <v>2875</v>
      </c>
      <c r="D777" t="s">
        <v>31</v>
      </c>
      <c r="E777">
        <v>2</v>
      </c>
      <c r="F777" s="4">
        <v>625.22</v>
      </c>
      <c r="G777" t="s">
        <v>33</v>
      </c>
      <c r="H777" t="s">
        <v>41</v>
      </c>
      <c r="I777">
        <v>5</v>
      </c>
      <c r="K777" t="s">
        <v>82</v>
      </c>
      <c r="L777" s="4">
        <v>1250.44</v>
      </c>
      <c r="M777" t="str">
        <f>VLOOKUP(D777,tblProduct[],2,FALSE)</f>
        <v>Electronics</v>
      </c>
      <c r="N777" t="str">
        <f>VLOOKUP(D777,tblProduct[],3,FALSE)</f>
        <v>High</v>
      </c>
      <c r="O777">
        <f>VLOOKUP(D777,tblProduct[],4,FALSE)</f>
        <v>120000</v>
      </c>
      <c r="P777">
        <v>1250.44</v>
      </c>
      <c r="Q777" s="19" t="str">
        <f t="shared" si="12"/>
        <v>Mar-2023</v>
      </c>
      <c r="R777" s="26">
        <f>DATE(YEAR(tblEnriched[[#This Row],[Date]]),MONTH(tblEnriched[[#This Row],[Date]]),1)</f>
        <v>44986</v>
      </c>
    </row>
    <row r="778" spans="1:18">
      <c r="A778" t="s">
        <v>2877</v>
      </c>
      <c r="B778" s="10">
        <v>45159</v>
      </c>
      <c r="C778" t="s">
        <v>2878</v>
      </c>
      <c r="D778" t="s">
        <v>38</v>
      </c>
      <c r="E778">
        <v>1</v>
      </c>
      <c r="F778" s="4">
        <v>21.19</v>
      </c>
      <c r="G778" t="s">
        <v>71</v>
      </c>
      <c r="H778" t="s">
        <v>49</v>
      </c>
      <c r="I778">
        <v>5</v>
      </c>
      <c r="J778" t="s">
        <v>87</v>
      </c>
      <c r="K778" t="s">
        <v>82</v>
      </c>
      <c r="L778" s="4">
        <v>21.19</v>
      </c>
      <c r="M778" t="str">
        <f>VLOOKUP(D778,tblProduct[],2,FALSE)</f>
        <v>Electronics</v>
      </c>
      <c r="N778" t="str">
        <f>VLOOKUP(D778,tblProduct[],3,FALSE)</f>
        <v>Medium</v>
      </c>
      <c r="O778">
        <f>VLOOKUP(D778,tblProduct[],4,FALSE)</f>
        <v>100000</v>
      </c>
      <c r="P778">
        <v>21.19</v>
      </c>
      <c r="Q778" s="19" t="str">
        <f t="shared" si="12"/>
        <v>Aug-2023</v>
      </c>
      <c r="R778" s="26">
        <f>DATE(YEAR(tblEnriched[[#This Row],[Date]]),MONTH(tblEnriched[[#This Row],[Date]]),1)</f>
        <v>45139</v>
      </c>
    </row>
    <row r="779" spans="1:18">
      <c r="A779" t="s">
        <v>2881</v>
      </c>
      <c r="B779" s="10">
        <v>45737</v>
      </c>
      <c r="C779" t="s">
        <v>2882</v>
      </c>
      <c r="D779" t="s">
        <v>47</v>
      </c>
      <c r="E779">
        <v>5</v>
      </c>
      <c r="F779" s="4">
        <v>64.489999999999995</v>
      </c>
      <c r="G779" t="s">
        <v>33</v>
      </c>
      <c r="H779" t="s">
        <v>41</v>
      </c>
      <c r="I779">
        <v>7</v>
      </c>
      <c r="K779" t="s">
        <v>51</v>
      </c>
      <c r="L779" s="4">
        <v>322.45</v>
      </c>
      <c r="M779" t="str">
        <f>VLOOKUP(D779,tblProduct[],2,FALSE)</f>
        <v>Furniture</v>
      </c>
      <c r="N779" t="str">
        <f>VLOOKUP(D779,tblProduct[],3,FALSE)</f>
        <v>Medium</v>
      </c>
      <c r="O779">
        <f>VLOOKUP(D779,tblProduct[],4,FALSE)</f>
        <v>70000</v>
      </c>
      <c r="P779">
        <v>322.45</v>
      </c>
      <c r="Q779" s="19" t="str">
        <f t="shared" si="12"/>
        <v>Mar-2025</v>
      </c>
      <c r="R779" s="26">
        <f>DATE(YEAR(tblEnriched[[#This Row],[Date]]),MONTH(tblEnriched[[#This Row],[Date]]),1)</f>
        <v>45717</v>
      </c>
    </row>
    <row r="780" spans="1:18">
      <c r="A780" t="s">
        <v>2884</v>
      </c>
      <c r="B780" s="10">
        <v>45044</v>
      </c>
      <c r="C780" t="s">
        <v>2885</v>
      </c>
      <c r="D780" t="s">
        <v>64</v>
      </c>
      <c r="E780">
        <v>4</v>
      </c>
      <c r="F780" s="4">
        <v>246.85</v>
      </c>
      <c r="G780" t="s">
        <v>40</v>
      </c>
      <c r="H780" t="s">
        <v>25</v>
      </c>
      <c r="I780">
        <v>8</v>
      </c>
      <c r="J780" t="s">
        <v>87</v>
      </c>
      <c r="K780" t="s">
        <v>82</v>
      </c>
      <c r="L780" s="4">
        <v>987.4</v>
      </c>
      <c r="M780" t="str">
        <f>VLOOKUP(D780,tblProduct[],2,FALSE)</f>
        <v>Electronics</v>
      </c>
      <c r="N780" t="str">
        <f>VLOOKUP(D780,tblProduct[],3,FALSE)</f>
        <v>High</v>
      </c>
      <c r="O780">
        <f>VLOOKUP(D780,tblProduct[],4,FALSE)</f>
        <v>150000</v>
      </c>
      <c r="P780">
        <v>987.4</v>
      </c>
      <c r="Q780" s="19" t="str">
        <f t="shared" si="12"/>
        <v>Apr-2023</v>
      </c>
      <c r="R780" s="26">
        <f>DATE(YEAR(tblEnriched[[#This Row],[Date]]),MONTH(tblEnriched[[#This Row],[Date]]),1)</f>
        <v>45017</v>
      </c>
    </row>
    <row r="781" spans="1:18">
      <c r="A781" t="s">
        <v>2888</v>
      </c>
      <c r="B781" s="10">
        <v>45261</v>
      </c>
      <c r="C781" t="s">
        <v>2889</v>
      </c>
      <c r="D781" t="s">
        <v>31</v>
      </c>
      <c r="E781">
        <v>3</v>
      </c>
      <c r="F781" s="4">
        <v>588.74</v>
      </c>
      <c r="G781" t="s">
        <v>24</v>
      </c>
      <c r="H781" t="s">
        <v>95</v>
      </c>
      <c r="I781">
        <v>8</v>
      </c>
      <c r="J781" t="s">
        <v>43</v>
      </c>
      <c r="K781" t="s">
        <v>44</v>
      </c>
      <c r="L781" s="4">
        <v>1766.22</v>
      </c>
      <c r="M781" t="str">
        <f>VLOOKUP(D781,tblProduct[],2,FALSE)</f>
        <v>Electronics</v>
      </c>
      <c r="N781" t="str">
        <f>VLOOKUP(D781,tblProduct[],3,FALSE)</f>
        <v>High</v>
      </c>
      <c r="O781">
        <f>VLOOKUP(D781,tblProduct[],4,FALSE)</f>
        <v>120000</v>
      </c>
      <c r="P781">
        <v>1766.22</v>
      </c>
      <c r="Q781" s="19" t="str">
        <f t="shared" si="12"/>
        <v>Dec-2023</v>
      </c>
      <c r="R781" s="26">
        <f>DATE(YEAR(tblEnriched[[#This Row],[Date]]),MONTH(tblEnriched[[#This Row],[Date]]),1)</f>
        <v>45261</v>
      </c>
    </row>
    <row r="782" spans="1:18">
      <c r="A782" t="s">
        <v>2892</v>
      </c>
      <c r="B782" s="10">
        <v>45382</v>
      </c>
      <c r="C782" t="s">
        <v>2893</v>
      </c>
      <c r="D782" t="s">
        <v>64</v>
      </c>
      <c r="E782">
        <v>4</v>
      </c>
      <c r="F782" s="4">
        <v>184.48</v>
      </c>
      <c r="G782" t="s">
        <v>33</v>
      </c>
      <c r="H782" t="s">
        <v>41</v>
      </c>
      <c r="I782">
        <v>4</v>
      </c>
      <c r="J782" t="s">
        <v>87</v>
      </c>
      <c r="K782" t="s">
        <v>82</v>
      </c>
      <c r="L782" s="4">
        <v>737.92</v>
      </c>
      <c r="M782" t="str">
        <f>VLOOKUP(D782,tblProduct[],2,FALSE)</f>
        <v>Electronics</v>
      </c>
      <c r="N782" t="str">
        <f>VLOOKUP(D782,tblProduct[],3,FALSE)</f>
        <v>High</v>
      </c>
      <c r="O782">
        <f>VLOOKUP(D782,tblProduct[],4,FALSE)</f>
        <v>150000</v>
      </c>
      <c r="P782">
        <v>737.92</v>
      </c>
      <c r="Q782" s="19" t="str">
        <f t="shared" si="12"/>
        <v>Mar-2024</v>
      </c>
      <c r="R782" s="26">
        <f>DATE(YEAR(tblEnriched[[#This Row],[Date]]),MONTH(tblEnriched[[#This Row],[Date]]),1)</f>
        <v>45352</v>
      </c>
    </row>
    <row r="783" spans="1:18">
      <c r="A783" t="s">
        <v>2895</v>
      </c>
      <c r="B783" s="10">
        <v>45301</v>
      </c>
      <c r="C783" t="s">
        <v>2896</v>
      </c>
      <c r="D783" t="s">
        <v>31</v>
      </c>
      <c r="E783">
        <v>5</v>
      </c>
      <c r="F783" s="4">
        <v>524.26</v>
      </c>
      <c r="G783" t="s">
        <v>66</v>
      </c>
      <c r="H783" t="s">
        <v>56</v>
      </c>
      <c r="I783">
        <v>5</v>
      </c>
      <c r="J783" t="s">
        <v>43</v>
      </c>
      <c r="K783" t="s">
        <v>35</v>
      </c>
      <c r="L783" s="4">
        <v>2621.3000000000002</v>
      </c>
      <c r="M783" t="str">
        <f>VLOOKUP(D783,tblProduct[],2,FALSE)</f>
        <v>Electronics</v>
      </c>
      <c r="N783" t="str">
        <f>VLOOKUP(D783,tblProduct[],3,FALSE)</f>
        <v>High</v>
      </c>
      <c r="O783">
        <f>VLOOKUP(D783,tblProduct[],4,FALSE)</f>
        <v>120000</v>
      </c>
      <c r="P783">
        <v>2621.3000000000002</v>
      </c>
      <c r="Q783" s="19" t="str">
        <f t="shared" si="12"/>
        <v>Jan-2024</v>
      </c>
      <c r="R783" s="26">
        <f>DATE(YEAR(tblEnriched[[#This Row],[Date]]),MONTH(tblEnriched[[#This Row],[Date]]),1)</f>
        <v>45292</v>
      </c>
    </row>
    <row r="784" spans="1:18">
      <c r="A784" t="s">
        <v>2898</v>
      </c>
      <c r="B784" s="10">
        <v>45515</v>
      </c>
      <c r="C784" t="s">
        <v>2899</v>
      </c>
      <c r="D784" t="s">
        <v>22</v>
      </c>
      <c r="E784">
        <v>2</v>
      </c>
      <c r="F784" s="4">
        <v>493.63</v>
      </c>
      <c r="G784" t="s">
        <v>33</v>
      </c>
      <c r="H784" t="s">
        <v>49</v>
      </c>
      <c r="I784">
        <v>6</v>
      </c>
      <c r="J784" t="s">
        <v>27</v>
      </c>
      <c r="K784" t="s">
        <v>35</v>
      </c>
      <c r="L784" s="4">
        <v>987.26</v>
      </c>
      <c r="M784" t="str">
        <f>VLOOKUP(D784,tblProduct[],2,FALSE)</f>
        <v>Electronics</v>
      </c>
      <c r="N784" t="str">
        <f>VLOOKUP(D784,tblProduct[],3,FALSE)</f>
        <v>Medium</v>
      </c>
      <c r="O784">
        <f>VLOOKUP(D784,tblProduct[],4,FALSE)</f>
        <v>90000</v>
      </c>
      <c r="P784">
        <v>987.26</v>
      </c>
      <c r="Q784" s="19" t="str">
        <f t="shared" si="12"/>
        <v>Aug-2024</v>
      </c>
      <c r="R784" s="26">
        <f>DATE(YEAR(tblEnriched[[#This Row],[Date]]),MONTH(tblEnriched[[#This Row],[Date]]),1)</f>
        <v>45505</v>
      </c>
    </row>
    <row r="785" spans="1:18">
      <c r="A785" t="s">
        <v>2901</v>
      </c>
      <c r="B785" s="10">
        <v>45803</v>
      </c>
      <c r="C785" t="s">
        <v>2902</v>
      </c>
      <c r="D785" t="s">
        <v>54</v>
      </c>
      <c r="E785">
        <v>1</v>
      </c>
      <c r="F785" s="4">
        <v>438.34</v>
      </c>
      <c r="G785" t="s">
        <v>66</v>
      </c>
      <c r="H785" t="s">
        <v>49</v>
      </c>
      <c r="I785">
        <v>5</v>
      </c>
      <c r="J785" t="s">
        <v>43</v>
      </c>
      <c r="K785" t="s">
        <v>51</v>
      </c>
      <c r="L785" s="4">
        <v>438.34</v>
      </c>
      <c r="M785" t="str">
        <f>VLOOKUP(D785,tblProduct[],2,FALSE)</f>
        <v>Electronics</v>
      </c>
      <c r="N785" t="str">
        <f>VLOOKUP(D785,tblProduct[],3,FALSE)</f>
        <v>Medium</v>
      </c>
      <c r="O785">
        <f>VLOOKUP(D785,tblProduct[],4,FALSE)</f>
        <v>80000</v>
      </c>
      <c r="P785">
        <v>438.34</v>
      </c>
      <c r="Q785" s="19" t="str">
        <f t="shared" si="12"/>
        <v>May-2025</v>
      </c>
      <c r="R785" s="26">
        <f>DATE(YEAR(tblEnriched[[#This Row],[Date]]),MONTH(tblEnriched[[#This Row],[Date]]),1)</f>
        <v>45778</v>
      </c>
    </row>
    <row r="786" spans="1:18">
      <c r="A786" t="s">
        <v>2904</v>
      </c>
      <c r="B786" s="10">
        <v>45793</v>
      </c>
      <c r="C786" t="s">
        <v>2905</v>
      </c>
      <c r="D786" t="s">
        <v>64</v>
      </c>
      <c r="E786">
        <v>1</v>
      </c>
      <c r="F786" s="4">
        <v>325.81</v>
      </c>
      <c r="G786" t="s">
        <v>40</v>
      </c>
      <c r="H786" t="s">
        <v>95</v>
      </c>
      <c r="I786">
        <v>1</v>
      </c>
      <c r="J786" t="s">
        <v>87</v>
      </c>
      <c r="K786" t="s">
        <v>35</v>
      </c>
      <c r="L786" s="4">
        <v>325.81</v>
      </c>
      <c r="M786" t="str">
        <f>VLOOKUP(D786,tblProduct[],2,FALSE)</f>
        <v>Electronics</v>
      </c>
      <c r="N786" t="str">
        <f>VLOOKUP(D786,tblProduct[],3,FALSE)</f>
        <v>High</v>
      </c>
      <c r="O786">
        <f>VLOOKUP(D786,tblProduct[],4,FALSE)</f>
        <v>150000</v>
      </c>
      <c r="P786">
        <v>325.81</v>
      </c>
      <c r="Q786" s="19" t="str">
        <f t="shared" si="12"/>
        <v>May-2025</v>
      </c>
      <c r="R786" s="26">
        <f>DATE(YEAR(tblEnriched[[#This Row],[Date]]),MONTH(tblEnriched[[#This Row],[Date]]),1)</f>
        <v>45778</v>
      </c>
    </row>
    <row r="787" spans="1:18">
      <c r="A787" t="s">
        <v>2907</v>
      </c>
      <c r="B787" s="10">
        <v>45136</v>
      </c>
      <c r="C787" t="s">
        <v>2908</v>
      </c>
      <c r="D787" t="s">
        <v>47</v>
      </c>
      <c r="E787">
        <v>1</v>
      </c>
      <c r="F787" s="4">
        <v>176.1</v>
      </c>
      <c r="G787" t="s">
        <v>40</v>
      </c>
      <c r="H787" t="s">
        <v>95</v>
      </c>
      <c r="I787">
        <v>1</v>
      </c>
      <c r="J787" t="s">
        <v>27</v>
      </c>
      <c r="K787" t="s">
        <v>28</v>
      </c>
      <c r="L787" s="4">
        <v>176.1</v>
      </c>
      <c r="M787" t="str">
        <f>VLOOKUP(D787,tblProduct[],2,FALSE)</f>
        <v>Furniture</v>
      </c>
      <c r="N787" t="str">
        <f>VLOOKUP(D787,tblProduct[],3,FALSE)</f>
        <v>Medium</v>
      </c>
      <c r="O787">
        <f>VLOOKUP(D787,tblProduct[],4,FALSE)</f>
        <v>70000</v>
      </c>
      <c r="P787">
        <v>176.1</v>
      </c>
      <c r="Q787" s="19" t="str">
        <f t="shared" si="12"/>
        <v>Jul-2023</v>
      </c>
      <c r="R787" s="26">
        <f>DATE(YEAR(tblEnriched[[#This Row],[Date]]),MONTH(tblEnriched[[#This Row],[Date]]),1)</f>
        <v>45108</v>
      </c>
    </row>
    <row r="788" spans="1:18">
      <c r="A788" t="s">
        <v>2911</v>
      </c>
      <c r="B788" s="10">
        <v>45161</v>
      </c>
      <c r="C788" t="s">
        <v>2912</v>
      </c>
      <c r="D788" t="s">
        <v>47</v>
      </c>
      <c r="E788">
        <v>5</v>
      </c>
      <c r="F788" s="4">
        <v>45.31</v>
      </c>
      <c r="G788" t="s">
        <v>33</v>
      </c>
      <c r="H788" t="s">
        <v>41</v>
      </c>
      <c r="I788">
        <v>8</v>
      </c>
      <c r="K788" t="s">
        <v>35</v>
      </c>
      <c r="L788" s="4">
        <v>226.55</v>
      </c>
      <c r="M788" t="str">
        <f>VLOOKUP(D788,tblProduct[],2,FALSE)</f>
        <v>Furniture</v>
      </c>
      <c r="N788" t="str">
        <f>VLOOKUP(D788,tblProduct[],3,FALSE)</f>
        <v>Medium</v>
      </c>
      <c r="O788">
        <f>VLOOKUP(D788,tblProduct[],4,FALSE)</f>
        <v>70000</v>
      </c>
      <c r="P788">
        <v>226.55</v>
      </c>
      <c r="Q788" s="19" t="str">
        <f t="shared" si="12"/>
        <v>Aug-2023</v>
      </c>
      <c r="R788" s="26">
        <f>DATE(YEAR(tblEnriched[[#This Row],[Date]]),MONTH(tblEnriched[[#This Row],[Date]]),1)</f>
        <v>45139</v>
      </c>
    </row>
    <row r="789" spans="1:18">
      <c r="A789" t="s">
        <v>2915</v>
      </c>
      <c r="B789" s="10">
        <v>45368</v>
      </c>
      <c r="C789" t="s">
        <v>2916</v>
      </c>
      <c r="D789" t="s">
        <v>79</v>
      </c>
      <c r="E789">
        <v>4</v>
      </c>
      <c r="F789" s="4">
        <v>221.96</v>
      </c>
      <c r="G789" t="s">
        <v>71</v>
      </c>
      <c r="H789" t="s">
        <v>56</v>
      </c>
      <c r="I789">
        <v>7</v>
      </c>
      <c r="K789" t="s">
        <v>82</v>
      </c>
      <c r="L789" s="4">
        <v>887.84</v>
      </c>
      <c r="M789" t="str">
        <f>VLOOKUP(D789,tblProduct[],2,FALSE)</f>
        <v>Furniture</v>
      </c>
      <c r="N789" t="str">
        <f>VLOOKUP(D789,tblProduct[],3,FALSE)</f>
        <v>High</v>
      </c>
      <c r="O789">
        <f>VLOOKUP(D789,tblProduct[],4,FALSE)</f>
        <v>75000</v>
      </c>
      <c r="P789">
        <v>887.84</v>
      </c>
      <c r="Q789" s="19" t="str">
        <f t="shared" si="12"/>
        <v>Mar-2024</v>
      </c>
      <c r="R789" s="26">
        <f>DATE(YEAR(tblEnriched[[#This Row],[Date]]),MONTH(tblEnriched[[#This Row],[Date]]),1)</f>
        <v>45352</v>
      </c>
    </row>
    <row r="790" spans="1:18">
      <c r="A790" t="s">
        <v>2919</v>
      </c>
      <c r="B790" s="10">
        <v>45232</v>
      </c>
      <c r="C790" t="s">
        <v>2920</v>
      </c>
      <c r="D790" t="s">
        <v>47</v>
      </c>
      <c r="E790">
        <v>2</v>
      </c>
      <c r="F790" s="4">
        <v>601.42999999999995</v>
      </c>
      <c r="G790" t="s">
        <v>33</v>
      </c>
      <c r="H790" t="s">
        <v>95</v>
      </c>
      <c r="I790">
        <v>5</v>
      </c>
      <c r="J790" t="s">
        <v>43</v>
      </c>
      <c r="K790" t="s">
        <v>28</v>
      </c>
      <c r="L790" s="4">
        <v>1202.8599999999999</v>
      </c>
      <c r="M790" t="str">
        <f>VLOOKUP(D790,tblProduct[],2,FALSE)</f>
        <v>Furniture</v>
      </c>
      <c r="N790" t="str">
        <f>VLOOKUP(D790,tblProduct[],3,FALSE)</f>
        <v>Medium</v>
      </c>
      <c r="O790">
        <f>VLOOKUP(D790,tblProduct[],4,FALSE)</f>
        <v>70000</v>
      </c>
      <c r="P790">
        <v>1202.8599999999999</v>
      </c>
      <c r="Q790" s="19" t="str">
        <f t="shared" si="12"/>
        <v>Nov-2023</v>
      </c>
      <c r="R790" s="26">
        <f>DATE(YEAR(tblEnriched[[#This Row],[Date]]),MONTH(tblEnriched[[#This Row],[Date]]),1)</f>
        <v>45231</v>
      </c>
    </row>
    <row r="791" spans="1:18">
      <c r="A791" t="s">
        <v>2923</v>
      </c>
      <c r="B791" s="10">
        <v>45155</v>
      </c>
      <c r="C791" t="s">
        <v>2924</v>
      </c>
      <c r="D791" t="s">
        <v>38</v>
      </c>
      <c r="E791">
        <v>5</v>
      </c>
      <c r="F791" s="4">
        <v>691.28</v>
      </c>
      <c r="G791" t="s">
        <v>33</v>
      </c>
      <c r="H791" t="s">
        <v>56</v>
      </c>
      <c r="I791">
        <v>10</v>
      </c>
      <c r="J791" t="s">
        <v>27</v>
      </c>
      <c r="K791" t="s">
        <v>44</v>
      </c>
      <c r="L791" s="4">
        <v>3456.4</v>
      </c>
      <c r="M791" t="str">
        <f>VLOOKUP(D791,tblProduct[],2,FALSE)</f>
        <v>Electronics</v>
      </c>
      <c r="N791" t="str">
        <f>VLOOKUP(D791,tblProduct[],3,FALSE)</f>
        <v>Medium</v>
      </c>
      <c r="O791">
        <f>VLOOKUP(D791,tblProduct[],4,FALSE)</f>
        <v>100000</v>
      </c>
      <c r="P791">
        <v>3456.4</v>
      </c>
      <c r="Q791" s="19" t="str">
        <f t="shared" si="12"/>
        <v>Aug-2023</v>
      </c>
      <c r="R791" s="26">
        <f>DATE(YEAR(tblEnriched[[#This Row],[Date]]),MONTH(tblEnriched[[#This Row],[Date]]),1)</f>
        <v>45139</v>
      </c>
    </row>
    <row r="792" spans="1:18">
      <c r="A792" t="s">
        <v>2927</v>
      </c>
      <c r="B792" s="10">
        <v>45549</v>
      </c>
      <c r="C792" t="s">
        <v>2928</v>
      </c>
      <c r="D792" t="s">
        <v>64</v>
      </c>
      <c r="E792">
        <v>4</v>
      </c>
      <c r="F792" s="4">
        <v>417.89</v>
      </c>
      <c r="G792" t="s">
        <v>66</v>
      </c>
      <c r="H792" t="s">
        <v>95</v>
      </c>
      <c r="I792">
        <v>4</v>
      </c>
      <c r="K792" t="s">
        <v>82</v>
      </c>
      <c r="L792" s="4">
        <v>1671.56</v>
      </c>
      <c r="M792" t="str">
        <f>VLOOKUP(D792,tblProduct[],2,FALSE)</f>
        <v>Electronics</v>
      </c>
      <c r="N792" t="str">
        <f>VLOOKUP(D792,tblProduct[],3,FALSE)</f>
        <v>High</v>
      </c>
      <c r="O792">
        <f>VLOOKUP(D792,tblProduct[],4,FALSE)</f>
        <v>150000</v>
      </c>
      <c r="P792">
        <v>1671.56</v>
      </c>
      <c r="Q792" s="19" t="str">
        <f t="shared" si="12"/>
        <v>Sep-2024</v>
      </c>
      <c r="R792" s="26">
        <f>DATE(YEAR(tblEnriched[[#This Row],[Date]]),MONTH(tblEnriched[[#This Row],[Date]]),1)</f>
        <v>45536</v>
      </c>
    </row>
    <row r="793" spans="1:18">
      <c r="A793" t="s">
        <v>2931</v>
      </c>
      <c r="B793" s="10">
        <v>45304</v>
      </c>
      <c r="C793" t="s">
        <v>2932</v>
      </c>
      <c r="D793" t="s">
        <v>47</v>
      </c>
      <c r="E793">
        <v>4</v>
      </c>
      <c r="F793" s="4">
        <v>409.28</v>
      </c>
      <c r="G793" t="s">
        <v>71</v>
      </c>
      <c r="H793" t="s">
        <v>95</v>
      </c>
      <c r="I793">
        <v>8</v>
      </c>
      <c r="K793" t="s">
        <v>44</v>
      </c>
      <c r="L793" s="4">
        <v>1637.12</v>
      </c>
      <c r="M793" t="str">
        <f>VLOOKUP(D793,tblProduct[],2,FALSE)</f>
        <v>Furniture</v>
      </c>
      <c r="N793" t="str">
        <f>VLOOKUP(D793,tblProduct[],3,FALSE)</f>
        <v>Medium</v>
      </c>
      <c r="O793">
        <f>VLOOKUP(D793,tblProduct[],4,FALSE)</f>
        <v>70000</v>
      </c>
      <c r="P793">
        <v>1637.12</v>
      </c>
      <c r="Q793" s="19" t="str">
        <f t="shared" si="12"/>
        <v>Jan-2024</v>
      </c>
      <c r="R793" s="26">
        <f>DATE(YEAR(tblEnriched[[#This Row],[Date]]),MONTH(tblEnriched[[#This Row],[Date]]),1)</f>
        <v>45292</v>
      </c>
    </row>
    <row r="794" spans="1:18">
      <c r="A794" t="s">
        <v>2934</v>
      </c>
      <c r="B794" s="10">
        <v>45093</v>
      </c>
      <c r="C794" t="s">
        <v>2935</v>
      </c>
      <c r="D794" t="s">
        <v>79</v>
      </c>
      <c r="E794">
        <v>2</v>
      </c>
      <c r="F794" s="4">
        <v>356.35</v>
      </c>
      <c r="G794" t="s">
        <v>24</v>
      </c>
      <c r="H794" t="s">
        <v>49</v>
      </c>
      <c r="I794">
        <v>6</v>
      </c>
      <c r="J794" t="s">
        <v>87</v>
      </c>
      <c r="K794" t="s">
        <v>51</v>
      </c>
      <c r="L794" s="4">
        <v>712.7</v>
      </c>
      <c r="M794" t="str">
        <f>VLOOKUP(D794,tblProduct[],2,FALSE)</f>
        <v>Furniture</v>
      </c>
      <c r="N794" t="str">
        <f>VLOOKUP(D794,tblProduct[],3,FALSE)</f>
        <v>High</v>
      </c>
      <c r="O794">
        <f>VLOOKUP(D794,tblProduct[],4,FALSE)</f>
        <v>75000</v>
      </c>
      <c r="P794">
        <v>712.7</v>
      </c>
      <c r="Q794" s="19" t="str">
        <f t="shared" si="12"/>
        <v>Jun-2023</v>
      </c>
      <c r="R794" s="26">
        <f>DATE(YEAR(tblEnriched[[#This Row],[Date]]),MONTH(tblEnriched[[#This Row],[Date]]),1)</f>
        <v>45078</v>
      </c>
    </row>
    <row r="795" spans="1:18">
      <c r="A795" t="s">
        <v>2938</v>
      </c>
      <c r="B795" s="10">
        <v>45397</v>
      </c>
      <c r="C795" t="s">
        <v>2939</v>
      </c>
      <c r="D795" t="s">
        <v>47</v>
      </c>
      <c r="E795">
        <v>5</v>
      </c>
      <c r="F795" s="4">
        <v>170.22</v>
      </c>
      <c r="G795" t="s">
        <v>24</v>
      </c>
      <c r="H795" t="s">
        <v>56</v>
      </c>
      <c r="I795">
        <v>8</v>
      </c>
      <c r="K795" t="s">
        <v>35</v>
      </c>
      <c r="L795" s="4">
        <v>851.1</v>
      </c>
      <c r="M795" t="str">
        <f>VLOOKUP(D795,tblProduct[],2,FALSE)</f>
        <v>Furniture</v>
      </c>
      <c r="N795" t="str">
        <f>VLOOKUP(D795,tblProduct[],3,FALSE)</f>
        <v>Medium</v>
      </c>
      <c r="O795">
        <f>VLOOKUP(D795,tblProduct[],4,FALSE)</f>
        <v>70000</v>
      </c>
      <c r="P795">
        <v>851.1</v>
      </c>
      <c r="Q795" s="19" t="str">
        <f t="shared" si="12"/>
        <v>Apr-2024</v>
      </c>
      <c r="R795" s="26">
        <f>DATE(YEAR(tblEnriched[[#This Row],[Date]]),MONTH(tblEnriched[[#This Row],[Date]]),1)</f>
        <v>45383</v>
      </c>
    </row>
    <row r="796" spans="1:18">
      <c r="A796" t="s">
        <v>2941</v>
      </c>
      <c r="B796" s="10">
        <v>44994</v>
      </c>
      <c r="C796" t="s">
        <v>2942</v>
      </c>
      <c r="D796" t="s">
        <v>54</v>
      </c>
      <c r="E796">
        <v>4</v>
      </c>
      <c r="F796" s="4">
        <v>384.85</v>
      </c>
      <c r="G796" t="s">
        <v>33</v>
      </c>
      <c r="H796" t="s">
        <v>56</v>
      </c>
      <c r="I796">
        <v>9</v>
      </c>
      <c r="J796" t="s">
        <v>43</v>
      </c>
      <c r="K796" t="s">
        <v>28</v>
      </c>
      <c r="L796" s="4">
        <v>1539.4</v>
      </c>
      <c r="M796" t="str">
        <f>VLOOKUP(D796,tblProduct[],2,FALSE)</f>
        <v>Electronics</v>
      </c>
      <c r="N796" t="str">
        <f>VLOOKUP(D796,tblProduct[],3,FALSE)</f>
        <v>Medium</v>
      </c>
      <c r="O796">
        <f>VLOOKUP(D796,tblProduct[],4,FALSE)</f>
        <v>80000</v>
      </c>
      <c r="P796">
        <v>1539.4</v>
      </c>
      <c r="Q796" s="19" t="str">
        <f t="shared" si="12"/>
        <v>Mar-2023</v>
      </c>
      <c r="R796" s="26">
        <f>DATE(YEAR(tblEnriched[[#This Row],[Date]]),MONTH(tblEnriched[[#This Row],[Date]]),1)</f>
        <v>44986</v>
      </c>
    </row>
    <row r="797" spans="1:18">
      <c r="A797" t="s">
        <v>2945</v>
      </c>
      <c r="B797" s="10">
        <v>45616</v>
      </c>
      <c r="C797" t="s">
        <v>2946</v>
      </c>
      <c r="D797" t="s">
        <v>64</v>
      </c>
      <c r="E797">
        <v>4</v>
      </c>
      <c r="F797" s="4">
        <v>115.77</v>
      </c>
      <c r="G797" t="s">
        <v>33</v>
      </c>
      <c r="H797" t="s">
        <v>95</v>
      </c>
      <c r="I797">
        <v>7</v>
      </c>
      <c r="J797" t="s">
        <v>27</v>
      </c>
      <c r="K797" t="s">
        <v>28</v>
      </c>
      <c r="L797" s="4">
        <v>463.08</v>
      </c>
      <c r="M797" t="str">
        <f>VLOOKUP(D797,tblProduct[],2,FALSE)</f>
        <v>Electronics</v>
      </c>
      <c r="N797" t="str">
        <f>VLOOKUP(D797,tblProduct[],3,FALSE)</f>
        <v>High</v>
      </c>
      <c r="O797">
        <f>VLOOKUP(D797,tblProduct[],4,FALSE)</f>
        <v>150000</v>
      </c>
      <c r="P797">
        <v>463.08</v>
      </c>
      <c r="Q797" s="19" t="str">
        <f t="shared" si="12"/>
        <v>Nov-2024</v>
      </c>
      <c r="R797" s="26">
        <f>DATE(YEAR(tblEnriched[[#This Row],[Date]]),MONTH(tblEnriched[[#This Row],[Date]]),1)</f>
        <v>45597</v>
      </c>
    </row>
    <row r="798" spans="1:18">
      <c r="A798" t="s">
        <v>2949</v>
      </c>
      <c r="B798" s="10">
        <v>45776</v>
      </c>
      <c r="C798" t="s">
        <v>2950</v>
      </c>
      <c r="D798" t="s">
        <v>31</v>
      </c>
      <c r="E798">
        <v>3</v>
      </c>
      <c r="F798" s="4">
        <v>579.54999999999995</v>
      </c>
      <c r="G798" t="s">
        <v>66</v>
      </c>
      <c r="H798" t="s">
        <v>49</v>
      </c>
      <c r="I798">
        <v>8</v>
      </c>
      <c r="J798" t="s">
        <v>87</v>
      </c>
      <c r="K798" t="s">
        <v>51</v>
      </c>
      <c r="L798" s="4">
        <v>1738.65</v>
      </c>
      <c r="M798" t="str">
        <f>VLOOKUP(D798,tblProduct[],2,FALSE)</f>
        <v>Electronics</v>
      </c>
      <c r="N798" t="str">
        <f>VLOOKUP(D798,tblProduct[],3,FALSE)</f>
        <v>High</v>
      </c>
      <c r="O798">
        <f>VLOOKUP(D798,tblProduct[],4,FALSE)</f>
        <v>120000</v>
      </c>
      <c r="P798">
        <v>1738.65</v>
      </c>
      <c r="Q798" s="19" t="str">
        <f t="shared" si="12"/>
        <v>Apr-2025</v>
      </c>
      <c r="R798" s="26">
        <f>DATE(YEAR(tblEnriched[[#This Row],[Date]]),MONTH(tblEnriched[[#This Row],[Date]]),1)</f>
        <v>45748</v>
      </c>
    </row>
    <row r="799" spans="1:18">
      <c r="A799" t="s">
        <v>2952</v>
      </c>
      <c r="B799" s="10">
        <v>44984</v>
      </c>
      <c r="C799" t="s">
        <v>2953</v>
      </c>
      <c r="D799" t="s">
        <v>64</v>
      </c>
      <c r="E799">
        <v>2</v>
      </c>
      <c r="F799" s="4">
        <v>438.76</v>
      </c>
      <c r="G799" t="s">
        <v>24</v>
      </c>
      <c r="H799" t="s">
        <v>49</v>
      </c>
      <c r="I799">
        <v>2</v>
      </c>
      <c r="K799" t="s">
        <v>51</v>
      </c>
      <c r="L799" s="4">
        <v>877.52</v>
      </c>
      <c r="M799" t="str">
        <f>VLOOKUP(D799,tblProduct[],2,FALSE)</f>
        <v>Electronics</v>
      </c>
      <c r="N799" t="str">
        <f>VLOOKUP(D799,tblProduct[],3,FALSE)</f>
        <v>High</v>
      </c>
      <c r="O799">
        <f>VLOOKUP(D799,tblProduct[],4,FALSE)</f>
        <v>150000</v>
      </c>
      <c r="P799">
        <v>877.52</v>
      </c>
      <c r="Q799" s="19" t="str">
        <f t="shared" si="12"/>
        <v>Feb-2023</v>
      </c>
      <c r="R799" s="26">
        <f>DATE(YEAR(tblEnriched[[#This Row],[Date]]),MONTH(tblEnriched[[#This Row],[Date]]),1)</f>
        <v>44958</v>
      </c>
    </row>
    <row r="800" spans="1:18">
      <c r="A800" t="s">
        <v>2956</v>
      </c>
      <c r="B800" s="10">
        <v>45796</v>
      </c>
      <c r="C800" t="s">
        <v>2957</v>
      </c>
      <c r="D800" t="s">
        <v>31</v>
      </c>
      <c r="E800">
        <v>5</v>
      </c>
      <c r="F800" s="4">
        <v>488.35</v>
      </c>
      <c r="G800" t="s">
        <v>24</v>
      </c>
      <c r="H800" t="s">
        <v>49</v>
      </c>
      <c r="I800">
        <v>9</v>
      </c>
      <c r="J800" t="s">
        <v>43</v>
      </c>
      <c r="K800" t="s">
        <v>44</v>
      </c>
      <c r="L800" s="4">
        <v>2441.75</v>
      </c>
      <c r="M800" t="str">
        <f>VLOOKUP(D800,tblProduct[],2,FALSE)</f>
        <v>Electronics</v>
      </c>
      <c r="N800" t="str">
        <f>VLOOKUP(D800,tblProduct[],3,FALSE)</f>
        <v>High</v>
      </c>
      <c r="O800">
        <f>VLOOKUP(D800,tblProduct[],4,FALSE)</f>
        <v>120000</v>
      </c>
      <c r="P800">
        <v>2441.75</v>
      </c>
      <c r="Q800" s="19" t="str">
        <f t="shared" si="12"/>
        <v>May-2025</v>
      </c>
      <c r="R800" s="26">
        <f>DATE(YEAR(tblEnriched[[#This Row],[Date]]),MONTH(tblEnriched[[#This Row],[Date]]),1)</f>
        <v>45778</v>
      </c>
    </row>
    <row r="801" spans="1:18">
      <c r="A801" t="s">
        <v>2959</v>
      </c>
      <c r="B801" s="10">
        <v>45032</v>
      </c>
      <c r="C801" t="s">
        <v>2960</v>
      </c>
      <c r="D801" t="s">
        <v>64</v>
      </c>
      <c r="E801">
        <v>4</v>
      </c>
      <c r="F801" s="4">
        <v>328.56</v>
      </c>
      <c r="G801" t="s">
        <v>24</v>
      </c>
      <c r="H801" t="s">
        <v>49</v>
      </c>
      <c r="I801">
        <v>4</v>
      </c>
      <c r="J801" t="s">
        <v>43</v>
      </c>
      <c r="K801" t="s">
        <v>44</v>
      </c>
      <c r="L801" s="4">
        <v>1314.24</v>
      </c>
      <c r="M801" t="str">
        <f>VLOOKUP(D801,tblProduct[],2,FALSE)</f>
        <v>Electronics</v>
      </c>
      <c r="N801" t="str">
        <f>VLOOKUP(D801,tblProduct[],3,FALSE)</f>
        <v>High</v>
      </c>
      <c r="O801">
        <f>VLOOKUP(D801,tblProduct[],4,FALSE)</f>
        <v>150000</v>
      </c>
      <c r="P801">
        <v>1314.24</v>
      </c>
      <c r="Q801" s="19" t="str">
        <f t="shared" si="12"/>
        <v>Apr-2023</v>
      </c>
      <c r="R801" s="26">
        <f>DATE(YEAR(tblEnriched[[#This Row],[Date]]),MONTH(tblEnriched[[#This Row],[Date]]),1)</f>
        <v>45017</v>
      </c>
    </row>
    <row r="802" spans="1:18">
      <c r="A802" t="s">
        <v>2962</v>
      </c>
      <c r="B802" s="10">
        <v>45744</v>
      </c>
      <c r="C802" t="s">
        <v>2963</v>
      </c>
      <c r="D802" t="s">
        <v>38</v>
      </c>
      <c r="E802">
        <v>1</v>
      </c>
      <c r="F802" s="4">
        <v>68.39</v>
      </c>
      <c r="G802" t="s">
        <v>33</v>
      </c>
      <c r="H802" t="s">
        <v>49</v>
      </c>
      <c r="I802">
        <v>3</v>
      </c>
      <c r="J802" t="s">
        <v>87</v>
      </c>
      <c r="K802" t="s">
        <v>51</v>
      </c>
      <c r="L802" s="4">
        <v>68.39</v>
      </c>
      <c r="M802" t="str">
        <f>VLOOKUP(D802,tblProduct[],2,FALSE)</f>
        <v>Electronics</v>
      </c>
      <c r="N802" t="str">
        <f>VLOOKUP(D802,tblProduct[],3,FALSE)</f>
        <v>Medium</v>
      </c>
      <c r="O802">
        <f>VLOOKUP(D802,tblProduct[],4,FALSE)</f>
        <v>100000</v>
      </c>
      <c r="P802">
        <v>68.39</v>
      </c>
      <c r="Q802" s="19" t="str">
        <f t="shared" si="12"/>
        <v>Mar-2025</v>
      </c>
      <c r="R802" s="26">
        <f>DATE(YEAR(tblEnriched[[#This Row],[Date]]),MONTH(tblEnriched[[#This Row],[Date]]),1)</f>
        <v>45717</v>
      </c>
    </row>
    <row r="803" spans="1:18">
      <c r="A803" t="s">
        <v>2966</v>
      </c>
      <c r="B803" s="10">
        <v>45049</v>
      </c>
      <c r="C803" t="s">
        <v>154</v>
      </c>
      <c r="D803" t="s">
        <v>54</v>
      </c>
      <c r="E803">
        <v>4</v>
      </c>
      <c r="F803" s="4">
        <v>595.62</v>
      </c>
      <c r="G803" t="s">
        <v>24</v>
      </c>
      <c r="H803" t="s">
        <v>95</v>
      </c>
      <c r="I803">
        <v>8</v>
      </c>
      <c r="J803" t="s">
        <v>43</v>
      </c>
      <c r="K803" t="s">
        <v>51</v>
      </c>
      <c r="L803" s="4">
        <v>2382.48</v>
      </c>
      <c r="M803" t="str">
        <f>VLOOKUP(D803,tblProduct[],2,FALSE)</f>
        <v>Electronics</v>
      </c>
      <c r="N803" t="str">
        <f>VLOOKUP(D803,tblProduct[],3,FALSE)</f>
        <v>Medium</v>
      </c>
      <c r="O803">
        <f>VLOOKUP(D803,tblProduct[],4,FALSE)</f>
        <v>80000</v>
      </c>
      <c r="P803">
        <v>2382.48</v>
      </c>
      <c r="Q803" s="19" t="str">
        <f t="shared" si="12"/>
        <v>May-2023</v>
      </c>
      <c r="R803" s="26">
        <f>DATE(YEAR(tblEnriched[[#This Row],[Date]]),MONTH(tblEnriched[[#This Row],[Date]]),1)</f>
        <v>45047</v>
      </c>
    </row>
    <row r="804" spans="1:18">
      <c r="A804" t="s">
        <v>2969</v>
      </c>
      <c r="B804" s="10">
        <v>45339</v>
      </c>
      <c r="C804" t="s">
        <v>2970</v>
      </c>
      <c r="D804" t="s">
        <v>47</v>
      </c>
      <c r="E804">
        <v>5</v>
      </c>
      <c r="F804" s="4">
        <v>644.64</v>
      </c>
      <c r="G804" t="s">
        <v>66</v>
      </c>
      <c r="H804" t="s">
        <v>41</v>
      </c>
      <c r="I804">
        <v>6</v>
      </c>
      <c r="J804" t="s">
        <v>43</v>
      </c>
      <c r="K804" t="s">
        <v>44</v>
      </c>
      <c r="L804" s="4">
        <v>3223.2</v>
      </c>
      <c r="M804" t="str">
        <f>VLOOKUP(D804,tblProduct[],2,FALSE)</f>
        <v>Furniture</v>
      </c>
      <c r="N804" t="str">
        <f>VLOOKUP(D804,tblProduct[],3,FALSE)</f>
        <v>Medium</v>
      </c>
      <c r="O804">
        <f>VLOOKUP(D804,tblProduct[],4,FALSE)</f>
        <v>70000</v>
      </c>
      <c r="P804">
        <v>3223.2</v>
      </c>
      <c r="Q804" s="19" t="str">
        <f t="shared" si="12"/>
        <v>Feb-2024</v>
      </c>
      <c r="R804" s="26">
        <f>DATE(YEAR(tblEnriched[[#This Row],[Date]]),MONTH(tblEnriched[[#This Row],[Date]]),1)</f>
        <v>45323</v>
      </c>
    </row>
    <row r="805" spans="1:18">
      <c r="A805" t="s">
        <v>2973</v>
      </c>
      <c r="B805" s="10">
        <v>45158</v>
      </c>
      <c r="C805" t="s">
        <v>2974</v>
      </c>
      <c r="D805" t="s">
        <v>22</v>
      </c>
      <c r="E805">
        <v>5</v>
      </c>
      <c r="F805" s="4">
        <v>397.81</v>
      </c>
      <c r="G805" t="s">
        <v>24</v>
      </c>
      <c r="H805" t="s">
        <v>49</v>
      </c>
      <c r="I805">
        <v>5</v>
      </c>
      <c r="J805" t="s">
        <v>27</v>
      </c>
      <c r="K805" t="s">
        <v>35</v>
      </c>
      <c r="L805" s="4">
        <v>1989.05</v>
      </c>
      <c r="M805" t="str">
        <f>VLOOKUP(D805,tblProduct[],2,FALSE)</f>
        <v>Electronics</v>
      </c>
      <c r="N805" t="str">
        <f>VLOOKUP(D805,tblProduct[],3,FALSE)</f>
        <v>Medium</v>
      </c>
      <c r="O805">
        <f>VLOOKUP(D805,tblProduct[],4,FALSE)</f>
        <v>90000</v>
      </c>
      <c r="P805">
        <v>1989.05</v>
      </c>
      <c r="Q805" s="19" t="str">
        <f t="shared" si="12"/>
        <v>Aug-2023</v>
      </c>
      <c r="R805" s="26">
        <f>DATE(YEAR(tblEnriched[[#This Row],[Date]]),MONTH(tblEnriched[[#This Row],[Date]]),1)</f>
        <v>45139</v>
      </c>
    </row>
    <row r="806" spans="1:18">
      <c r="A806" t="s">
        <v>2976</v>
      </c>
      <c r="B806" s="10">
        <v>45292</v>
      </c>
      <c r="C806" t="s">
        <v>2977</v>
      </c>
      <c r="D806" t="s">
        <v>47</v>
      </c>
      <c r="E806">
        <v>3</v>
      </c>
      <c r="F806" s="4">
        <v>236.5</v>
      </c>
      <c r="G806" t="s">
        <v>33</v>
      </c>
      <c r="H806" t="s">
        <v>56</v>
      </c>
      <c r="I806">
        <v>8</v>
      </c>
      <c r="J806" t="s">
        <v>43</v>
      </c>
      <c r="K806" t="s">
        <v>44</v>
      </c>
      <c r="L806" s="4">
        <v>709.5</v>
      </c>
      <c r="M806" t="str">
        <f>VLOOKUP(D806,tblProduct[],2,FALSE)</f>
        <v>Furniture</v>
      </c>
      <c r="N806" t="str">
        <f>VLOOKUP(D806,tblProduct[],3,FALSE)</f>
        <v>Medium</v>
      </c>
      <c r="O806">
        <f>VLOOKUP(D806,tblProduct[],4,FALSE)</f>
        <v>70000</v>
      </c>
      <c r="P806">
        <v>709.5</v>
      </c>
      <c r="Q806" s="19" t="str">
        <f t="shared" si="12"/>
        <v>Jan-2024</v>
      </c>
      <c r="R806" s="26">
        <f>DATE(YEAR(tblEnriched[[#This Row],[Date]]),MONTH(tblEnriched[[#This Row],[Date]]),1)</f>
        <v>45292</v>
      </c>
    </row>
    <row r="807" spans="1:18">
      <c r="A807" t="s">
        <v>2980</v>
      </c>
      <c r="B807" s="10">
        <v>45580</v>
      </c>
      <c r="C807" t="s">
        <v>2981</v>
      </c>
      <c r="D807" t="s">
        <v>64</v>
      </c>
      <c r="E807">
        <v>5</v>
      </c>
      <c r="F807" s="4">
        <v>472.01</v>
      </c>
      <c r="G807" t="s">
        <v>66</v>
      </c>
      <c r="H807" t="s">
        <v>41</v>
      </c>
      <c r="I807">
        <v>10</v>
      </c>
      <c r="J807" t="s">
        <v>27</v>
      </c>
      <c r="K807" t="s">
        <v>44</v>
      </c>
      <c r="L807" s="4">
        <v>2360.0500000000002</v>
      </c>
      <c r="M807" t="str">
        <f>VLOOKUP(D807,tblProduct[],2,FALSE)</f>
        <v>Electronics</v>
      </c>
      <c r="N807" t="str">
        <f>VLOOKUP(D807,tblProduct[],3,FALSE)</f>
        <v>High</v>
      </c>
      <c r="O807">
        <f>VLOOKUP(D807,tblProduct[],4,FALSE)</f>
        <v>150000</v>
      </c>
      <c r="P807">
        <v>2360.0500000000002</v>
      </c>
      <c r="Q807" s="19" t="str">
        <f t="shared" si="12"/>
        <v>Oct-2024</v>
      </c>
      <c r="R807" s="26">
        <f>DATE(YEAR(tblEnriched[[#This Row],[Date]]),MONTH(tblEnriched[[#This Row],[Date]]),1)</f>
        <v>45566</v>
      </c>
    </row>
    <row r="808" spans="1:18">
      <c r="A808" t="s">
        <v>2984</v>
      </c>
      <c r="B808" s="10">
        <v>45170</v>
      </c>
      <c r="C808" t="s">
        <v>2985</v>
      </c>
      <c r="D808" t="s">
        <v>47</v>
      </c>
      <c r="E808">
        <v>5</v>
      </c>
      <c r="F808" s="4">
        <v>253.75</v>
      </c>
      <c r="G808" t="s">
        <v>33</v>
      </c>
      <c r="H808" t="s">
        <v>95</v>
      </c>
      <c r="I808">
        <v>9</v>
      </c>
      <c r="J808" t="s">
        <v>87</v>
      </c>
      <c r="K808" t="s">
        <v>28</v>
      </c>
      <c r="L808" s="4">
        <v>1268.75</v>
      </c>
      <c r="M808" t="str">
        <f>VLOOKUP(D808,tblProduct[],2,FALSE)</f>
        <v>Furniture</v>
      </c>
      <c r="N808" t="str">
        <f>VLOOKUP(D808,tblProduct[],3,FALSE)</f>
        <v>Medium</v>
      </c>
      <c r="O808">
        <f>VLOOKUP(D808,tblProduct[],4,FALSE)</f>
        <v>70000</v>
      </c>
      <c r="P808">
        <v>1268.75</v>
      </c>
      <c r="Q808" s="19" t="str">
        <f t="shared" si="12"/>
        <v>Sep-2023</v>
      </c>
      <c r="R808" s="26">
        <f>DATE(YEAR(tblEnriched[[#This Row],[Date]]),MONTH(tblEnriched[[#This Row],[Date]]),1)</f>
        <v>45170</v>
      </c>
    </row>
    <row r="809" spans="1:18">
      <c r="A809" t="s">
        <v>2987</v>
      </c>
      <c r="B809" s="10">
        <v>45606</v>
      </c>
      <c r="C809" t="s">
        <v>2988</v>
      </c>
      <c r="D809" t="s">
        <v>22</v>
      </c>
      <c r="E809">
        <v>3</v>
      </c>
      <c r="F809" s="4">
        <v>676.21</v>
      </c>
      <c r="G809" t="s">
        <v>33</v>
      </c>
      <c r="H809" t="s">
        <v>56</v>
      </c>
      <c r="I809">
        <v>5</v>
      </c>
      <c r="J809" t="s">
        <v>27</v>
      </c>
      <c r="K809" t="s">
        <v>82</v>
      </c>
      <c r="L809" s="4">
        <v>2028.63</v>
      </c>
      <c r="M809" t="str">
        <f>VLOOKUP(D809,tblProduct[],2,FALSE)</f>
        <v>Electronics</v>
      </c>
      <c r="N809" t="str">
        <f>VLOOKUP(D809,tblProduct[],3,FALSE)</f>
        <v>Medium</v>
      </c>
      <c r="O809">
        <f>VLOOKUP(D809,tblProduct[],4,FALSE)</f>
        <v>90000</v>
      </c>
      <c r="P809">
        <v>2028.63</v>
      </c>
      <c r="Q809" s="19" t="str">
        <f t="shared" si="12"/>
        <v>Nov-2024</v>
      </c>
      <c r="R809" s="26">
        <f>DATE(YEAR(tblEnriched[[#This Row],[Date]]),MONTH(tblEnriched[[#This Row],[Date]]),1)</f>
        <v>45597</v>
      </c>
    </row>
    <row r="810" spans="1:18">
      <c r="A810" t="s">
        <v>2991</v>
      </c>
      <c r="B810" s="10">
        <v>45335</v>
      </c>
      <c r="C810" t="s">
        <v>2992</v>
      </c>
      <c r="D810" t="s">
        <v>79</v>
      </c>
      <c r="E810">
        <v>3</v>
      </c>
      <c r="F810" s="4">
        <v>134.05000000000001</v>
      </c>
      <c r="G810" t="s">
        <v>40</v>
      </c>
      <c r="H810" t="s">
        <v>25</v>
      </c>
      <c r="I810">
        <v>3</v>
      </c>
      <c r="K810" t="s">
        <v>82</v>
      </c>
      <c r="L810" s="4">
        <v>402.15</v>
      </c>
      <c r="M810" t="str">
        <f>VLOOKUP(D810,tblProduct[],2,FALSE)</f>
        <v>Furniture</v>
      </c>
      <c r="N810" t="str">
        <f>VLOOKUP(D810,tblProduct[],3,FALSE)</f>
        <v>High</v>
      </c>
      <c r="O810">
        <f>VLOOKUP(D810,tblProduct[],4,FALSE)</f>
        <v>75000</v>
      </c>
      <c r="P810">
        <v>402.15</v>
      </c>
      <c r="Q810" s="19" t="str">
        <f t="shared" si="12"/>
        <v>Feb-2024</v>
      </c>
      <c r="R810" s="26">
        <f>DATE(YEAR(tblEnriched[[#This Row],[Date]]),MONTH(tblEnriched[[#This Row],[Date]]),1)</f>
        <v>45323</v>
      </c>
    </row>
    <row r="811" spans="1:18">
      <c r="A811" t="s">
        <v>2995</v>
      </c>
      <c r="B811" s="10">
        <v>45391</v>
      </c>
      <c r="C811" t="s">
        <v>2996</v>
      </c>
      <c r="D811" t="s">
        <v>79</v>
      </c>
      <c r="E811">
        <v>5</v>
      </c>
      <c r="F811" s="4">
        <v>217.43</v>
      </c>
      <c r="G811" t="s">
        <v>24</v>
      </c>
      <c r="H811" t="s">
        <v>25</v>
      </c>
      <c r="I811">
        <v>10</v>
      </c>
      <c r="J811" t="s">
        <v>27</v>
      </c>
      <c r="K811" t="s">
        <v>28</v>
      </c>
      <c r="L811" s="4">
        <v>1087.1500000000001</v>
      </c>
      <c r="M811" t="str">
        <f>VLOOKUP(D811,tblProduct[],2,FALSE)</f>
        <v>Furniture</v>
      </c>
      <c r="N811" t="str">
        <f>VLOOKUP(D811,tblProduct[],3,FALSE)</f>
        <v>High</v>
      </c>
      <c r="O811">
        <f>VLOOKUP(D811,tblProduct[],4,FALSE)</f>
        <v>75000</v>
      </c>
      <c r="P811">
        <v>1087.1500000000001</v>
      </c>
      <c r="Q811" s="19" t="str">
        <f t="shared" si="12"/>
        <v>Apr-2024</v>
      </c>
      <c r="R811" s="26">
        <f>DATE(YEAR(tblEnriched[[#This Row],[Date]]),MONTH(tblEnriched[[#This Row],[Date]]),1)</f>
        <v>45383</v>
      </c>
    </row>
    <row r="812" spans="1:18">
      <c r="A812" t="s">
        <v>2998</v>
      </c>
      <c r="B812" s="10">
        <v>45077</v>
      </c>
      <c r="C812" t="s">
        <v>2999</v>
      </c>
      <c r="D812" t="s">
        <v>38</v>
      </c>
      <c r="E812">
        <v>1</v>
      </c>
      <c r="F812" s="4">
        <v>553.55999999999995</v>
      </c>
      <c r="G812" t="s">
        <v>40</v>
      </c>
      <c r="H812" t="s">
        <v>41</v>
      </c>
      <c r="I812">
        <v>5</v>
      </c>
      <c r="K812" t="s">
        <v>35</v>
      </c>
      <c r="L812" s="4">
        <v>553.55999999999995</v>
      </c>
      <c r="M812" t="str">
        <f>VLOOKUP(D812,tblProduct[],2,FALSE)</f>
        <v>Electronics</v>
      </c>
      <c r="N812" t="str">
        <f>VLOOKUP(D812,tblProduct[],3,FALSE)</f>
        <v>Medium</v>
      </c>
      <c r="O812">
        <f>VLOOKUP(D812,tblProduct[],4,FALSE)</f>
        <v>100000</v>
      </c>
      <c r="P812">
        <v>553.55999999999995</v>
      </c>
      <c r="Q812" s="19" t="str">
        <f t="shared" si="12"/>
        <v>May-2023</v>
      </c>
      <c r="R812" s="26">
        <f>DATE(YEAR(tblEnriched[[#This Row],[Date]]),MONTH(tblEnriched[[#This Row],[Date]]),1)</f>
        <v>45047</v>
      </c>
    </row>
    <row r="813" spans="1:18">
      <c r="A813" t="s">
        <v>3002</v>
      </c>
      <c r="B813" s="10">
        <v>45235</v>
      </c>
      <c r="C813" t="s">
        <v>3003</v>
      </c>
      <c r="D813" t="s">
        <v>64</v>
      </c>
      <c r="E813">
        <v>2</v>
      </c>
      <c r="F813" s="4">
        <v>28.55</v>
      </c>
      <c r="G813" t="s">
        <v>66</v>
      </c>
      <c r="H813" t="s">
        <v>25</v>
      </c>
      <c r="I813">
        <v>7</v>
      </c>
      <c r="J813" t="s">
        <v>27</v>
      </c>
      <c r="K813" t="s">
        <v>44</v>
      </c>
      <c r="L813" s="4">
        <v>57.1</v>
      </c>
      <c r="M813" t="str">
        <f>VLOOKUP(D813,tblProduct[],2,FALSE)</f>
        <v>Electronics</v>
      </c>
      <c r="N813" t="str">
        <f>VLOOKUP(D813,tblProduct[],3,FALSE)</f>
        <v>High</v>
      </c>
      <c r="O813">
        <f>VLOOKUP(D813,tblProduct[],4,FALSE)</f>
        <v>150000</v>
      </c>
      <c r="P813">
        <v>57.1</v>
      </c>
      <c r="Q813" s="19" t="str">
        <f t="shared" si="12"/>
        <v>Nov-2023</v>
      </c>
      <c r="R813" s="26">
        <f>DATE(YEAR(tblEnriched[[#This Row],[Date]]),MONTH(tblEnriched[[#This Row],[Date]]),1)</f>
        <v>45231</v>
      </c>
    </row>
    <row r="814" spans="1:18">
      <c r="A814" t="s">
        <v>3005</v>
      </c>
      <c r="B814" s="10">
        <v>45317</v>
      </c>
      <c r="C814" t="s">
        <v>3006</v>
      </c>
      <c r="D814" t="s">
        <v>31</v>
      </c>
      <c r="E814">
        <v>2</v>
      </c>
      <c r="F814" s="4">
        <v>255.26</v>
      </c>
      <c r="G814" t="s">
        <v>40</v>
      </c>
      <c r="H814" t="s">
        <v>41</v>
      </c>
      <c r="I814">
        <v>6</v>
      </c>
      <c r="J814" t="s">
        <v>43</v>
      </c>
      <c r="K814" t="s">
        <v>82</v>
      </c>
      <c r="L814" s="4">
        <v>510.52</v>
      </c>
      <c r="M814" t="str">
        <f>VLOOKUP(D814,tblProduct[],2,FALSE)</f>
        <v>Electronics</v>
      </c>
      <c r="N814" t="str">
        <f>VLOOKUP(D814,tblProduct[],3,FALSE)</f>
        <v>High</v>
      </c>
      <c r="O814">
        <f>VLOOKUP(D814,tblProduct[],4,FALSE)</f>
        <v>120000</v>
      </c>
      <c r="P814">
        <v>510.52</v>
      </c>
      <c r="Q814" s="19" t="str">
        <f t="shared" si="12"/>
        <v>Jan-2024</v>
      </c>
      <c r="R814" s="26">
        <f>DATE(YEAR(tblEnriched[[#This Row],[Date]]),MONTH(tblEnriched[[#This Row],[Date]]),1)</f>
        <v>45292</v>
      </c>
    </row>
    <row r="815" spans="1:18">
      <c r="A815" t="s">
        <v>3008</v>
      </c>
      <c r="B815" s="10">
        <v>45731</v>
      </c>
      <c r="C815" t="s">
        <v>3009</v>
      </c>
      <c r="D815" t="s">
        <v>64</v>
      </c>
      <c r="E815">
        <v>5</v>
      </c>
      <c r="F815" s="4">
        <v>292.54000000000002</v>
      </c>
      <c r="G815" t="s">
        <v>24</v>
      </c>
      <c r="H815" t="s">
        <v>41</v>
      </c>
      <c r="I815">
        <v>8</v>
      </c>
      <c r="J815" t="s">
        <v>43</v>
      </c>
      <c r="K815" t="s">
        <v>44</v>
      </c>
      <c r="L815" s="4">
        <v>1462.7</v>
      </c>
      <c r="M815" t="str">
        <f>VLOOKUP(D815,tblProduct[],2,FALSE)</f>
        <v>Electronics</v>
      </c>
      <c r="N815" t="str">
        <f>VLOOKUP(D815,tblProduct[],3,FALSE)</f>
        <v>High</v>
      </c>
      <c r="O815">
        <f>VLOOKUP(D815,tblProduct[],4,FALSE)</f>
        <v>150000</v>
      </c>
      <c r="P815">
        <v>1462.7</v>
      </c>
      <c r="Q815" s="19" t="str">
        <f t="shared" si="12"/>
        <v>Mar-2025</v>
      </c>
      <c r="R815" s="26">
        <f>DATE(YEAR(tblEnriched[[#This Row],[Date]]),MONTH(tblEnriched[[#This Row],[Date]]),1)</f>
        <v>45717</v>
      </c>
    </row>
    <row r="816" spans="1:18">
      <c r="A816" t="s">
        <v>3011</v>
      </c>
      <c r="B816" s="10">
        <v>45637</v>
      </c>
      <c r="C816" t="s">
        <v>3012</v>
      </c>
      <c r="D816" t="s">
        <v>47</v>
      </c>
      <c r="E816">
        <v>4</v>
      </c>
      <c r="F816" s="4">
        <v>147.51</v>
      </c>
      <c r="G816" t="s">
        <v>24</v>
      </c>
      <c r="H816" t="s">
        <v>95</v>
      </c>
      <c r="I816">
        <v>4</v>
      </c>
      <c r="J816" t="s">
        <v>87</v>
      </c>
      <c r="K816" t="s">
        <v>28</v>
      </c>
      <c r="L816" s="4">
        <v>590.04</v>
      </c>
      <c r="M816" t="str">
        <f>VLOOKUP(D816,tblProduct[],2,FALSE)</f>
        <v>Furniture</v>
      </c>
      <c r="N816" t="str">
        <f>VLOOKUP(D816,tblProduct[],3,FALSE)</f>
        <v>Medium</v>
      </c>
      <c r="O816">
        <f>VLOOKUP(D816,tblProduct[],4,FALSE)</f>
        <v>70000</v>
      </c>
      <c r="P816">
        <v>590.04</v>
      </c>
      <c r="Q816" s="19" t="str">
        <f t="shared" si="12"/>
        <v>Dec-2024</v>
      </c>
      <c r="R816" s="26">
        <f>DATE(YEAR(tblEnriched[[#This Row],[Date]]),MONTH(tblEnriched[[#This Row],[Date]]),1)</f>
        <v>45627</v>
      </c>
    </row>
    <row r="817" spans="1:18">
      <c r="A817" t="s">
        <v>3015</v>
      </c>
      <c r="B817" s="10">
        <v>45508</v>
      </c>
      <c r="C817" t="s">
        <v>3016</v>
      </c>
      <c r="D817" t="s">
        <v>54</v>
      </c>
      <c r="E817">
        <v>3</v>
      </c>
      <c r="F817" s="4">
        <v>569.84</v>
      </c>
      <c r="G817" t="s">
        <v>66</v>
      </c>
      <c r="H817" t="s">
        <v>41</v>
      </c>
      <c r="I817">
        <v>8</v>
      </c>
      <c r="J817" t="s">
        <v>87</v>
      </c>
      <c r="K817" t="s">
        <v>28</v>
      </c>
      <c r="L817" s="4">
        <v>1709.52</v>
      </c>
      <c r="M817" t="str">
        <f>VLOOKUP(D817,tblProduct[],2,FALSE)</f>
        <v>Electronics</v>
      </c>
      <c r="N817" t="str">
        <f>VLOOKUP(D817,tblProduct[],3,FALSE)</f>
        <v>Medium</v>
      </c>
      <c r="O817">
        <f>VLOOKUP(D817,tblProduct[],4,FALSE)</f>
        <v>80000</v>
      </c>
      <c r="P817">
        <v>1709.52</v>
      </c>
      <c r="Q817" s="19" t="str">
        <f t="shared" si="12"/>
        <v>Aug-2024</v>
      </c>
      <c r="R817" s="26">
        <f>DATE(YEAR(tblEnriched[[#This Row],[Date]]),MONTH(tblEnriched[[#This Row],[Date]]),1)</f>
        <v>45505</v>
      </c>
    </row>
    <row r="818" spans="1:18">
      <c r="A818" t="s">
        <v>3019</v>
      </c>
      <c r="B818" s="10">
        <v>45343</v>
      </c>
      <c r="C818" t="s">
        <v>3020</v>
      </c>
      <c r="D818" t="s">
        <v>38</v>
      </c>
      <c r="E818">
        <v>5</v>
      </c>
      <c r="F818" s="4">
        <v>574.79</v>
      </c>
      <c r="G818" t="s">
        <v>40</v>
      </c>
      <c r="H818" t="s">
        <v>95</v>
      </c>
      <c r="I818">
        <v>8</v>
      </c>
      <c r="J818" t="s">
        <v>87</v>
      </c>
      <c r="K818" t="s">
        <v>35</v>
      </c>
      <c r="L818" s="4">
        <v>2873.95</v>
      </c>
      <c r="M818" t="str">
        <f>VLOOKUP(D818,tblProduct[],2,FALSE)</f>
        <v>Electronics</v>
      </c>
      <c r="N818" t="str">
        <f>VLOOKUP(D818,tblProduct[],3,FALSE)</f>
        <v>Medium</v>
      </c>
      <c r="O818">
        <f>VLOOKUP(D818,tblProduct[],4,FALSE)</f>
        <v>100000</v>
      </c>
      <c r="P818">
        <v>2873.95</v>
      </c>
      <c r="Q818" s="19" t="str">
        <f t="shared" si="12"/>
        <v>Feb-2024</v>
      </c>
      <c r="R818" s="26">
        <f>DATE(YEAR(tblEnriched[[#This Row],[Date]]),MONTH(tblEnriched[[#This Row],[Date]]),1)</f>
        <v>45323</v>
      </c>
    </row>
    <row r="819" spans="1:18">
      <c r="A819" t="s">
        <v>3022</v>
      </c>
      <c r="B819" s="10">
        <v>45204</v>
      </c>
      <c r="C819" t="s">
        <v>3023</v>
      </c>
      <c r="D819" t="s">
        <v>47</v>
      </c>
      <c r="E819">
        <v>4</v>
      </c>
      <c r="F819" s="4">
        <v>598.19000000000005</v>
      </c>
      <c r="G819" t="s">
        <v>40</v>
      </c>
      <c r="H819" t="s">
        <v>56</v>
      </c>
      <c r="I819">
        <v>7</v>
      </c>
      <c r="J819" t="s">
        <v>87</v>
      </c>
      <c r="K819" t="s">
        <v>44</v>
      </c>
      <c r="L819" s="4">
        <v>2392.7600000000002</v>
      </c>
      <c r="M819" t="str">
        <f>VLOOKUP(D819,tblProduct[],2,FALSE)</f>
        <v>Furniture</v>
      </c>
      <c r="N819" t="str">
        <f>VLOOKUP(D819,tblProduct[],3,FALSE)</f>
        <v>Medium</v>
      </c>
      <c r="O819">
        <f>VLOOKUP(D819,tblProduct[],4,FALSE)</f>
        <v>70000</v>
      </c>
      <c r="P819">
        <v>2392.7600000000002</v>
      </c>
      <c r="Q819" s="19" t="str">
        <f t="shared" si="12"/>
        <v>Oct-2023</v>
      </c>
      <c r="R819" s="26">
        <f>DATE(YEAR(tblEnriched[[#This Row],[Date]]),MONTH(tblEnriched[[#This Row],[Date]]),1)</f>
        <v>45200</v>
      </c>
    </row>
    <row r="820" spans="1:18">
      <c r="A820" t="s">
        <v>3026</v>
      </c>
      <c r="B820" s="10">
        <v>44987</v>
      </c>
      <c r="C820" t="s">
        <v>3027</v>
      </c>
      <c r="D820" t="s">
        <v>31</v>
      </c>
      <c r="E820">
        <v>4</v>
      </c>
      <c r="F820" s="4">
        <v>390.84</v>
      </c>
      <c r="G820" t="s">
        <v>40</v>
      </c>
      <c r="H820" t="s">
        <v>41</v>
      </c>
      <c r="I820">
        <v>9</v>
      </c>
      <c r="J820" t="s">
        <v>87</v>
      </c>
      <c r="K820" t="s">
        <v>35</v>
      </c>
      <c r="L820" s="4">
        <v>1563.36</v>
      </c>
      <c r="M820" t="str">
        <f>VLOOKUP(D820,tblProduct[],2,FALSE)</f>
        <v>Electronics</v>
      </c>
      <c r="N820" t="str">
        <f>VLOOKUP(D820,tblProduct[],3,FALSE)</f>
        <v>High</v>
      </c>
      <c r="O820">
        <f>VLOOKUP(D820,tblProduct[],4,FALSE)</f>
        <v>120000</v>
      </c>
      <c r="P820">
        <v>1563.36</v>
      </c>
      <c r="Q820" s="19" t="str">
        <f t="shared" si="12"/>
        <v>Mar-2023</v>
      </c>
      <c r="R820" s="26">
        <f>DATE(YEAR(tblEnriched[[#This Row],[Date]]),MONTH(tblEnriched[[#This Row],[Date]]),1)</f>
        <v>44986</v>
      </c>
    </row>
    <row r="821" spans="1:18">
      <c r="A821" t="s">
        <v>3029</v>
      </c>
      <c r="B821" s="10">
        <v>45563</v>
      </c>
      <c r="C821" t="s">
        <v>3030</v>
      </c>
      <c r="D821" t="s">
        <v>31</v>
      </c>
      <c r="E821">
        <v>2</v>
      </c>
      <c r="F821" s="4">
        <v>398.45</v>
      </c>
      <c r="G821" t="s">
        <v>24</v>
      </c>
      <c r="H821" t="s">
        <v>41</v>
      </c>
      <c r="I821">
        <v>7</v>
      </c>
      <c r="J821" t="s">
        <v>27</v>
      </c>
      <c r="K821" t="s">
        <v>82</v>
      </c>
      <c r="L821" s="4">
        <v>796.9</v>
      </c>
      <c r="M821" t="str">
        <f>VLOOKUP(D821,tblProduct[],2,FALSE)</f>
        <v>Electronics</v>
      </c>
      <c r="N821" t="str">
        <f>VLOOKUP(D821,tblProduct[],3,FALSE)</f>
        <v>High</v>
      </c>
      <c r="O821">
        <f>VLOOKUP(D821,tblProduct[],4,FALSE)</f>
        <v>120000</v>
      </c>
      <c r="P821">
        <v>796.9</v>
      </c>
      <c r="Q821" s="19" t="str">
        <f t="shared" si="12"/>
        <v>Sep-2024</v>
      </c>
      <c r="R821" s="26">
        <f>DATE(YEAR(tblEnriched[[#This Row],[Date]]),MONTH(tblEnriched[[#This Row],[Date]]),1)</f>
        <v>45536</v>
      </c>
    </row>
    <row r="822" spans="1:18">
      <c r="A822" t="s">
        <v>3033</v>
      </c>
      <c r="B822" s="10">
        <v>45073</v>
      </c>
      <c r="C822" t="s">
        <v>3034</v>
      </c>
      <c r="D822" t="s">
        <v>31</v>
      </c>
      <c r="E822">
        <v>5</v>
      </c>
      <c r="F822" s="4">
        <v>623.80999999999995</v>
      </c>
      <c r="G822" t="s">
        <v>71</v>
      </c>
      <c r="H822" t="s">
        <v>49</v>
      </c>
      <c r="I822">
        <v>6</v>
      </c>
      <c r="J822" t="s">
        <v>43</v>
      </c>
      <c r="K822" t="s">
        <v>44</v>
      </c>
      <c r="L822" s="4">
        <v>3119.05</v>
      </c>
      <c r="M822" t="str">
        <f>VLOOKUP(D822,tblProduct[],2,FALSE)</f>
        <v>Electronics</v>
      </c>
      <c r="N822" t="str">
        <f>VLOOKUP(D822,tblProduct[],3,FALSE)</f>
        <v>High</v>
      </c>
      <c r="O822">
        <f>VLOOKUP(D822,tblProduct[],4,FALSE)</f>
        <v>120000</v>
      </c>
      <c r="P822">
        <v>3119.05</v>
      </c>
      <c r="Q822" s="19" t="str">
        <f t="shared" si="12"/>
        <v>May-2023</v>
      </c>
      <c r="R822" s="26">
        <f>DATE(YEAR(tblEnriched[[#This Row],[Date]]),MONTH(tblEnriched[[#This Row],[Date]]),1)</f>
        <v>45047</v>
      </c>
    </row>
    <row r="823" spans="1:18">
      <c r="A823" t="s">
        <v>3036</v>
      </c>
      <c r="B823" s="10">
        <v>45640</v>
      </c>
      <c r="C823" t="s">
        <v>3037</v>
      </c>
      <c r="D823" t="s">
        <v>64</v>
      </c>
      <c r="E823">
        <v>4</v>
      </c>
      <c r="F823" s="4">
        <v>174.49</v>
      </c>
      <c r="G823" t="s">
        <v>40</v>
      </c>
      <c r="H823" t="s">
        <v>56</v>
      </c>
      <c r="I823">
        <v>5</v>
      </c>
      <c r="J823" t="s">
        <v>27</v>
      </c>
      <c r="K823" t="s">
        <v>51</v>
      </c>
      <c r="L823" s="4">
        <v>697.96</v>
      </c>
      <c r="M823" t="str">
        <f>VLOOKUP(D823,tblProduct[],2,FALSE)</f>
        <v>Electronics</v>
      </c>
      <c r="N823" t="str">
        <f>VLOOKUP(D823,tblProduct[],3,FALSE)</f>
        <v>High</v>
      </c>
      <c r="O823">
        <f>VLOOKUP(D823,tblProduct[],4,FALSE)</f>
        <v>150000</v>
      </c>
      <c r="P823">
        <v>697.96</v>
      </c>
      <c r="Q823" s="19" t="str">
        <f t="shared" si="12"/>
        <v>Dec-2024</v>
      </c>
      <c r="R823" s="26">
        <f>DATE(YEAR(tblEnriched[[#This Row],[Date]]),MONTH(tblEnriched[[#This Row],[Date]]),1)</f>
        <v>45627</v>
      </c>
    </row>
    <row r="824" spans="1:18">
      <c r="A824" t="s">
        <v>3039</v>
      </c>
      <c r="B824" s="10">
        <v>45731</v>
      </c>
      <c r="C824" t="s">
        <v>3040</v>
      </c>
      <c r="D824" t="s">
        <v>31</v>
      </c>
      <c r="E824">
        <v>1</v>
      </c>
      <c r="F824" s="4">
        <v>479.56</v>
      </c>
      <c r="G824" t="s">
        <v>66</v>
      </c>
      <c r="H824" t="s">
        <v>49</v>
      </c>
      <c r="I824">
        <v>1</v>
      </c>
      <c r="J824" t="s">
        <v>27</v>
      </c>
      <c r="K824" t="s">
        <v>82</v>
      </c>
      <c r="L824" s="4">
        <v>479.56</v>
      </c>
      <c r="M824" t="str">
        <f>VLOOKUP(D824,tblProduct[],2,FALSE)</f>
        <v>Electronics</v>
      </c>
      <c r="N824" t="str">
        <f>VLOOKUP(D824,tblProduct[],3,FALSE)</f>
        <v>High</v>
      </c>
      <c r="O824">
        <f>VLOOKUP(D824,tblProduct[],4,FALSE)</f>
        <v>120000</v>
      </c>
      <c r="P824">
        <v>479.56</v>
      </c>
      <c r="Q824" s="19" t="str">
        <f t="shared" si="12"/>
        <v>Mar-2025</v>
      </c>
      <c r="R824" s="26">
        <f>DATE(YEAR(tblEnriched[[#This Row],[Date]]),MONTH(tblEnriched[[#This Row],[Date]]),1)</f>
        <v>45717</v>
      </c>
    </row>
    <row r="825" spans="1:18">
      <c r="A825" t="s">
        <v>3042</v>
      </c>
      <c r="B825" s="10">
        <v>45572</v>
      </c>
      <c r="C825" t="s">
        <v>3043</v>
      </c>
      <c r="D825" t="s">
        <v>64</v>
      </c>
      <c r="E825">
        <v>4</v>
      </c>
      <c r="F825" s="4">
        <v>653.13</v>
      </c>
      <c r="G825" t="s">
        <v>40</v>
      </c>
      <c r="H825" t="s">
        <v>25</v>
      </c>
      <c r="I825">
        <v>8</v>
      </c>
      <c r="J825" t="s">
        <v>87</v>
      </c>
      <c r="K825" t="s">
        <v>28</v>
      </c>
      <c r="L825" s="4">
        <v>2612.52</v>
      </c>
      <c r="M825" t="str">
        <f>VLOOKUP(D825,tblProduct[],2,FALSE)</f>
        <v>Electronics</v>
      </c>
      <c r="N825" t="str">
        <f>VLOOKUP(D825,tblProduct[],3,FALSE)</f>
        <v>High</v>
      </c>
      <c r="O825">
        <f>VLOOKUP(D825,tblProduct[],4,FALSE)</f>
        <v>150000</v>
      </c>
      <c r="P825">
        <v>2612.52</v>
      </c>
      <c r="Q825" s="19" t="str">
        <f t="shared" si="12"/>
        <v>Oct-2024</v>
      </c>
      <c r="R825" s="26">
        <f>DATE(YEAR(tblEnriched[[#This Row],[Date]]),MONTH(tblEnriched[[#This Row],[Date]]),1)</f>
        <v>45566</v>
      </c>
    </row>
    <row r="826" spans="1:18">
      <c r="A826" t="s">
        <v>3046</v>
      </c>
      <c r="B826" s="10">
        <v>45167</v>
      </c>
      <c r="C826" t="s">
        <v>3047</v>
      </c>
      <c r="D826" t="s">
        <v>22</v>
      </c>
      <c r="E826">
        <v>3</v>
      </c>
      <c r="F826" s="4">
        <v>481.1</v>
      </c>
      <c r="G826" t="s">
        <v>40</v>
      </c>
      <c r="H826" t="s">
        <v>49</v>
      </c>
      <c r="I826">
        <v>3</v>
      </c>
      <c r="J826" t="s">
        <v>43</v>
      </c>
      <c r="K826" t="s">
        <v>51</v>
      </c>
      <c r="L826" s="4">
        <v>1443.3</v>
      </c>
      <c r="M826" t="str">
        <f>VLOOKUP(D826,tblProduct[],2,FALSE)</f>
        <v>Electronics</v>
      </c>
      <c r="N826" t="str">
        <f>VLOOKUP(D826,tblProduct[],3,FALSE)</f>
        <v>Medium</v>
      </c>
      <c r="O826">
        <f>VLOOKUP(D826,tblProduct[],4,FALSE)</f>
        <v>90000</v>
      </c>
      <c r="P826">
        <v>1443.3</v>
      </c>
      <c r="Q826" s="19" t="str">
        <f t="shared" si="12"/>
        <v>Aug-2023</v>
      </c>
      <c r="R826" s="26">
        <f>DATE(YEAR(tblEnriched[[#This Row],[Date]]),MONTH(tblEnriched[[#This Row],[Date]]),1)</f>
        <v>45139</v>
      </c>
    </row>
    <row r="827" spans="1:18">
      <c r="A827" t="s">
        <v>3050</v>
      </c>
      <c r="B827" s="10">
        <v>45742</v>
      </c>
      <c r="C827" t="s">
        <v>3051</v>
      </c>
      <c r="D827" t="s">
        <v>79</v>
      </c>
      <c r="E827">
        <v>5</v>
      </c>
      <c r="F827" s="4">
        <v>271.69</v>
      </c>
      <c r="G827" t="s">
        <v>33</v>
      </c>
      <c r="H827" t="s">
        <v>49</v>
      </c>
      <c r="I827">
        <v>7</v>
      </c>
      <c r="J827" t="s">
        <v>43</v>
      </c>
      <c r="K827" t="s">
        <v>28</v>
      </c>
      <c r="L827" s="4">
        <v>1358.45</v>
      </c>
      <c r="M827" t="str">
        <f>VLOOKUP(D827,tblProduct[],2,FALSE)</f>
        <v>Furniture</v>
      </c>
      <c r="N827" t="str">
        <f>VLOOKUP(D827,tblProduct[],3,FALSE)</f>
        <v>High</v>
      </c>
      <c r="O827">
        <f>VLOOKUP(D827,tblProduct[],4,FALSE)</f>
        <v>75000</v>
      </c>
      <c r="P827">
        <v>1358.45</v>
      </c>
      <c r="Q827" s="19" t="str">
        <f t="shared" si="12"/>
        <v>Mar-2025</v>
      </c>
      <c r="R827" s="26">
        <f>DATE(YEAR(tblEnriched[[#This Row],[Date]]),MONTH(tblEnriched[[#This Row],[Date]]),1)</f>
        <v>45717</v>
      </c>
    </row>
    <row r="828" spans="1:18">
      <c r="A828" t="s">
        <v>3054</v>
      </c>
      <c r="B828" s="10">
        <v>45724</v>
      </c>
      <c r="C828" t="s">
        <v>3055</v>
      </c>
      <c r="D828" t="s">
        <v>54</v>
      </c>
      <c r="E828">
        <v>3</v>
      </c>
      <c r="F828" s="4">
        <v>463.81</v>
      </c>
      <c r="G828" t="s">
        <v>33</v>
      </c>
      <c r="H828" t="s">
        <v>49</v>
      </c>
      <c r="I828">
        <v>8</v>
      </c>
      <c r="J828" t="s">
        <v>87</v>
      </c>
      <c r="K828" t="s">
        <v>44</v>
      </c>
      <c r="L828" s="4">
        <v>1391.43</v>
      </c>
      <c r="M828" t="str">
        <f>VLOOKUP(D828,tblProduct[],2,FALSE)</f>
        <v>Electronics</v>
      </c>
      <c r="N828" t="str">
        <f>VLOOKUP(D828,tblProduct[],3,FALSE)</f>
        <v>Medium</v>
      </c>
      <c r="O828">
        <f>VLOOKUP(D828,tblProduct[],4,FALSE)</f>
        <v>80000</v>
      </c>
      <c r="P828">
        <v>1391.43</v>
      </c>
      <c r="Q828" s="19" t="str">
        <f t="shared" si="12"/>
        <v>Mar-2025</v>
      </c>
      <c r="R828" s="26">
        <f>DATE(YEAR(tblEnriched[[#This Row],[Date]]),MONTH(tblEnriched[[#This Row],[Date]]),1)</f>
        <v>45717</v>
      </c>
    </row>
    <row r="829" spans="1:18">
      <c r="A829" t="s">
        <v>3057</v>
      </c>
      <c r="B829" s="10">
        <v>45071</v>
      </c>
      <c r="C829" t="s">
        <v>3058</v>
      </c>
      <c r="D829" t="s">
        <v>38</v>
      </c>
      <c r="E829">
        <v>2</v>
      </c>
      <c r="F829" s="4">
        <v>639.88</v>
      </c>
      <c r="G829" t="s">
        <v>71</v>
      </c>
      <c r="H829" t="s">
        <v>56</v>
      </c>
      <c r="I829">
        <v>5</v>
      </c>
      <c r="J829" t="s">
        <v>87</v>
      </c>
      <c r="K829" t="s">
        <v>28</v>
      </c>
      <c r="L829" s="4">
        <v>1279.76</v>
      </c>
      <c r="M829" t="str">
        <f>VLOOKUP(D829,tblProduct[],2,FALSE)</f>
        <v>Electronics</v>
      </c>
      <c r="N829" t="str">
        <f>VLOOKUP(D829,tblProduct[],3,FALSE)</f>
        <v>Medium</v>
      </c>
      <c r="O829">
        <f>VLOOKUP(D829,tblProduct[],4,FALSE)</f>
        <v>100000</v>
      </c>
      <c r="P829">
        <v>1279.76</v>
      </c>
      <c r="Q829" s="19" t="str">
        <f t="shared" si="12"/>
        <v>May-2023</v>
      </c>
      <c r="R829" s="26">
        <f>DATE(YEAR(tblEnriched[[#This Row],[Date]]),MONTH(tblEnriched[[#This Row],[Date]]),1)</f>
        <v>45047</v>
      </c>
    </row>
    <row r="830" spans="1:18">
      <c r="A830" t="s">
        <v>3060</v>
      </c>
      <c r="B830" s="10">
        <v>45497</v>
      </c>
      <c r="C830" t="s">
        <v>3061</v>
      </c>
      <c r="D830" t="s">
        <v>47</v>
      </c>
      <c r="E830">
        <v>4</v>
      </c>
      <c r="F830" s="4">
        <v>404.58</v>
      </c>
      <c r="G830" t="s">
        <v>71</v>
      </c>
      <c r="H830" t="s">
        <v>25</v>
      </c>
      <c r="I830">
        <v>5</v>
      </c>
      <c r="J830" t="s">
        <v>43</v>
      </c>
      <c r="K830" t="s">
        <v>28</v>
      </c>
      <c r="L830" s="4">
        <v>1618.32</v>
      </c>
      <c r="M830" t="str">
        <f>VLOOKUP(D830,tblProduct[],2,FALSE)</f>
        <v>Furniture</v>
      </c>
      <c r="N830" t="str">
        <f>VLOOKUP(D830,tblProduct[],3,FALSE)</f>
        <v>Medium</v>
      </c>
      <c r="O830">
        <f>VLOOKUP(D830,tblProduct[],4,FALSE)</f>
        <v>70000</v>
      </c>
      <c r="P830">
        <v>1618.32</v>
      </c>
      <c r="Q830" s="19" t="str">
        <f t="shared" si="12"/>
        <v>Jul-2024</v>
      </c>
      <c r="R830" s="26">
        <f>DATE(YEAR(tblEnriched[[#This Row],[Date]]),MONTH(tblEnriched[[#This Row],[Date]]),1)</f>
        <v>45474</v>
      </c>
    </row>
    <row r="831" spans="1:18">
      <c r="A831" t="s">
        <v>3064</v>
      </c>
      <c r="B831" s="10">
        <v>44962</v>
      </c>
      <c r="C831" t="s">
        <v>3065</v>
      </c>
      <c r="D831" t="s">
        <v>22</v>
      </c>
      <c r="E831">
        <v>1</v>
      </c>
      <c r="F831" s="4">
        <v>76.930000000000007</v>
      </c>
      <c r="G831" t="s">
        <v>24</v>
      </c>
      <c r="H831" t="s">
        <v>56</v>
      </c>
      <c r="I831">
        <v>6</v>
      </c>
      <c r="J831" t="s">
        <v>87</v>
      </c>
      <c r="K831" t="s">
        <v>28</v>
      </c>
      <c r="L831" s="4">
        <v>76.930000000000007</v>
      </c>
      <c r="M831" t="str">
        <f>VLOOKUP(D831,tblProduct[],2,FALSE)</f>
        <v>Electronics</v>
      </c>
      <c r="N831" t="str">
        <f>VLOOKUP(D831,tblProduct[],3,FALSE)</f>
        <v>Medium</v>
      </c>
      <c r="O831">
        <f>VLOOKUP(D831,tblProduct[],4,FALSE)</f>
        <v>90000</v>
      </c>
      <c r="P831">
        <v>76.930000000000007</v>
      </c>
      <c r="Q831" s="19" t="str">
        <f t="shared" si="12"/>
        <v>Feb-2023</v>
      </c>
      <c r="R831" s="26">
        <f>DATE(YEAR(tblEnriched[[#This Row],[Date]]),MONTH(tblEnriched[[#This Row],[Date]]),1)</f>
        <v>44958</v>
      </c>
    </row>
    <row r="832" spans="1:18">
      <c r="A832" t="s">
        <v>3068</v>
      </c>
      <c r="B832" s="10">
        <v>45637</v>
      </c>
      <c r="C832" t="s">
        <v>3069</v>
      </c>
      <c r="D832" t="s">
        <v>38</v>
      </c>
      <c r="E832">
        <v>4</v>
      </c>
      <c r="F832" s="4">
        <v>190.64</v>
      </c>
      <c r="G832" t="s">
        <v>71</v>
      </c>
      <c r="H832" t="s">
        <v>56</v>
      </c>
      <c r="I832">
        <v>5</v>
      </c>
      <c r="J832" t="s">
        <v>27</v>
      </c>
      <c r="K832" t="s">
        <v>44</v>
      </c>
      <c r="L832" s="4">
        <v>762.56</v>
      </c>
      <c r="M832" t="str">
        <f>VLOOKUP(D832,tblProduct[],2,FALSE)</f>
        <v>Electronics</v>
      </c>
      <c r="N832" t="str">
        <f>VLOOKUP(D832,tblProduct[],3,FALSE)</f>
        <v>Medium</v>
      </c>
      <c r="O832">
        <f>VLOOKUP(D832,tblProduct[],4,FALSE)</f>
        <v>100000</v>
      </c>
      <c r="P832">
        <v>762.56</v>
      </c>
      <c r="Q832" s="19" t="str">
        <f t="shared" si="12"/>
        <v>Dec-2024</v>
      </c>
      <c r="R832" s="26">
        <f>DATE(YEAR(tblEnriched[[#This Row],[Date]]),MONTH(tblEnriched[[#This Row],[Date]]),1)</f>
        <v>45627</v>
      </c>
    </row>
    <row r="833" spans="1:18">
      <c r="A833" t="s">
        <v>3072</v>
      </c>
      <c r="B833" s="10">
        <v>45278</v>
      </c>
      <c r="C833" t="s">
        <v>3073</v>
      </c>
      <c r="D833" t="s">
        <v>54</v>
      </c>
      <c r="E833">
        <v>2</v>
      </c>
      <c r="F833" s="4">
        <v>88.73</v>
      </c>
      <c r="G833" t="s">
        <v>33</v>
      </c>
      <c r="H833" t="s">
        <v>95</v>
      </c>
      <c r="I833">
        <v>5</v>
      </c>
      <c r="K833" t="s">
        <v>82</v>
      </c>
      <c r="L833" s="4">
        <v>177.46</v>
      </c>
      <c r="M833" t="str">
        <f>VLOOKUP(D833,tblProduct[],2,FALSE)</f>
        <v>Electronics</v>
      </c>
      <c r="N833" t="str">
        <f>VLOOKUP(D833,tblProduct[],3,FALSE)</f>
        <v>Medium</v>
      </c>
      <c r="O833">
        <f>VLOOKUP(D833,tblProduct[],4,FALSE)</f>
        <v>80000</v>
      </c>
      <c r="P833">
        <v>177.46</v>
      </c>
      <c r="Q833" s="19" t="str">
        <f t="shared" si="12"/>
        <v>Dec-2023</v>
      </c>
      <c r="R833" s="26">
        <f>DATE(YEAR(tblEnriched[[#This Row],[Date]]),MONTH(tblEnriched[[#This Row],[Date]]),1)</f>
        <v>45261</v>
      </c>
    </row>
    <row r="834" spans="1:18">
      <c r="A834" t="s">
        <v>3075</v>
      </c>
      <c r="B834" s="10">
        <v>45363</v>
      </c>
      <c r="C834" t="s">
        <v>3076</v>
      </c>
      <c r="D834" t="s">
        <v>47</v>
      </c>
      <c r="E834">
        <v>5</v>
      </c>
      <c r="F834" s="4">
        <v>485.71</v>
      </c>
      <c r="G834" t="s">
        <v>33</v>
      </c>
      <c r="H834" t="s">
        <v>95</v>
      </c>
      <c r="I834">
        <v>10</v>
      </c>
      <c r="J834" t="s">
        <v>27</v>
      </c>
      <c r="K834" t="s">
        <v>35</v>
      </c>
      <c r="L834" s="4">
        <v>2428.5500000000002</v>
      </c>
      <c r="M834" t="str">
        <f>VLOOKUP(D834,tblProduct[],2,FALSE)</f>
        <v>Furniture</v>
      </c>
      <c r="N834" t="str">
        <f>VLOOKUP(D834,tblProduct[],3,FALSE)</f>
        <v>Medium</v>
      </c>
      <c r="O834">
        <f>VLOOKUP(D834,tblProduct[],4,FALSE)</f>
        <v>70000</v>
      </c>
      <c r="P834">
        <v>2428.5500000000002</v>
      </c>
      <c r="Q834" s="19" t="str">
        <f t="shared" ref="Q834:Q897" si="13">TEXT(B834,"mmm-yyyy")</f>
        <v>Mar-2024</v>
      </c>
      <c r="R834" s="26">
        <f>DATE(YEAR(tblEnriched[[#This Row],[Date]]),MONTH(tblEnriched[[#This Row],[Date]]),1)</f>
        <v>45352</v>
      </c>
    </row>
    <row r="835" spans="1:18">
      <c r="A835" t="s">
        <v>3078</v>
      </c>
      <c r="B835" s="10">
        <v>45730</v>
      </c>
      <c r="C835" t="s">
        <v>3079</v>
      </c>
      <c r="D835" t="s">
        <v>31</v>
      </c>
      <c r="E835">
        <v>5</v>
      </c>
      <c r="F835" s="4">
        <v>78.290000000000006</v>
      </c>
      <c r="G835" t="s">
        <v>40</v>
      </c>
      <c r="H835" t="s">
        <v>25</v>
      </c>
      <c r="I835">
        <v>5</v>
      </c>
      <c r="J835" t="s">
        <v>87</v>
      </c>
      <c r="K835" t="s">
        <v>35</v>
      </c>
      <c r="L835" s="4">
        <v>391.45</v>
      </c>
      <c r="M835" t="str">
        <f>VLOOKUP(D835,tblProduct[],2,FALSE)</f>
        <v>Electronics</v>
      </c>
      <c r="N835" t="str">
        <f>VLOOKUP(D835,tblProduct[],3,FALSE)</f>
        <v>High</v>
      </c>
      <c r="O835">
        <f>VLOOKUP(D835,tblProduct[],4,FALSE)</f>
        <v>120000</v>
      </c>
      <c r="P835">
        <v>391.45</v>
      </c>
      <c r="Q835" s="19" t="str">
        <f t="shared" si="13"/>
        <v>Mar-2025</v>
      </c>
      <c r="R835" s="26">
        <f>DATE(YEAR(tblEnriched[[#This Row],[Date]]),MONTH(tblEnriched[[#This Row],[Date]]),1)</f>
        <v>45717</v>
      </c>
    </row>
    <row r="836" spans="1:18">
      <c r="A836" t="s">
        <v>3082</v>
      </c>
      <c r="B836" s="10">
        <v>45393</v>
      </c>
      <c r="C836" t="s">
        <v>3083</v>
      </c>
      <c r="D836" t="s">
        <v>54</v>
      </c>
      <c r="E836">
        <v>5</v>
      </c>
      <c r="F836" s="4">
        <v>22.14</v>
      </c>
      <c r="G836" t="s">
        <v>71</v>
      </c>
      <c r="H836" t="s">
        <v>49</v>
      </c>
      <c r="I836">
        <v>10</v>
      </c>
      <c r="K836" t="s">
        <v>28</v>
      </c>
      <c r="L836" s="4">
        <v>110.7</v>
      </c>
      <c r="M836" t="str">
        <f>VLOOKUP(D836,tblProduct[],2,FALSE)</f>
        <v>Electronics</v>
      </c>
      <c r="N836" t="str">
        <f>VLOOKUP(D836,tblProduct[],3,FALSE)</f>
        <v>Medium</v>
      </c>
      <c r="O836">
        <f>VLOOKUP(D836,tblProduct[],4,FALSE)</f>
        <v>80000</v>
      </c>
      <c r="P836">
        <v>110.7</v>
      </c>
      <c r="Q836" s="19" t="str">
        <f t="shared" si="13"/>
        <v>Apr-2024</v>
      </c>
      <c r="R836" s="26">
        <f>DATE(YEAR(tblEnriched[[#This Row],[Date]]),MONTH(tblEnriched[[#This Row],[Date]]),1)</f>
        <v>45383</v>
      </c>
    </row>
    <row r="837" spans="1:18">
      <c r="A837" t="s">
        <v>3085</v>
      </c>
      <c r="B837" s="10">
        <v>45377</v>
      </c>
      <c r="C837" t="s">
        <v>3086</v>
      </c>
      <c r="D837" t="s">
        <v>79</v>
      </c>
      <c r="E837">
        <v>1</v>
      </c>
      <c r="F837" s="4">
        <v>679.65</v>
      </c>
      <c r="G837" t="s">
        <v>24</v>
      </c>
      <c r="H837" t="s">
        <v>25</v>
      </c>
      <c r="I837">
        <v>6</v>
      </c>
      <c r="J837" t="s">
        <v>43</v>
      </c>
      <c r="K837" t="s">
        <v>82</v>
      </c>
      <c r="L837" s="4">
        <v>679.65</v>
      </c>
      <c r="M837" t="str">
        <f>VLOOKUP(D837,tblProduct[],2,FALSE)</f>
        <v>Furniture</v>
      </c>
      <c r="N837" t="str">
        <f>VLOOKUP(D837,tblProduct[],3,FALSE)</f>
        <v>High</v>
      </c>
      <c r="O837">
        <f>VLOOKUP(D837,tblProduct[],4,FALSE)</f>
        <v>75000</v>
      </c>
      <c r="P837">
        <v>679.65</v>
      </c>
      <c r="Q837" s="19" t="str">
        <f t="shared" si="13"/>
        <v>Mar-2024</v>
      </c>
      <c r="R837" s="26">
        <f>DATE(YEAR(tblEnriched[[#This Row],[Date]]),MONTH(tblEnriched[[#This Row],[Date]]),1)</f>
        <v>45352</v>
      </c>
    </row>
    <row r="838" spans="1:18">
      <c r="A838" t="s">
        <v>3089</v>
      </c>
      <c r="B838" s="10">
        <v>44959</v>
      </c>
      <c r="C838" t="s">
        <v>3090</v>
      </c>
      <c r="D838" t="s">
        <v>31</v>
      </c>
      <c r="E838">
        <v>1</v>
      </c>
      <c r="F838" s="4">
        <v>178.44</v>
      </c>
      <c r="G838" t="s">
        <v>40</v>
      </c>
      <c r="H838" t="s">
        <v>41</v>
      </c>
      <c r="I838">
        <v>2</v>
      </c>
      <c r="J838" t="s">
        <v>43</v>
      </c>
      <c r="K838" t="s">
        <v>82</v>
      </c>
      <c r="L838" s="4">
        <v>178.44</v>
      </c>
      <c r="M838" t="str">
        <f>VLOOKUP(D838,tblProduct[],2,FALSE)</f>
        <v>Electronics</v>
      </c>
      <c r="N838" t="str">
        <f>VLOOKUP(D838,tblProduct[],3,FALSE)</f>
        <v>High</v>
      </c>
      <c r="O838">
        <f>VLOOKUP(D838,tblProduct[],4,FALSE)</f>
        <v>120000</v>
      </c>
      <c r="P838">
        <v>178.44</v>
      </c>
      <c r="Q838" s="19" t="str">
        <f t="shared" si="13"/>
        <v>Feb-2023</v>
      </c>
      <c r="R838" s="26">
        <f>DATE(YEAR(tblEnriched[[#This Row],[Date]]),MONTH(tblEnriched[[#This Row],[Date]]),1)</f>
        <v>44958</v>
      </c>
    </row>
    <row r="839" spans="1:18">
      <c r="A839" t="s">
        <v>3092</v>
      </c>
      <c r="B839" s="10">
        <v>45822</v>
      </c>
      <c r="C839" t="s">
        <v>3093</v>
      </c>
      <c r="D839" t="s">
        <v>47</v>
      </c>
      <c r="E839">
        <v>5</v>
      </c>
      <c r="F839" s="4">
        <v>655.55</v>
      </c>
      <c r="G839" t="s">
        <v>33</v>
      </c>
      <c r="H839" t="s">
        <v>56</v>
      </c>
      <c r="I839">
        <v>5</v>
      </c>
      <c r="K839" t="s">
        <v>44</v>
      </c>
      <c r="L839" s="4">
        <v>3277.75</v>
      </c>
      <c r="M839" t="str">
        <f>VLOOKUP(D839,tblProduct[],2,FALSE)</f>
        <v>Furniture</v>
      </c>
      <c r="N839" t="str">
        <f>VLOOKUP(D839,tblProduct[],3,FALSE)</f>
        <v>Medium</v>
      </c>
      <c r="O839">
        <f>VLOOKUP(D839,tblProduct[],4,FALSE)</f>
        <v>70000</v>
      </c>
      <c r="P839">
        <v>3277.75</v>
      </c>
      <c r="Q839" s="19" t="str">
        <f t="shared" si="13"/>
        <v>Jun-2025</v>
      </c>
      <c r="R839" s="26">
        <f>DATE(YEAR(tblEnriched[[#This Row],[Date]]),MONTH(tblEnriched[[#This Row],[Date]]),1)</f>
        <v>45809</v>
      </c>
    </row>
    <row r="840" spans="1:18">
      <c r="A840" t="s">
        <v>3095</v>
      </c>
      <c r="B840" s="10">
        <v>45393</v>
      </c>
      <c r="C840" t="s">
        <v>3096</v>
      </c>
      <c r="D840" t="s">
        <v>79</v>
      </c>
      <c r="E840">
        <v>4</v>
      </c>
      <c r="F840" s="4">
        <v>577.08000000000004</v>
      </c>
      <c r="G840" t="s">
        <v>33</v>
      </c>
      <c r="H840" t="s">
        <v>95</v>
      </c>
      <c r="I840">
        <v>8</v>
      </c>
      <c r="K840" t="s">
        <v>51</v>
      </c>
      <c r="L840" s="4">
        <v>2308.3200000000002</v>
      </c>
      <c r="M840" t="str">
        <f>VLOOKUP(D840,tblProduct[],2,FALSE)</f>
        <v>Furniture</v>
      </c>
      <c r="N840" t="str">
        <f>VLOOKUP(D840,tblProduct[],3,FALSE)</f>
        <v>High</v>
      </c>
      <c r="O840">
        <f>VLOOKUP(D840,tblProduct[],4,FALSE)</f>
        <v>75000</v>
      </c>
      <c r="P840">
        <v>2308.3200000000002</v>
      </c>
      <c r="Q840" s="19" t="str">
        <f t="shared" si="13"/>
        <v>Apr-2024</v>
      </c>
      <c r="R840" s="26">
        <f>DATE(YEAR(tblEnriched[[#This Row],[Date]]),MONTH(tblEnriched[[#This Row],[Date]]),1)</f>
        <v>45383</v>
      </c>
    </row>
    <row r="841" spans="1:18">
      <c r="A841" t="s">
        <v>3098</v>
      </c>
      <c r="B841" s="10">
        <v>45162</v>
      </c>
      <c r="C841" t="s">
        <v>3099</v>
      </c>
      <c r="D841" t="s">
        <v>47</v>
      </c>
      <c r="E841">
        <v>3</v>
      </c>
      <c r="F841" s="4">
        <v>197.97</v>
      </c>
      <c r="G841" t="s">
        <v>33</v>
      </c>
      <c r="H841" t="s">
        <v>41</v>
      </c>
      <c r="I841">
        <v>5</v>
      </c>
      <c r="K841" t="s">
        <v>82</v>
      </c>
      <c r="L841" s="4">
        <v>593.91</v>
      </c>
      <c r="M841" t="str">
        <f>VLOOKUP(D841,tblProduct[],2,FALSE)</f>
        <v>Furniture</v>
      </c>
      <c r="N841" t="str">
        <f>VLOOKUP(D841,tblProduct[],3,FALSE)</f>
        <v>Medium</v>
      </c>
      <c r="O841">
        <f>VLOOKUP(D841,tblProduct[],4,FALSE)</f>
        <v>70000</v>
      </c>
      <c r="P841">
        <v>593.91</v>
      </c>
      <c r="Q841" s="19" t="str">
        <f t="shared" si="13"/>
        <v>Aug-2023</v>
      </c>
      <c r="R841" s="26">
        <f>DATE(YEAR(tblEnriched[[#This Row],[Date]]),MONTH(tblEnriched[[#This Row],[Date]]),1)</f>
        <v>45139</v>
      </c>
    </row>
    <row r="842" spans="1:18">
      <c r="A842" t="s">
        <v>3101</v>
      </c>
      <c r="B842" s="10">
        <v>45305</v>
      </c>
      <c r="C842" t="s">
        <v>3102</v>
      </c>
      <c r="D842" t="s">
        <v>47</v>
      </c>
      <c r="E842">
        <v>3</v>
      </c>
      <c r="F842" s="4">
        <v>411.95</v>
      </c>
      <c r="G842" t="s">
        <v>40</v>
      </c>
      <c r="H842" t="s">
        <v>56</v>
      </c>
      <c r="I842">
        <v>7</v>
      </c>
      <c r="J842" t="s">
        <v>43</v>
      </c>
      <c r="K842" t="s">
        <v>35</v>
      </c>
      <c r="L842" s="4">
        <v>1235.8499999999999</v>
      </c>
      <c r="M842" t="str">
        <f>VLOOKUP(D842,tblProduct[],2,FALSE)</f>
        <v>Furniture</v>
      </c>
      <c r="N842" t="str">
        <f>VLOOKUP(D842,tblProduct[],3,FALSE)</f>
        <v>Medium</v>
      </c>
      <c r="O842">
        <f>VLOOKUP(D842,tblProduct[],4,FALSE)</f>
        <v>70000</v>
      </c>
      <c r="P842">
        <v>1235.8499999999999</v>
      </c>
      <c r="Q842" s="19" t="str">
        <f t="shared" si="13"/>
        <v>Jan-2024</v>
      </c>
      <c r="R842" s="26">
        <f>DATE(YEAR(tblEnriched[[#This Row],[Date]]),MONTH(tblEnriched[[#This Row],[Date]]),1)</f>
        <v>45292</v>
      </c>
    </row>
    <row r="843" spans="1:18">
      <c r="A843" t="s">
        <v>3104</v>
      </c>
      <c r="B843" s="10">
        <v>45554</v>
      </c>
      <c r="C843" t="s">
        <v>3105</v>
      </c>
      <c r="D843" t="s">
        <v>54</v>
      </c>
      <c r="E843">
        <v>2</v>
      </c>
      <c r="F843" s="4">
        <v>443.22</v>
      </c>
      <c r="G843" t="s">
        <v>40</v>
      </c>
      <c r="H843" t="s">
        <v>56</v>
      </c>
      <c r="I843">
        <v>5</v>
      </c>
      <c r="K843" t="s">
        <v>51</v>
      </c>
      <c r="L843" s="4">
        <v>886.44</v>
      </c>
      <c r="M843" t="str">
        <f>VLOOKUP(D843,tblProduct[],2,FALSE)</f>
        <v>Electronics</v>
      </c>
      <c r="N843" t="str">
        <f>VLOOKUP(D843,tblProduct[],3,FALSE)</f>
        <v>Medium</v>
      </c>
      <c r="O843">
        <f>VLOOKUP(D843,tblProduct[],4,FALSE)</f>
        <v>80000</v>
      </c>
      <c r="P843">
        <v>886.44</v>
      </c>
      <c r="Q843" s="19" t="str">
        <f t="shared" si="13"/>
        <v>Sep-2024</v>
      </c>
      <c r="R843" s="26">
        <f>DATE(YEAR(tblEnriched[[#This Row],[Date]]),MONTH(tblEnriched[[#This Row],[Date]]),1)</f>
        <v>45536</v>
      </c>
    </row>
    <row r="844" spans="1:18">
      <c r="A844" t="s">
        <v>3108</v>
      </c>
      <c r="B844" s="10">
        <v>45784</v>
      </c>
      <c r="C844" t="s">
        <v>3109</v>
      </c>
      <c r="D844" t="s">
        <v>64</v>
      </c>
      <c r="E844">
        <v>3</v>
      </c>
      <c r="F844" s="4">
        <v>364.14</v>
      </c>
      <c r="G844" t="s">
        <v>33</v>
      </c>
      <c r="H844" t="s">
        <v>95</v>
      </c>
      <c r="I844">
        <v>7</v>
      </c>
      <c r="J844" t="s">
        <v>87</v>
      </c>
      <c r="K844" t="s">
        <v>35</v>
      </c>
      <c r="L844" s="4">
        <v>1092.42</v>
      </c>
      <c r="M844" t="str">
        <f>VLOOKUP(D844,tblProduct[],2,FALSE)</f>
        <v>Electronics</v>
      </c>
      <c r="N844" t="str">
        <f>VLOOKUP(D844,tblProduct[],3,FALSE)</f>
        <v>High</v>
      </c>
      <c r="O844">
        <f>VLOOKUP(D844,tblProduct[],4,FALSE)</f>
        <v>150000</v>
      </c>
      <c r="P844">
        <v>1092.42</v>
      </c>
      <c r="Q844" s="19" t="str">
        <f t="shared" si="13"/>
        <v>May-2025</v>
      </c>
      <c r="R844" s="26">
        <f>DATE(YEAR(tblEnriched[[#This Row],[Date]]),MONTH(tblEnriched[[#This Row],[Date]]),1)</f>
        <v>45778</v>
      </c>
    </row>
    <row r="845" spans="1:18">
      <c r="A845" t="s">
        <v>3111</v>
      </c>
      <c r="B845" s="10">
        <v>45790</v>
      </c>
      <c r="C845" t="s">
        <v>3112</v>
      </c>
      <c r="D845" t="s">
        <v>79</v>
      </c>
      <c r="E845">
        <v>3</v>
      </c>
      <c r="F845" s="4">
        <v>430.06</v>
      </c>
      <c r="G845" t="s">
        <v>66</v>
      </c>
      <c r="H845" t="s">
        <v>41</v>
      </c>
      <c r="I845">
        <v>8</v>
      </c>
      <c r="J845" t="s">
        <v>43</v>
      </c>
      <c r="K845" t="s">
        <v>28</v>
      </c>
      <c r="L845" s="4">
        <v>1290.18</v>
      </c>
      <c r="M845" t="str">
        <f>VLOOKUP(D845,tblProduct[],2,FALSE)</f>
        <v>Furniture</v>
      </c>
      <c r="N845" t="str">
        <f>VLOOKUP(D845,tblProduct[],3,FALSE)</f>
        <v>High</v>
      </c>
      <c r="O845">
        <f>VLOOKUP(D845,tblProduct[],4,FALSE)</f>
        <v>75000</v>
      </c>
      <c r="P845">
        <v>1290.18</v>
      </c>
      <c r="Q845" s="19" t="str">
        <f t="shared" si="13"/>
        <v>May-2025</v>
      </c>
      <c r="R845" s="26">
        <f>DATE(YEAR(tblEnriched[[#This Row],[Date]]),MONTH(tblEnriched[[#This Row],[Date]]),1)</f>
        <v>45778</v>
      </c>
    </row>
    <row r="846" spans="1:18">
      <c r="A846" t="s">
        <v>3115</v>
      </c>
      <c r="B846" s="10">
        <v>45630</v>
      </c>
      <c r="C846" t="s">
        <v>3116</v>
      </c>
      <c r="D846" t="s">
        <v>47</v>
      </c>
      <c r="E846">
        <v>1</v>
      </c>
      <c r="F846" s="4">
        <v>320.92</v>
      </c>
      <c r="G846" t="s">
        <v>33</v>
      </c>
      <c r="H846" t="s">
        <v>49</v>
      </c>
      <c r="I846">
        <v>5</v>
      </c>
      <c r="J846" t="s">
        <v>43</v>
      </c>
      <c r="K846" t="s">
        <v>51</v>
      </c>
      <c r="L846" s="4">
        <v>320.92</v>
      </c>
      <c r="M846" t="str">
        <f>VLOOKUP(D846,tblProduct[],2,FALSE)</f>
        <v>Furniture</v>
      </c>
      <c r="N846" t="str">
        <f>VLOOKUP(D846,tblProduct[],3,FALSE)</f>
        <v>Medium</v>
      </c>
      <c r="O846">
        <f>VLOOKUP(D846,tblProduct[],4,FALSE)</f>
        <v>70000</v>
      </c>
      <c r="P846">
        <v>320.92</v>
      </c>
      <c r="Q846" s="19" t="str">
        <f t="shared" si="13"/>
        <v>Dec-2024</v>
      </c>
      <c r="R846" s="26">
        <f>DATE(YEAR(tblEnriched[[#This Row],[Date]]),MONTH(tblEnriched[[#This Row],[Date]]),1)</f>
        <v>45627</v>
      </c>
    </row>
    <row r="847" spans="1:18">
      <c r="A847" t="s">
        <v>3119</v>
      </c>
      <c r="B847" s="10">
        <v>45207</v>
      </c>
      <c r="C847" t="s">
        <v>3120</v>
      </c>
      <c r="D847" t="s">
        <v>31</v>
      </c>
      <c r="E847">
        <v>3</v>
      </c>
      <c r="F847" s="4">
        <v>107.36</v>
      </c>
      <c r="G847" t="s">
        <v>66</v>
      </c>
      <c r="H847" t="s">
        <v>56</v>
      </c>
      <c r="I847">
        <v>5</v>
      </c>
      <c r="J847" t="s">
        <v>43</v>
      </c>
      <c r="K847" t="s">
        <v>82</v>
      </c>
      <c r="L847" s="4">
        <v>322.08</v>
      </c>
      <c r="M847" t="str">
        <f>VLOOKUP(D847,tblProduct[],2,FALSE)</f>
        <v>Electronics</v>
      </c>
      <c r="N847" t="str">
        <f>VLOOKUP(D847,tblProduct[],3,FALSE)</f>
        <v>High</v>
      </c>
      <c r="O847">
        <f>VLOOKUP(D847,tblProduct[],4,FALSE)</f>
        <v>120000</v>
      </c>
      <c r="P847">
        <v>322.08</v>
      </c>
      <c r="Q847" s="19" t="str">
        <f t="shared" si="13"/>
        <v>Oct-2023</v>
      </c>
      <c r="R847" s="26">
        <f>DATE(YEAR(tblEnriched[[#This Row],[Date]]),MONTH(tblEnriched[[#This Row],[Date]]),1)</f>
        <v>45200</v>
      </c>
    </row>
    <row r="848" spans="1:18">
      <c r="A848" t="s">
        <v>3123</v>
      </c>
      <c r="B848" s="10">
        <v>45477</v>
      </c>
      <c r="C848" t="s">
        <v>3124</v>
      </c>
      <c r="D848" t="s">
        <v>79</v>
      </c>
      <c r="E848">
        <v>2</v>
      </c>
      <c r="F848" s="4">
        <v>359.86</v>
      </c>
      <c r="G848" t="s">
        <v>24</v>
      </c>
      <c r="H848" t="s">
        <v>41</v>
      </c>
      <c r="I848">
        <v>4</v>
      </c>
      <c r="K848" t="s">
        <v>35</v>
      </c>
      <c r="L848" s="4">
        <v>719.72</v>
      </c>
      <c r="M848" t="str">
        <f>VLOOKUP(D848,tblProduct[],2,FALSE)</f>
        <v>Furniture</v>
      </c>
      <c r="N848" t="str">
        <f>VLOOKUP(D848,tblProduct[],3,FALSE)</f>
        <v>High</v>
      </c>
      <c r="O848">
        <f>VLOOKUP(D848,tblProduct[],4,FALSE)</f>
        <v>75000</v>
      </c>
      <c r="P848">
        <v>719.72</v>
      </c>
      <c r="Q848" s="19" t="str">
        <f t="shared" si="13"/>
        <v>Jul-2024</v>
      </c>
      <c r="R848" s="26">
        <f>DATE(YEAR(tblEnriched[[#This Row],[Date]]),MONTH(tblEnriched[[#This Row],[Date]]),1)</f>
        <v>45474</v>
      </c>
    </row>
    <row r="849" spans="1:18">
      <c r="A849" t="s">
        <v>3127</v>
      </c>
      <c r="B849" s="10">
        <v>45614</v>
      </c>
      <c r="C849" t="s">
        <v>3128</v>
      </c>
      <c r="D849" t="s">
        <v>54</v>
      </c>
      <c r="E849">
        <v>4</v>
      </c>
      <c r="F849" s="4">
        <v>434.23</v>
      </c>
      <c r="G849" t="s">
        <v>33</v>
      </c>
      <c r="H849" t="s">
        <v>25</v>
      </c>
      <c r="I849">
        <v>8</v>
      </c>
      <c r="J849" t="s">
        <v>43</v>
      </c>
      <c r="K849" t="s">
        <v>44</v>
      </c>
      <c r="L849" s="4">
        <v>1736.92</v>
      </c>
      <c r="M849" t="str">
        <f>VLOOKUP(D849,tblProduct[],2,FALSE)</f>
        <v>Electronics</v>
      </c>
      <c r="N849" t="str">
        <f>VLOOKUP(D849,tblProduct[],3,FALSE)</f>
        <v>Medium</v>
      </c>
      <c r="O849">
        <f>VLOOKUP(D849,tblProduct[],4,FALSE)</f>
        <v>80000</v>
      </c>
      <c r="P849">
        <v>1736.92</v>
      </c>
      <c r="Q849" s="19" t="str">
        <f t="shared" si="13"/>
        <v>Nov-2024</v>
      </c>
      <c r="R849" s="26">
        <f>DATE(YEAR(tblEnriched[[#This Row],[Date]]),MONTH(tblEnriched[[#This Row],[Date]]),1)</f>
        <v>45597</v>
      </c>
    </row>
    <row r="850" spans="1:18">
      <c r="A850" t="s">
        <v>3130</v>
      </c>
      <c r="B850" s="10">
        <v>44927</v>
      </c>
      <c r="C850" t="s">
        <v>3131</v>
      </c>
      <c r="D850" t="s">
        <v>47</v>
      </c>
      <c r="E850">
        <v>2</v>
      </c>
      <c r="F850" s="4">
        <v>645.85</v>
      </c>
      <c r="G850" t="s">
        <v>33</v>
      </c>
      <c r="H850" t="s">
        <v>25</v>
      </c>
      <c r="I850">
        <v>5</v>
      </c>
      <c r="K850" t="s">
        <v>35</v>
      </c>
      <c r="L850" s="4">
        <v>1291.7</v>
      </c>
      <c r="M850" t="str">
        <f>VLOOKUP(D850,tblProduct[],2,FALSE)</f>
        <v>Furniture</v>
      </c>
      <c r="N850" t="str">
        <f>VLOOKUP(D850,tblProduct[],3,FALSE)</f>
        <v>Medium</v>
      </c>
      <c r="O850">
        <f>VLOOKUP(D850,tblProduct[],4,FALSE)</f>
        <v>70000</v>
      </c>
      <c r="P850">
        <v>1291.7</v>
      </c>
      <c r="Q850" s="19" t="str">
        <f t="shared" si="13"/>
        <v>Jan-2023</v>
      </c>
      <c r="R850" s="26">
        <f>DATE(YEAR(tblEnriched[[#This Row],[Date]]),MONTH(tblEnriched[[#This Row],[Date]]),1)</f>
        <v>44927</v>
      </c>
    </row>
    <row r="851" spans="1:18">
      <c r="A851" t="s">
        <v>3133</v>
      </c>
      <c r="B851" s="10">
        <v>45817</v>
      </c>
      <c r="C851" t="s">
        <v>3134</v>
      </c>
      <c r="D851" t="s">
        <v>54</v>
      </c>
      <c r="E851">
        <v>4</v>
      </c>
      <c r="F851" s="4">
        <v>214.35</v>
      </c>
      <c r="G851" t="s">
        <v>24</v>
      </c>
      <c r="H851" t="s">
        <v>41</v>
      </c>
      <c r="I851">
        <v>7</v>
      </c>
      <c r="J851" t="s">
        <v>87</v>
      </c>
      <c r="K851" t="s">
        <v>35</v>
      </c>
      <c r="L851" s="4">
        <v>857.4</v>
      </c>
      <c r="M851" t="str">
        <f>VLOOKUP(D851,tblProduct[],2,FALSE)</f>
        <v>Electronics</v>
      </c>
      <c r="N851" t="str">
        <f>VLOOKUP(D851,tblProduct[],3,FALSE)</f>
        <v>Medium</v>
      </c>
      <c r="O851">
        <f>VLOOKUP(D851,tblProduct[],4,FALSE)</f>
        <v>80000</v>
      </c>
      <c r="P851">
        <v>857.4</v>
      </c>
      <c r="Q851" s="19" t="str">
        <f t="shared" si="13"/>
        <v>Jun-2025</v>
      </c>
      <c r="R851" s="26">
        <f>DATE(YEAR(tblEnriched[[#This Row],[Date]]),MONTH(tblEnriched[[#This Row],[Date]]),1)</f>
        <v>45809</v>
      </c>
    </row>
    <row r="852" spans="1:18">
      <c r="A852" t="s">
        <v>3136</v>
      </c>
      <c r="B852" s="10">
        <v>45774</v>
      </c>
      <c r="C852" t="s">
        <v>3137</v>
      </c>
      <c r="D852" t="s">
        <v>22</v>
      </c>
      <c r="E852">
        <v>3</v>
      </c>
      <c r="F852" s="4">
        <v>638.5</v>
      </c>
      <c r="G852" t="s">
        <v>24</v>
      </c>
      <c r="H852" t="s">
        <v>41</v>
      </c>
      <c r="I852">
        <v>4</v>
      </c>
      <c r="J852" t="s">
        <v>43</v>
      </c>
      <c r="K852" t="s">
        <v>28</v>
      </c>
      <c r="L852" s="4">
        <v>1915.5</v>
      </c>
      <c r="M852" t="str">
        <f>VLOOKUP(D852,tblProduct[],2,FALSE)</f>
        <v>Electronics</v>
      </c>
      <c r="N852" t="str">
        <f>VLOOKUP(D852,tblProduct[],3,FALSE)</f>
        <v>Medium</v>
      </c>
      <c r="O852">
        <f>VLOOKUP(D852,tblProduct[],4,FALSE)</f>
        <v>90000</v>
      </c>
      <c r="P852">
        <v>1915.5</v>
      </c>
      <c r="Q852" s="19" t="str">
        <f t="shared" si="13"/>
        <v>Apr-2025</v>
      </c>
      <c r="R852" s="26">
        <f>DATE(YEAR(tblEnriched[[#This Row],[Date]]),MONTH(tblEnriched[[#This Row],[Date]]),1)</f>
        <v>45748</v>
      </c>
    </row>
    <row r="853" spans="1:18">
      <c r="A853" t="s">
        <v>3139</v>
      </c>
      <c r="B853" s="10">
        <v>45272</v>
      </c>
      <c r="C853" t="s">
        <v>3140</v>
      </c>
      <c r="D853" t="s">
        <v>64</v>
      </c>
      <c r="E853">
        <v>1</v>
      </c>
      <c r="F853" s="4">
        <v>365.57</v>
      </c>
      <c r="G853" t="s">
        <v>33</v>
      </c>
      <c r="H853" t="s">
        <v>41</v>
      </c>
      <c r="I853">
        <v>5</v>
      </c>
      <c r="J853" t="s">
        <v>27</v>
      </c>
      <c r="K853" t="s">
        <v>44</v>
      </c>
      <c r="L853" s="4">
        <v>365.57</v>
      </c>
      <c r="M853" t="str">
        <f>VLOOKUP(D853,tblProduct[],2,FALSE)</f>
        <v>Electronics</v>
      </c>
      <c r="N853" t="str">
        <f>VLOOKUP(D853,tblProduct[],3,FALSE)</f>
        <v>High</v>
      </c>
      <c r="O853">
        <f>VLOOKUP(D853,tblProduct[],4,FALSE)</f>
        <v>150000</v>
      </c>
      <c r="P853">
        <v>365.57</v>
      </c>
      <c r="Q853" s="19" t="str">
        <f t="shared" si="13"/>
        <v>Dec-2023</v>
      </c>
      <c r="R853" s="26">
        <f>DATE(YEAR(tblEnriched[[#This Row],[Date]]),MONTH(tblEnriched[[#This Row],[Date]]),1)</f>
        <v>45261</v>
      </c>
    </row>
    <row r="854" spans="1:18">
      <c r="A854" t="s">
        <v>3142</v>
      </c>
      <c r="B854" s="10">
        <v>45589</v>
      </c>
      <c r="C854" t="s">
        <v>3143</v>
      </c>
      <c r="D854" t="s">
        <v>79</v>
      </c>
      <c r="E854">
        <v>3</v>
      </c>
      <c r="F854" s="4">
        <v>568.04999999999995</v>
      </c>
      <c r="G854" t="s">
        <v>66</v>
      </c>
      <c r="H854" t="s">
        <v>95</v>
      </c>
      <c r="I854">
        <v>6</v>
      </c>
      <c r="J854" t="s">
        <v>27</v>
      </c>
      <c r="K854" t="s">
        <v>82</v>
      </c>
      <c r="L854" s="4">
        <v>1704.15</v>
      </c>
      <c r="M854" t="str">
        <f>VLOOKUP(D854,tblProduct[],2,FALSE)</f>
        <v>Furniture</v>
      </c>
      <c r="N854" t="str">
        <f>VLOOKUP(D854,tblProduct[],3,FALSE)</f>
        <v>High</v>
      </c>
      <c r="O854">
        <f>VLOOKUP(D854,tblProduct[],4,FALSE)</f>
        <v>75000</v>
      </c>
      <c r="P854">
        <v>1704.15</v>
      </c>
      <c r="Q854" s="19" t="str">
        <f t="shared" si="13"/>
        <v>Oct-2024</v>
      </c>
      <c r="R854" s="26">
        <f>DATE(YEAR(tblEnriched[[#This Row],[Date]]),MONTH(tblEnriched[[#This Row],[Date]]),1)</f>
        <v>45566</v>
      </c>
    </row>
    <row r="855" spans="1:18">
      <c r="A855" t="s">
        <v>3146</v>
      </c>
      <c r="B855" s="10">
        <v>45215</v>
      </c>
      <c r="C855" t="s">
        <v>3147</v>
      </c>
      <c r="D855" t="s">
        <v>54</v>
      </c>
      <c r="E855">
        <v>3</v>
      </c>
      <c r="F855" s="4">
        <v>490.01</v>
      </c>
      <c r="G855" t="s">
        <v>71</v>
      </c>
      <c r="H855" t="s">
        <v>49</v>
      </c>
      <c r="I855">
        <v>4</v>
      </c>
      <c r="J855" t="s">
        <v>27</v>
      </c>
      <c r="K855" t="s">
        <v>51</v>
      </c>
      <c r="L855" s="4">
        <v>1470.03</v>
      </c>
      <c r="M855" t="str">
        <f>VLOOKUP(D855,tblProduct[],2,FALSE)</f>
        <v>Electronics</v>
      </c>
      <c r="N855" t="str">
        <f>VLOOKUP(D855,tblProduct[],3,FALSE)</f>
        <v>Medium</v>
      </c>
      <c r="O855">
        <f>VLOOKUP(D855,tblProduct[],4,FALSE)</f>
        <v>80000</v>
      </c>
      <c r="P855">
        <v>1470.03</v>
      </c>
      <c r="Q855" s="19" t="str">
        <f t="shared" si="13"/>
        <v>Oct-2023</v>
      </c>
      <c r="R855" s="26">
        <f>DATE(YEAR(tblEnriched[[#This Row],[Date]]),MONTH(tblEnriched[[#This Row],[Date]]),1)</f>
        <v>45200</v>
      </c>
    </row>
    <row r="856" spans="1:18">
      <c r="A856" t="s">
        <v>3149</v>
      </c>
      <c r="B856" s="10">
        <v>45821</v>
      </c>
      <c r="C856" t="s">
        <v>3150</v>
      </c>
      <c r="D856" t="s">
        <v>64</v>
      </c>
      <c r="E856">
        <v>3</v>
      </c>
      <c r="F856" s="4">
        <v>372.6</v>
      </c>
      <c r="G856" t="s">
        <v>40</v>
      </c>
      <c r="H856" t="s">
        <v>56</v>
      </c>
      <c r="I856">
        <v>7</v>
      </c>
      <c r="J856" t="s">
        <v>87</v>
      </c>
      <c r="K856" t="s">
        <v>35</v>
      </c>
      <c r="L856" s="4">
        <v>1117.8</v>
      </c>
      <c r="M856" t="str">
        <f>VLOOKUP(D856,tblProduct[],2,FALSE)</f>
        <v>Electronics</v>
      </c>
      <c r="N856" t="str">
        <f>VLOOKUP(D856,tblProduct[],3,FALSE)</f>
        <v>High</v>
      </c>
      <c r="O856">
        <f>VLOOKUP(D856,tblProduct[],4,FALSE)</f>
        <v>150000</v>
      </c>
      <c r="P856">
        <v>1117.8</v>
      </c>
      <c r="Q856" s="19" t="str">
        <f t="shared" si="13"/>
        <v>Jun-2025</v>
      </c>
      <c r="R856" s="26">
        <f>DATE(YEAR(tblEnriched[[#This Row],[Date]]),MONTH(tblEnriched[[#This Row],[Date]]),1)</f>
        <v>45809</v>
      </c>
    </row>
    <row r="857" spans="1:18">
      <c r="A857" t="s">
        <v>3152</v>
      </c>
      <c r="B857" s="10">
        <v>45071</v>
      </c>
      <c r="C857" t="s">
        <v>3153</v>
      </c>
      <c r="D857" t="s">
        <v>22</v>
      </c>
      <c r="E857">
        <v>5</v>
      </c>
      <c r="F857" s="4">
        <v>240.61</v>
      </c>
      <c r="G857" t="s">
        <v>40</v>
      </c>
      <c r="H857" t="s">
        <v>25</v>
      </c>
      <c r="I857">
        <v>10</v>
      </c>
      <c r="J857" t="s">
        <v>43</v>
      </c>
      <c r="K857" t="s">
        <v>44</v>
      </c>
      <c r="L857" s="4">
        <v>1203.05</v>
      </c>
      <c r="M857" t="str">
        <f>VLOOKUP(D857,tblProduct[],2,FALSE)</f>
        <v>Electronics</v>
      </c>
      <c r="N857" t="str">
        <f>VLOOKUP(D857,tblProduct[],3,FALSE)</f>
        <v>Medium</v>
      </c>
      <c r="O857">
        <f>VLOOKUP(D857,tblProduct[],4,FALSE)</f>
        <v>90000</v>
      </c>
      <c r="P857">
        <v>1203.05</v>
      </c>
      <c r="Q857" s="19" t="str">
        <f t="shared" si="13"/>
        <v>May-2023</v>
      </c>
      <c r="R857" s="26">
        <f>DATE(YEAR(tblEnriched[[#This Row],[Date]]),MONTH(tblEnriched[[#This Row],[Date]]),1)</f>
        <v>45047</v>
      </c>
    </row>
    <row r="858" spans="1:18">
      <c r="A858" t="s">
        <v>3155</v>
      </c>
      <c r="B858" s="10">
        <v>45446</v>
      </c>
      <c r="C858" t="s">
        <v>3156</v>
      </c>
      <c r="D858" t="s">
        <v>31</v>
      </c>
      <c r="E858">
        <v>1</v>
      </c>
      <c r="F858" s="4">
        <v>586.62</v>
      </c>
      <c r="G858" t="s">
        <v>24</v>
      </c>
      <c r="H858" t="s">
        <v>25</v>
      </c>
      <c r="I858">
        <v>5</v>
      </c>
      <c r="K858" t="s">
        <v>51</v>
      </c>
      <c r="L858" s="4">
        <v>586.62</v>
      </c>
      <c r="M858" t="str">
        <f>VLOOKUP(D858,tblProduct[],2,FALSE)</f>
        <v>Electronics</v>
      </c>
      <c r="N858" t="str">
        <f>VLOOKUP(D858,tblProduct[],3,FALSE)</f>
        <v>High</v>
      </c>
      <c r="O858">
        <f>VLOOKUP(D858,tblProduct[],4,FALSE)</f>
        <v>120000</v>
      </c>
      <c r="P858">
        <v>586.62</v>
      </c>
      <c r="Q858" s="19" t="str">
        <f t="shared" si="13"/>
        <v>Jun-2024</v>
      </c>
      <c r="R858" s="26">
        <f>DATE(YEAR(tblEnriched[[#This Row],[Date]]),MONTH(tblEnriched[[#This Row],[Date]]),1)</f>
        <v>45444</v>
      </c>
    </row>
    <row r="859" spans="1:18">
      <c r="A859" t="s">
        <v>3158</v>
      </c>
      <c r="B859" s="10">
        <v>45361</v>
      </c>
      <c r="C859" t="s">
        <v>3159</v>
      </c>
      <c r="D859" t="s">
        <v>31</v>
      </c>
      <c r="E859">
        <v>3</v>
      </c>
      <c r="F859" s="4">
        <v>257.83999999999997</v>
      </c>
      <c r="G859" t="s">
        <v>33</v>
      </c>
      <c r="H859" t="s">
        <v>56</v>
      </c>
      <c r="I859">
        <v>4</v>
      </c>
      <c r="K859" t="s">
        <v>28</v>
      </c>
      <c r="L859" s="4">
        <v>773.52</v>
      </c>
      <c r="M859" t="str">
        <f>VLOOKUP(D859,tblProduct[],2,FALSE)</f>
        <v>Electronics</v>
      </c>
      <c r="N859" t="str">
        <f>VLOOKUP(D859,tblProduct[],3,FALSE)</f>
        <v>High</v>
      </c>
      <c r="O859">
        <f>VLOOKUP(D859,tblProduct[],4,FALSE)</f>
        <v>120000</v>
      </c>
      <c r="P859">
        <v>773.52</v>
      </c>
      <c r="Q859" s="19" t="str">
        <f t="shared" si="13"/>
        <v>Mar-2024</v>
      </c>
      <c r="R859" s="26">
        <f>DATE(YEAR(tblEnriched[[#This Row],[Date]]),MONTH(tblEnriched[[#This Row],[Date]]),1)</f>
        <v>45352</v>
      </c>
    </row>
    <row r="860" spans="1:18">
      <c r="A860" t="s">
        <v>3161</v>
      </c>
      <c r="B860" s="10">
        <v>45158</v>
      </c>
      <c r="C860" t="s">
        <v>3162</v>
      </c>
      <c r="D860" t="s">
        <v>38</v>
      </c>
      <c r="E860">
        <v>5</v>
      </c>
      <c r="F860" s="4">
        <v>435.66</v>
      </c>
      <c r="G860" t="s">
        <v>33</v>
      </c>
      <c r="H860" t="s">
        <v>95</v>
      </c>
      <c r="I860">
        <v>9</v>
      </c>
      <c r="K860" t="s">
        <v>51</v>
      </c>
      <c r="L860" s="4">
        <v>2178.3000000000002</v>
      </c>
      <c r="M860" t="str">
        <f>VLOOKUP(D860,tblProduct[],2,FALSE)</f>
        <v>Electronics</v>
      </c>
      <c r="N860" t="str">
        <f>VLOOKUP(D860,tblProduct[],3,FALSE)</f>
        <v>Medium</v>
      </c>
      <c r="O860">
        <f>VLOOKUP(D860,tblProduct[],4,FALSE)</f>
        <v>100000</v>
      </c>
      <c r="P860">
        <v>2178.3000000000002</v>
      </c>
      <c r="Q860" s="19" t="str">
        <f t="shared" si="13"/>
        <v>Aug-2023</v>
      </c>
      <c r="R860" s="26">
        <f>DATE(YEAR(tblEnriched[[#This Row],[Date]]),MONTH(tblEnriched[[#This Row],[Date]]),1)</f>
        <v>45139</v>
      </c>
    </row>
    <row r="861" spans="1:18">
      <c r="A861" t="s">
        <v>3164</v>
      </c>
      <c r="B861" s="10">
        <v>45532</v>
      </c>
      <c r="C861" t="s">
        <v>3165</v>
      </c>
      <c r="D861" t="s">
        <v>47</v>
      </c>
      <c r="E861">
        <v>5</v>
      </c>
      <c r="F861" s="4">
        <v>261.33</v>
      </c>
      <c r="G861" t="s">
        <v>40</v>
      </c>
      <c r="H861" t="s">
        <v>49</v>
      </c>
      <c r="I861">
        <v>5</v>
      </c>
      <c r="J861" t="s">
        <v>27</v>
      </c>
      <c r="K861" t="s">
        <v>35</v>
      </c>
      <c r="L861" s="4">
        <v>1306.6500000000001</v>
      </c>
      <c r="M861" t="str">
        <f>VLOOKUP(D861,tblProduct[],2,FALSE)</f>
        <v>Furniture</v>
      </c>
      <c r="N861" t="str">
        <f>VLOOKUP(D861,tblProduct[],3,FALSE)</f>
        <v>Medium</v>
      </c>
      <c r="O861">
        <f>VLOOKUP(D861,tblProduct[],4,FALSE)</f>
        <v>70000</v>
      </c>
      <c r="P861">
        <v>1306.6500000000001</v>
      </c>
      <c r="Q861" s="19" t="str">
        <f t="shared" si="13"/>
        <v>Aug-2024</v>
      </c>
      <c r="R861" s="26">
        <f>DATE(YEAR(tblEnriched[[#This Row],[Date]]),MONTH(tblEnriched[[#This Row],[Date]]),1)</f>
        <v>45505</v>
      </c>
    </row>
    <row r="862" spans="1:18">
      <c r="A862" t="s">
        <v>3167</v>
      </c>
      <c r="B862" s="10">
        <v>45314</v>
      </c>
      <c r="C862" t="s">
        <v>3168</v>
      </c>
      <c r="D862" t="s">
        <v>54</v>
      </c>
      <c r="E862">
        <v>1</v>
      </c>
      <c r="F862" s="4">
        <v>422.54</v>
      </c>
      <c r="G862" t="s">
        <v>71</v>
      </c>
      <c r="H862" t="s">
        <v>56</v>
      </c>
      <c r="I862">
        <v>1</v>
      </c>
      <c r="J862" t="s">
        <v>27</v>
      </c>
      <c r="K862" t="s">
        <v>82</v>
      </c>
      <c r="L862" s="4">
        <v>422.54</v>
      </c>
      <c r="M862" t="str">
        <f>VLOOKUP(D862,tblProduct[],2,FALSE)</f>
        <v>Electronics</v>
      </c>
      <c r="N862" t="str">
        <f>VLOOKUP(D862,tblProduct[],3,FALSE)</f>
        <v>Medium</v>
      </c>
      <c r="O862">
        <f>VLOOKUP(D862,tblProduct[],4,FALSE)</f>
        <v>80000</v>
      </c>
      <c r="P862">
        <v>422.54</v>
      </c>
      <c r="Q862" s="19" t="str">
        <f t="shared" si="13"/>
        <v>Jan-2024</v>
      </c>
      <c r="R862" s="26">
        <f>DATE(YEAR(tblEnriched[[#This Row],[Date]]),MONTH(tblEnriched[[#This Row],[Date]]),1)</f>
        <v>45292</v>
      </c>
    </row>
    <row r="863" spans="1:18">
      <c r="A863" t="s">
        <v>3170</v>
      </c>
      <c r="B863" s="10">
        <v>45004</v>
      </c>
      <c r="C863" t="s">
        <v>3171</v>
      </c>
      <c r="D863" t="s">
        <v>79</v>
      </c>
      <c r="E863">
        <v>5</v>
      </c>
      <c r="F863" s="4">
        <v>330.45</v>
      </c>
      <c r="G863" t="s">
        <v>66</v>
      </c>
      <c r="H863" t="s">
        <v>25</v>
      </c>
      <c r="I863">
        <v>10</v>
      </c>
      <c r="J863" t="s">
        <v>43</v>
      </c>
      <c r="K863" t="s">
        <v>82</v>
      </c>
      <c r="L863" s="4">
        <v>1652.25</v>
      </c>
      <c r="M863" t="str">
        <f>VLOOKUP(D863,tblProduct[],2,FALSE)</f>
        <v>Furniture</v>
      </c>
      <c r="N863" t="str">
        <f>VLOOKUP(D863,tblProduct[],3,FALSE)</f>
        <v>High</v>
      </c>
      <c r="O863">
        <f>VLOOKUP(D863,tblProduct[],4,FALSE)</f>
        <v>75000</v>
      </c>
      <c r="P863">
        <v>1652.25</v>
      </c>
      <c r="Q863" s="19" t="str">
        <f t="shared" si="13"/>
        <v>Mar-2023</v>
      </c>
      <c r="R863" s="26">
        <f>DATE(YEAR(tblEnriched[[#This Row],[Date]]),MONTH(tblEnriched[[#This Row],[Date]]),1)</f>
        <v>44986</v>
      </c>
    </row>
    <row r="864" spans="1:18">
      <c r="A864" t="s">
        <v>3174</v>
      </c>
      <c r="B864" s="10">
        <v>45262</v>
      </c>
      <c r="C864" t="s">
        <v>3175</v>
      </c>
      <c r="D864" t="s">
        <v>79</v>
      </c>
      <c r="E864">
        <v>3</v>
      </c>
      <c r="F864" s="4">
        <v>120.82</v>
      </c>
      <c r="G864" t="s">
        <v>40</v>
      </c>
      <c r="H864" t="s">
        <v>25</v>
      </c>
      <c r="I864">
        <v>5</v>
      </c>
      <c r="J864" t="s">
        <v>27</v>
      </c>
      <c r="K864" t="s">
        <v>35</v>
      </c>
      <c r="L864" s="4">
        <v>362.46</v>
      </c>
      <c r="M864" t="str">
        <f>VLOOKUP(D864,tblProduct[],2,FALSE)</f>
        <v>Furniture</v>
      </c>
      <c r="N864" t="str">
        <f>VLOOKUP(D864,tblProduct[],3,FALSE)</f>
        <v>High</v>
      </c>
      <c r="O864">
        <f>VLOOKUP(D864,tblProduct[],4,FALSE)</f>
        <v>75000</v>
      </c>
      <c r="P864">
        <v>362.46</v>
      </c>
      <c r="Q864" s="19" t="str">
        <f t="shared" si="13"/>
        <v>Dec-2023</v>
      </c>
      <c r="R864" s="26">
        <f>DATE(YEAR(tblEnriched[[#This Row],[Date]]),MONTH(tblEnriched[[#This Row],[Date]]),1)</f>
        <v>45261</v>
      </c>
    </row>
    <row r="865" spans="1:18">
      <c r="A865" t="s">
        <v>3177</v>
      </c>
      <c r="B865" s="10">
        <v>45432</v>
      </c>
      <c r="C865" t="s">
        <v>3178</v>
      </c>
      <c r="D865" t="s">
        <v>31</v>
      </c>
      <c r="E865">
        <v>1</v>
      </c>
      <c r="F865" s="4">
        <v>14.06</v>
      </c>
      <c r="G865" t="s">
        <v>40</v>
      </c>
      <c r="H865" t="s">
        <v>95</v>
      </c>
      <c r="I865">
        <v>5</v>
      </c>
      <c r="J865" t="s">
        <v>27</v>
      </c>
      <c r="K865" t="s">
        <v>35</v>
      </c>
      <c r="L865" s="4">
        <v>14.06</v>
      </c>
      <c r="M865" t="str">
        <f>VLOOKUP(D865,tblProduct[],2,FALSE)</f>
        <v>Electronics</v>
      </c>
      <c r="N865" t="str">
        <f>VLOOKUP(D865,tblProduct[],3,FALSE)</f>
        <v>High</v>
      </c>
      <c r="O865">
        <f>VLOOKUP(D865,tblProduct[],4,FALSE)</f>
        <v>120000</v>
      </c>
      <c r="P865">
        <v>14.06</v>
      </c>
      <c r="Q865" s="19" t="str">
        <f t="shared" si="13"/>
        <v>May-2024</v>
      </c>
      <c r="R865" s="26">
        <f>DATE(YEAR(tblEnriched[[#This Row],[Date]]),MONTH(tblEnriched[[#This Row],[Date]]),1)</f>
        <v>45413</v>
      </c>
    </row>
    <row r="866" spans="1:18">
      <c r="A866" t="s">
        <v>3180</v>
      </c>
      <c r="B866" s="10">
        <v>45049</v>
      </c>
      <c r="C866" t="s">
        <v>3181</v>
      </c>
      <c r="D866" t="s">
        <v>79</v>
      </c>
      <c r="E866">
        <v>1</v>
      </c>
      <c r="F866" s="4">
        <v>491.11</v>
      </c>
      <c r="G866" t="s">
        <v>40</v>
      </c>
      <c r="H866" t="s">
        <v>56</v>
      </c>
      <c r="I866">
        <v>4</v>
      </c>
      <c r="J866" t="s">
        <v>27</v>
      </c>
      <c r="K866" t="s">
        <v>51</v>
      </c>
      <c r="L866" s="4">
        <v>491.11</v>
      </c>
      <c r="M866" t="str">
        <f>VLOOKUP(D866,tblProduct[],2,FALSE)</f>
        <v>Furniture</v>
      </c>
      <c r="N866" t="str">
        <f>VLOOKUP(D866,tblProduct[],3,FALSE)</f>
        <v>High</v>
      </c>
      <c r="O866">
        <f>VLOOKUP(D866,tblProduct[],4,FALSE)</f>
        <v>75000</v>
      </c>
      <c r="P866">
        <v>491.11</v>
      </c>
      <c r="Q866" s="19" t="str">
        <f t="shared" si="13"/>
        <v>May-2023</v>
      </c>
      <c r="R866" s="26">
        <f>DATE(YEAR(tblEnriched[[#This Row],[Date]]),MONTH(tblEnriched[[#This Row],[Date]]),1)</f>
        <v>45047</v>
      </c>
    </row>
    <row r="867" spans="1:18">
      <c r="A867" t="s">
        <v>3184</v>
      </c>
      <c r="B867" s="10">
        <v>45046</v>
      </c>
      <c r="C867" t="s">
        <v>3185</v>
      </c>
      <c r="D867" t="s">
        <v>22</v>
      </c>
      <c r="E867">
        <v>4</v>
      </c>
      <c r="F867" s="4">
        <v>677.37</v>
      </c>
      <c r="G867" t="s">
        <v>71</v>
      </c>
      <c r="H867" t="s">
        <v>95</v>
      </c>
      <c r="I867">
        <v>8</v>
      </c>
      <c r="J867" t="s">
        <v>27</v>
      </c>
      <c r="K867" t="s">
        <v>82</v>
      </c>
      <c r="L867" s="4">
        <v>2709.48</v>
      </c>
      <c r="M867" t="str">
        <f>VLOOKUP(D867,tblProduct[],2,FALSE)</f>
        <v>Electronics</v>
      </c>
      <c r="N867" t="str">
        <f>VLOOKUP(D867,tblProduct[],3,FALSE)</f>
        <v>Medium</v>
      </c>
      <c r="O867">
        <f>VLOOKUP(D867,tblProduct[],4,FALSE)</f>
        <v>90000</v>
      </c>
      <c r="P867">
        <v>2709.48</v>
      </c>
      <c r="Q867" s="19" t="str">
        <f t="shared" si="13"/>
        <v>Apr-2023</v>
      </c>
      <c r="R867" s="26">
        <f>DATE(YEAR(tblEnriched[[#This Row],[Date]]),MONTH(tblEnriched[[#This Row],[Date]]),1)</f>
        <v>45017</v>
      </c>
    </row>
    <row r="868" spans="1:18">
      <c r="A868" t="s">
        <v>3188</v>
      </c>
      <c r="B868" s="10">
        <v>45499</v>
      </c>
      <c r="C868" t="s">
        <v>3189</v>
      </c>
      <c r="D868" t="s">
        <v>79</v>
      </c>
      <c r="E868">
        <v>5</v>
      </c>
      <c r="F868" s="4">
        <v>189.25</v>
      </c>
      <c r="G868" t="s">
        <v>24</v>
      </c>
      <c r="H868" t="s">
        <v>41</v>
      </c>
      <c r="I868">
        <v>10</v>
      </c>
      <c r="J868" t="s">
        <v>87</v>
      </c>
      <c r="K868" t="s">
        <v>44</v>
      </c>
      <c r="L868" s="4">
        <v>946.25</v>
      </c>
      <c r="M868" t="str">
        <f>VLOOKUP(D868,tblProduct[],2,FALSE)</f>
        <v>Furniture</v>
      </c>
      <c r="N868" t="str">
        <f>VLOOKUP(D868,tblProduct[],3,FALSE)</f>
        <v>High</v>
      </c>
      <c r="O868">
        <f>VLOOKUP(D868,tblProduct[],4,FALSE)</f>
        <v>75000</v>
      </c>
      <c r="P868">
        <v>946.25</v>
      </c>
      <c r="Q868" s="19" t="str">
        <f t="shared" si="13"/>
        <v>Jul-2024</v>
      </c>
      <c r="R868" s="26">
        <f>DATE(YEAR(tblEnriched[[#This Row],[Date]]),MONTH(tblEnriched[[#This Row],[Date]]),1)</f>
        <v>45474</v>
      </c>
    </row>
    <row r="869" spans="1:18">
      <c r="A869" t="s">
        <v>3192</v>
      </c>
      <c r="B869" s="10">
        <v>45438</v>
      </c>
      <c r="C869" t="s">
        <v>3193</v>
      </c>
      <c r="D869" t="s">
        <v>54</v>
      </c>
      <c r="E869">
        <v>4</v>
      </c>
      <c r="F869" s="4">
        <v>142.58000000000001</v>
      </c>
      <c r="G869" t="s">
        <v>71</v>
      </c>
      <c r="H869" t="s">
        <v>56</v>
      </c>
      <c r="I869">
        <v>4</v>
      </c>
      <c r="J869" t="s">
        <v>43</v>
      </c>
      <c r="K869" t="s">
        <v>51</v>
      </c>
      <c r="L869" s="4">
        <v>570.32000000000005</v>
      </c>
      <c r="M869" t="str">
        <f>VLOOKUP(D869,tblProduct[],2,FALSE)</f>
        <v>Electronics</v>
      </c>
      <c r="N869" t="str">
        <f>VLOOKUP(D869,tblProduct[],3,FALSE)</f>
        <v>Medium</v>
      </c>
      <c r="O869">
        <f>VLOOKUP(D869,tblProduct[],4,FALSE)</f>
        <v>80000</v>
      </c>
      <c r="P869">
        <v>570.32000000000005</v>
      </c>
      <c r="Q869" s="19" t="str">
        <f t="shared" si="13"/>
        <v>May-2024</v>
      </c>
      <c r="R869" s="26">
        <f>DATE(YEAR(tblEnriched[[#This Row],[Date]]),MONTH(tblEnriched[[#This Row],[Date]]),1)</f>
        <v>45413</v>
      </c>
    </row>
    <row r="870" spans="1:18">
      <c r="A870" t="s">
        <v>3196</v>
      </c>
      <c r="B870" s="10">
        <v>45472</v>
      </c>
      <c r="C870" t="s">
        <v>3197</v>
      </c>
      <c r="D870" t="s">
        <v>22</v>
      </c>
      <c r="E870">
        <v>4</v>
      </c>
      <c r="F870" s="4">
        <v>316.32</v>
      </c>
      <c r="G870" t="s">
        <v>24</v>
      </c>
      <c r="H870" t="s">
        <v>56</v>
      </c>
      <c r="I870">
        <v>7</v>
      </c>
      <c r="K870" t="s">
        <v>51</v>
      </c>
      <c r="L870" s="4">
        <v>1265.28</v>
      </c>
      <c r="M870" t="str">
        <f>VLOOKUP(D870,tblProduct[],2,FALSE)</f>
        <v>Electronics</v>
      </c>
      <c r="N870" t="str">
        <f>VLOOKUP(D870,tblProduct[],3,FALSE)</f>
        <v>Medium</v>
      </c>
      <c r="O870">
        <f>VLOOKUP(D870,tblProduct[],4,FALSE)</f>
        <v>90000</v>
      </c>
      <c r="P870">
        <v>1265.28</v>
      </c>
      <c r="Q870" s="19" t="str">
        <f t="shared" si="13"/>
        <v>Jun-2024</v>
      </c>
      <c r="R870" s="26">
        <f>DATE(YEAR(tblEnriched[[#This Row],[Date]]),MONTH(tblEnriched[[#This Row],[Date]]),1)</f>
        <v>45444</v>
      </c>
    </row>
    <row r="871" spans="1:18">
      <c r="A871" t="s">
        <v>3200</v>
      </c>
      <c r="B871" s="10">
        <v>45368</v>
      </c>
      <c r="C871" t="s">
        <v>3201</v>
      </c>
      <c r="D871" t="s">
        <v>79</v>
      </c>
      <c r="E871">
        <v>2</v>
      </c>
      <c r="F871" s="4">
        <v>533.95000000000005</v>
      </c>
      <c r="G871" t="s">
        <v>33</v>
      </c>
      <c r="H871" t="s">
        <v>56</v>
      </c>
      <c r="I871">
        <v>5</v>
      </c>
      <c r="J871" t="s">
        <v>87</v>
      </c>
      <c r="K871" t="s">
        <v>82</v>
      </c>
      <c r="L871" s="4">
        <v>1067.9000000000001</v>
      </c>
      <c r="M871" t="str">
        <f>VLOOKUP(D871,tblProduct[],2,FALSE)</f>
        <v>Furniture</v>
      </c>
      <c r="N871" t="str">
        <f>VLOOKUP(D871,tblProduct[],3,FALSE)</f>
        <v>High</v>
      </c>
      <c r="O871">
        <f>VLOOKUP(D871,tblProduct[],4,FALSE)</f>
        <v>75000</v>
      </c>
      <c r="P871">
        <v>1067.9000000000001</v>
      </c>
      <c r="Q871" s="19" t="str">
        <f t="shared" si="13"/>
        <v>Mar-2024</v>
      </c>
      <c r="R871" s="26">
        <f>DATE(YEAR(tblEnriched[[#This Row],[Date]]),MONTH(tblEnriched[[#This Row],[Date]]),1)</f>
        <v>45352</v>
      </c>
    </row>
    <row r="872" spans="1:18">
      <c r="A872" t="s">
        <v>3203</v>
      </c>
      <c r="B872" s="10">
        <v>45809</v>
      </c>
      <c r="C872" t="s">
        <v>3204</v>
      </c>
      <c r="D872" t="s">
        <v>31</v>
      </c>
      <c r="E872">
        <v>4</v>
      </c>
      <c r="F872" s="4">
        <v>470.09</v>
      </c>
      <c r="G872" t="s">
        <v>24</v>
      </c>
      <c r="H872" t="s">
        <v>56</v>
      </c>
      <c r="I872">
        <v>4</v>
      </c>
      <c r="J872" t="s">
        <v>43</v>
      </c>
      <c r="K872" t="s">
        <v>82</v>
      </c>
      <c r="L872" s="4">
        <v>1880.36</v>
      </c>
      <c r="M872" t="str">
        <f>VLOOKUP(D872,tblProduct[],2,FALSE)</f>
        <v>Electronics</v>
      </c>
      <c r="N872" t="str">
        <f>VLOOKUP(D872,tblProduct[],3,FALSE)</f>
        <v>High</v>
      </c>
      <c r="O872">
        <f>VLOOKUP(D872,tblProduct[],4,FALSE)</f>
        <v>120000</v>
      </c>
      <c r="P872">
        <v>1880.36</v>
      </c>
      <c r="Q872" s="19" t="str">
        <f t="shared" si="13"/>
        <v>Jun-2025</v>
      </c>
      <c r="R872" s="26">
        <f>DATE(YEAR(tblEnriched[[#This Row],[Date]]),MONTH(tblEnriched[[#This Row],[Date]]),1)</f>
        <v>45809</v>
      </c>
    </row>
    <row r="873" spans="1:18">
      <c r="A873" t="s">
        <v>3207</v>
      </c>
      <c r="B873" s="10">
        <v>45428</v>
      </c>
      <c r="C873" t="s">
        <v>3208</v>
      </c>
      <c r="D873" t="s">
        <v>38</v>
      </c>
      <c r="E873">
        <v>3</v>
      </c>
      <c r="F873" s="4">
        <v>324.3</v>
      </c>
      <c r="G873" t="s">
        <v>24</v>
      </c>
      <c r="H873" t="s">
        <v>95</v>
      </c>
      <c r="I873">
        <v>8</v>
      </c>
      <c r="J873" t="s">
        <v>43</v>
      </c>
      <c r="K873" t="s">
        <v>44</v>
      </c>
      <c r="L873" s="4">
        <v>972.90000000000009</v>
      </c>
      <c r="M873" t="str">
        <f>VLOOKUP(D873,tblProduct[],2,FALSE)</f>
        <v>Electronics</v>
      </c>
      <c r="N873" t="str">
        <f>VLOOKUP(D873,tblProduct[],3,FALSE)</f>
        <v>Medium</v>
      </c>
      <c r="O873">
        <f>VLOOKUP(D873,tblProduct[],4,FALSE)</f>
        <v>100000</v>
      </c>
      <c r="P873">
        <v>972.90000000000009</v>
      </c>
      <c r="Q873" s="19" t="str">
        <f t="shared" si="13"/>
        <v>May-2024</v>
      </c>
      <c r="R873" s="26">
        <f>DATE(YEAR(tblEnriched[[#This Row],[Date]]),MONTH(tblEnriched[[#This Row],[Date]]),1)</f>
        <v>45413</v>
      </c>
    </row>
    <row r="874" spans="1:18">
      <c r="A874" t="s">
        <v>3211</v>
      </c>
      <c r="B874" s="10">
        <v>45117</v>
      </c>
      <c r="C874" t="s">
        <v>3212</v>
      </c>
      <c r="D874" t="s">
        <v>47</v>
      </c>
      <c r="E874">
        <v>4</v>
      </c>
      <c r="F874" s="4">
        <v>629.34</v>
      </c>
      <c r="G874" t="s">
        <v>71</v>
      </c>
      <c r="H874" t="s">
        <v>25</v>
      </c>
      <c r="I874">
        <v>7</v>
      </c>
      <c r="K874" t="s">
        <v>44</v>
      </c>
      <c r="L874" s="4">
        <v>2517.36</v>
      </c>
      <c r="M874" t="str">
        <f>VLOOKUP(D874,tblProduct[],2,FALSE)</f>
        <v>Furniture</v>
      </c>
      <c r="N874" t="str">
        <f>VLOOKUP(D874,tblProduct[],3,FALSE)</f>
        <v>Medium</v>
      </c>
      <c r="O874">
        <f>VLOOKUP(D874,tblProduct[],4,FALSE)</f>
        <v>70000</v>
      </c>
      <c r="P874">
        <v>2517.36</v>
      </c>
      <c r="Q874" s="19" t="str">
        <f t="shared" si="13"/>
        <v>Jul-2023</v>
      </c>
      <c r="R874" s="26">
        <f>DATE(YEAR(tblEnriched[[#This Row],[Date]]),MONTH(tblEnriched[[#This Row],[Date]]),1)</f>
        <v>45108</v>
      </c>
    </row>
    <row r="875" spans="1:18">
      <c r="A875" t="s">
        <v>3214</v>
      </c>
      <c r="B875" s="10">
        <v>45424</v>
      </c>
      <c r="C875" t="s">
        <v>3215</v>
      </c>
      <c r="D875" t="s">
        <v>79</v>
      </c>
      <c r="E875">
        <v>3</v>
      </c>
      <c r="F875" s="4">
        <v>136.84</v>
      </c>
      <c r="G875" t="s">
        <v>71</v>
      </c>
      <c r="H875" t="s">
        <v>56</v>
      </c>
      <c r="I875">
        <v>3</v>
      </c>
      <c r="J875" t="s">
        <v>27</v>
      </c>
      <c r="K875" t="s">
        <v>51</v>
      </c>
      <c r="L875" s="4">
        <v>410.52</v>
      </c>
      <c r="M875" t="str">
        <f>VLOOKUP(D875,tblProduct[],2,FALSE)</f>
        <v>Furniture</v>
      </c>
      <c r="N875" t="str">
        <f>VLOOKUP(D875,tblProduct[],3,FALSE)</f>
        <v>High</v>
      </c>
      <c r="O875">
        <f>VLOOKUP(D875,tblProduct[],4,FALSE)</f>
        <v>75000</v>
      </c>
      <c r="P875">
        <v>410.52</v>
      </c>
      <c r="Q875" s="19" t="str">
        <f t="shared" si="13"/>
        <v>May-2024</v>
      </c>
      <c r="R875" s="26">
        <f>DATE(YEAR(tblEnriched[[#This Row],[Date]]),MONTH(tblEnriched[[#This Row],[Date]]),1)</f>
        <v>45413</v>
      </c>
    </row>
    <row r="876" spans="1:18">
      <c r="A876" t="s">
        <v>3218</v>
      </c>
      <c r="B876" s="10">
        <v>45230</v>
      </c>
      <c r="C876" t="s">
        <v>3219</v>
      </c>
      <c r="D876" t="s">
        <v>47</v>
      </c>
      <c r="E876">
        <v>2</v>
      </c>
      <c r="F876" s="4">
        <v>488.9</v>
      </c>
      <c r="G876" t="s">
        <v>71</v>
      </c>
      <c r="H876" t="s">
        <v>56</v>
      </c>
      <c r="I876">
        <v>7</v>
      </c>
      <c r="J876" t="s">
        <v>43</v>
      </c>
      <c r="K876" t="s">
        <v>51</v>
      </c>
      <c r="L876" s="4">
        <v>977.8</v>
      </c>
      <c r="M876" t="str">
        <f>VLOOKUP(D876,tblProduct[],2,FALSE)</f>
        <v>Furniture</v>
      </c>
      <c r="N876" t="str">
        <f>VLOOKUP(D876,tblProduct[],3,FALSE)</f>
        <v>Medium</v>
      </c>
      <c r="O876">
        <f>VLOOKUP(D876,tblProduct[],4,FALSE)</f>
        <v>70000</v>
      </c>
      <c r="P876">
        <v>977.8</v>
      </c>
      <c r="Q876" s="19" t="str">
        <f t="shared" si="13"/>
        <v>Oct-2023</v>
      </c>
      <c r="R876" s="26">
        <f>DATE(YEAR(tblEnriched[[#This Row],[Date]]),MONTH(tblEnriched[[#This Row],[Date]]),1)</f>
        <v>45200</v>
      </c>
    </row>
    <row r="877" spans="1:18">
      <c r="A877" t="s">
        <v>3221</v>
      </c>
      <c r="B877" s="10">
        <v>45141</v>
      </c>
      <c r="C877" t="s">
        <v>3222</v>
      </c>
      <c r="D877" t="s">
        <v>64</v>
      </c>
      <c r="E877">
        <v>5</v>
      </c>
      <c r="F877" s="4">
        <v>133.38999999999999</v>
      </c>
      <c r="G877" t="s">
        <v>40</v>
      </c>
      <c r="H877" t="s">
        <v>56</v>
      </c>
      <c r="I877">
        <v>6</v>
      </c>
      <c r="J877" t="s">
        <v>43</v>
      </c>
      <c r="K877" t="s">
        <v>35</v>
      </c>
      <c r="L877" s="4">
        <v>666.94999999999993</v>
      </c>
      <c r="M877" t="str">
        <f>VLOOKUP(D877,tblProduct[],2,FALSE)</f>
        <v>Electronics</v>
      </c>
      <c r="N877" t="str">
        <f>VLOOKUP(D877,tblProduct[],3,FALSE)</f>
        <v>High</v>
      </c>
      <c r="O877">
        <f>VLOOKUP(D877,tblProduct[],4,FALSE)</f>
        <v>150000</v>
      </c>
      <c r="P877">
        <v>666.94999999999993</v>
      </c>
      <c r="Q877" s="19" t="str">
        <f t="shared" si="13"/>
        <v>Aug-2023</v>
      </c>
      <c r="R877" s="26">
        <f>DATE(YEAR(tblEnriched[[#This Row],[Date]]),MONTH(tblEnriched[[#This Row],[Date]]),1)</f>
        <v>45139</v>
      </c>
    </row>
    <row r="878" spans="1:18">
      <c r="A878" t="s">
        <v>3224</v>
      </c>
      <c r="B878" s="10">
        <v>45452</v>
      </c>
      <c r="C878" t="s">
        <v>3225</v>
      </c>
      <c r="D878" t="s">
        <v>47</v>
      </c>
      <c r="E878">
        <v>5</v>
      </c>
      <c r="F878" s="4">
        <v>608.91</v>
      </c>
      <c r="G878" t="s">
        <v>66</v>
      </c>
      <c r="H878" t="s">
        <v>95</v>
      </c>
      <c r="I878">
        <v>6</v>
      </c>
      <c r="J878" t="s">
        <v>27</v>
      </c>
      <c r="K878" t="s">
        <v>82</v>
      </c>
      <c r="L878" s="4">
        <v>3044.55</v>
      </c>
      <c r="M878" t="str">
        <f>VLOOKUP(D878,tblProduct[],2,FALSE)</f>
        <v>Furniture</v>
      </c>
      <c r="N878" t="str">
        <f>VLOOKUP(D878,tblProduct[],3,FALSE)</f>
        <v>Medium</v>
      </c>
      <c r="O878">
        <f>VLOOKUP(D878,tblProduct[],4,FALSE)</f>
        <v>70000</v>
      </c>
      <c r="P878">
        <v>3044.55</v>
      </c>
      <c r="Q878" s="19" t="str">
        <f t="shared" si="13"/>
        <v>Jun-2024</v>
      </c>
      <c r="R878" s="26">
        <f>DATE(YEAR(tblEnriched[[#This Row],[Date]]),MONTH(tblEnriched[[#This Row],[Date]]),1)</f>
        <v>45444</v>
      </c>
    </row>
    <row r="879" spans="1:18">
      <c r="A879" t="s">
        <v>3227</v>
      </c>
      <c r="B879" s="10">
        <v>45498</v>
      </c>
      <c r="C879" t="s">
        <v>3228</v>
      </c>
      <c r="D879" t="s">
        <v>38</v>
      </c>
      <c r="E879">
        <v>1</v>
      </c>
      <c r="F879" s="4">
        <v>524.05999999999995</v>
      </c>
      <c r="G879" t="s">
        <v>24</v>
      </c>
      <c r="H879" t="s">
        <v>95</v>
      </c>
      <c r="I879">
        <v>3</v>
      </c>
      <c r="J879" t="s">
        <v>43</v>
      </c>
      <c r="K879" t="s">
        <v>44</v>
      </c>
      <c r="L879" s="4">
        <v>524.05999999999995</v>
      </c>
      <c r="M879" t="str">
        <f>VLOOKUP(D879,tblProduct[],2,FALSE)</f>
        <v>Electronics</v>
      </c>
      <c r="N879" t="str">
        <f>VLOOKUP(D879,tblProduct[],3,FALSE)</f>
        <v>Medium</v>
      </c>
      <c r="O879">
        <f>VLOOKUP(D879,tblProduct[],4,FALSE)</f>
        <v>100000</v>
      </c>
      <c r="P879">
        <v>524.05999999999995</v>
      </c>
      <c r="Q879" s="19" t="str">
        <f t="shared" si="13"/>
        <v>Jul-2024</v>
      </c>
      <c r="R879" s="26">
        <f>DATE(YEAR(tblEnriched[[#This Row],[Date]]),MONTH(tblEnriched[[#This Row],[Date]]),1)</f>
        <v>45474</v>
      </c>
    </row>
    <row r="880" spans="1:18">
      <c r="A880" t="s">
        <v>3230</v>
      </c>
      <c r="B880" s="10">
        <v>45078</v>
      </c>
      <c r="C880" t="s">
        <v>3231</v>
      </c>
      <c r="D880" t="s">
        <v>79</v>
      </c>
      <c r="E880">
        <v>2</v>
      </c>
      <c r="F880" s="4">
        <v>330.69</v>
      </c>
      <c r="G880" t="s">
        <v>33</v>
      </c>
      <c r="H880" t="s">
        <v>41</v>
      </c>
      <c r="I880">
        <v>5</v>
      </c>
      <c r="J880" t="s">
        <v>27</v>
      </c>
      <c r="K880" t="s">
        <v>82</v>
      </c>
      <c r="L880" s="4">
        <v>661.38</v>
      </c>
      <c r="M880" t="str">
        <f>VLOOKUP(D880,tblProduct[],2,FALSE)</f>
        <v>Furniture</v>
      </c>
      <c r="N880" t="str">
        <f>VLOOKUP(D880,tblProduct[],3,FALSE)</f>
        <v>High</v>
      </c>
      <c r="O880">
        <f>VLOOKUP(D880,tblProduct[],4,FALSE)</f>
        <v>75000</v>
      </c>
      <c r="P880">
        <v>661.38</v>
      </c>
      <c r="Q880" s="19" t="str">
        <f t="shared" si="13"/>
        <v>Jun-2023</v>
      </c>
      <c r="R880" s="26">
        <f>DATE(YEAR(tblEnriched[[#This Row],[Date]]),MONTH(tblEnriched[[#This Row],[Date]]),1)</f>
        <v>45078</v>
      </c>
    </row>
    <row r="881" spans="1:18">
      <c r="A881" t="s">
        <v>3234</v>
      </c>
      <c r="B881" s="10">
        <v>45755</v>
      </c>
      <c r="C881" t="s">
        <v>3235</v>
      </c>
      <c r="D881" t="s">
        <v>31</v>
      </c>
      <c r="E881">
        <v>2</v>
      </c>
      <c r="F881" s="4">
        <v>547.66999999999996</v>
      </c>
      <c r="G881" t="s">
        <v>66</v>
      </c>
      <c r="H881" t="s">
        <v>25</v>
      </c>
      <c r="I881">
        <v>3</v>
      </c>
      <c r="K881" t="s">
        <v>28</v>
      </c>
      <c r="L881" s="4">
        <v>1095.3399999999999</v>
      </c>
      <c r="M881" t="str">
        <f>VLOOKUP(D881,tblProduct[],2,FALSE)</f>
        <v>Electronics</v>
      </c>
      <c r="N881" t="str">
        <f>VLOOKUP(D881,tblProduct[],3,FALSE)</f>
        <v>High</v>
      </c>
      <c r="O881">
        <f>VLOOKUP(D881,tblProduct[],4,FALSE)</f>
        <v>120000</v>
      </c>
      <c r="P881">
        <v>1095.3399999999999</v>
      </c>
      <c r="Q881" s="19" t="str">
        <f t="shared" si="13"/>
        <v>Apr-2025</v>
      </c>
      <c r="R881" s="26">
        <f>DATE(YEAR(tblEnriched[[#This Row],[Date]]),MONTH(tblEnriched[[#This Row],[Date]]),1)</f>
        <v>45748</v>
      </c>
    </row>
    <row r="882" spans="1:18">
      <c r="A882" t="s">
        <v>3237</v>
      </c>
      <c r="B882" s="10">
        <v>45728</v>
      </c>
      <c r="C882" t="s">
        <v>3238</v>
      </c>
      <c r="D882" t="s">
        <v>64</v>
      </c>
      <c r="E882">
        <v>4</v>
      </c>
      <c r="F882" s="4">
        <v>233.7</v>
      </c>
      <c r="G882" t="s">
        <v>33</v>
      </c>
      <c r="H882" t="s">
        <v>25</v>
      </c>
      <c r="I882">
        <v>8</v>
      </c>
      <c r="J882" t="s">
        <v>27</v>
      </c>
      <c r="K882" t="s">
        <v>51</v>
      </c>
      <c r="L882" s="4">
        <v>934.8</v>
      </c>
      <c r="M882" t="str">
        <f>VLOOKUP(D882,tblProduct[],2,FALSE)</f>
        <v>Electronics</v>
      </c>
      <c r="N882" t="str">
        <f>VLOOKUP(D882,tblProduct[],3,FALSE)</f>
        <v>High</v>
      </c>
      <c r="O882">
        <f>VLOOKUP(D882,tblProduct[],4,FALSE)</f>
        <v>150000</v>
      </c>
      <c r="P882">
        <v>934.8</v>
      </c>
      <c r="Q882" s="19" t="str">
        <f t="shared" si="13"/>
        <v>Mar-2025</v>
      </c>
      <c r="R882" s="26">
        <f>DATE(YEAR(tblEnriched[[#This Row],[Date]]),MONTH(tblEnriched[[#This Row],[Date]]),1)</f>
        <v>45717</v>
      </c>
    </row>
    <row r="883" spans="1:18">
      <c r="A883" t="s">
        <v>3240</v>
      </c>
      <c r="B883" s="10">
        <v>44929</v>
      </c>
      <c r="C883" t="s">
        <v>3241</v>
      </c>
      <c r="D883" t="s">
        <v>38</v>
      </c>
      <c r="E883">
        <v>2</v>
      </c>
      <c r="F883" s="4">
        <v>448.85</v>
      </c>
      <c r="G883" t="s">
        <v>40</v>
      </c>
      <c r="H883" t="s">
        <v>95</v>
      </c>
      <c r="I883">
        <v>6</v>
      </c>
      <c r="K883" t="s">
        <v>28</v>
      </c>
      <c r="L883" s="4">
        <v>897.7</v>
      </c>
      <c r="M883" t="str">
        <f>VLOOKUP(D883,tblProduct[],2,FALSE)</f>
        <v>Electronics</v>
      </c>
      <c r="N883" t="str">
        <f>VLOOKUP(D883,tblProduct[],3,FALSE)</f>
        <v>Medium</v>
      </c>
      <c r="O883">
        <f>VLOOKUP(D883,tblProduct[],4,FALSE)</f>
        <v>100000</v>
      </c>
      <c r="P883">
        <v>897.7</v>
      </c>
      <c r="Q883" s="19" t="str">
        <f t="shared" si="13"/>
        <v>Jan-2023</v>
      </c>
      <c r="R883" s="26">
        <f>DATE(YEAR(tblEnriched[[#This Row],[Date]]),MONTH(tblEnriched[[#This Row],[Date]]),1)</f>
        <v>44927</v>
      </c>
    </row>
    <row r="884" spans="1:18">
      <c r="A884" t="s">
        <v>3244</v>
      </c>
      <c r="B884" s="10">
        <v>45836</v>
      </c>
      <c r="C884" t="s">
        <v>3245</v>
      </c>
      <c r="D884" t="s">
        <v>31</v>
      </c>
      <c r="E884">
        <v>2</v>
      </c>
      <c r="F884" s="4">
        <v>274.12</v>
      </c>
      <c r="G884" t="s">
        <v>71</v>
      </c>
      <c r="H884" t="s">
        <v>56</v>
      </c>
      <c r="I884">
        <v>6</v>
      </c>
      <c r="J884" t="s">
        <v>43</v>
      </c>
      <c r="K884" t="s">
        <v>35</v>
      </c>
      <c r="L884" s="4">
        <v>548.24</v>
      </c>
      <c r="M884" t="str">
        <f>VLOOKUP(D884,tblProduct[],2,FALSE)</f>
        <v>Electronics</v>
      </c>
      <c r="N884" t="str">
        <f>VLOOKUP(D884,tblProduct[],3,FALSE)</f>
        <v>High</v>
      </c>
      <c r="O884">
        <f>VLOOKUP(D884,tblProduct[],4,FALSE)</f>
        <v>120000</v>
      </c>
      <c r="P884">
        <v>548.24</v>
      </c>
      <c r="Q884" s="19" t="str">
        <f t="shared" si="13"/>
        <v>Jun-2025</v>
      </c>
      <c r="R884" s="26">
        <f>DATE(YEAR(tblEnriched[[#This Row],[Date]]),MONTH(tblEnriched[[#This Row],[Date]]),1)</f>
        <v>45809</v>
      </c>
    </row>
    <row r="885" spans="1:18">
      <c r="A885" t="s">
        <v>3247</v>
      </c>
      <c r="B885" s="10">
        <v>45790</v>
      </c>
      <c r="C885" t="s">
        <v>3248</v>
      </c>
      <c r="D885" t="s">
        <v>54</v>
      </c>
      <c r="E885">
        <v>5</v>
      </c>
      <c r="F885" s="4">
        <v>561.48</v>
      </c>
      <c r="G885" t="s">
        <v>33</v>
      </c>
      <c r="H885" t="s">
        <v>56</v>
      </c>
      <c r="I885">
        <v>9</v>
      </c>
      <c r="J885" t="s">
        <v>43</v>
      </c>
      <c r="K885" t="s">
        <v>51</v>
      </c>
      <c r="L885" s="4">
        <v>2807.4</v>
      </c>
      <c r="M885" t="str">
        <f>VLOOKUP(D885,tblProduct[],2,FALSE)</f>
        <v>Electronics</v>
      </c>
      <c r="N885" t="str">
        <f>VLOOKUP(D885,tblProduct[],3,FALSE)</f>
        <v>Medium</v>
      </c>
      <c r="O885">
        <f>VLOOKUP(D885,tblProduct[],4,FALSE)</f>
        <v>80000</v>
      </c>
      <c r="P885">
        <v>2807.4</v>
      </c>
      <c r="Q885" s="19" t="str">
        <f t="shared" si="13"/>
        <v>May-2025</v>
      </c>
      <c r="R885" s="26">
        <f>DATE(YEAR(tblEnriched[[#This Row],[Date]]),MONTH(tblEnriched[[#This Row],[Date]]),1)</f>
        <v>45778</v>
      </c>
    </row>
    <row r="886" spans="1:18">
      <c r="A886" t="s">
        <v>3251</v>
      </c>
      <c r="B886" s="10">
        <v>45427</v>
      </c>
      <c r="C886" t="s">
        <v>3252</v>
      </c>
      <c r="D886" t="s">
        <v>47</v>
      </c>
      <c r="E886">
        <v>1</v>
      </c>
      <c r="F886" s="4">
        <v>595.54</v>
      </c>
      <c r="G886" t="s">
        <v>66</v>
      </c>
      <c r="H886" t="s">
        <v>25</v>
      </c>
      <c r="I886">
        <v>4</v>
      </c>
      <c r="K886" t="s">
        <v>28</v>
      </c>
      <c r="L886" s="4">
        <v>595.54</v>
      </c>
      <c r="M886" t="str">
        <f>VLOOKUP(D886,tblProduct[],2,FALSE)</f>
        <v>Furniture</v>
      </c>
      <c r="N886" t="str">
        <f>VLOOKUP(D886,tblProduct[],3,FALSE)</f>
        <v>Medium</v>
      </c>
      <c r="O886">
        <f>VLOOKUP(D886,tblProduct[],4,FALSE)</f>
        <v>70000</v>
      </c>
      <c r="P886">
        <v>595.54</v>
      </c>
      <c r="Q886" s="19" t="str">
        <f t="shared" si="13"/>
        <v>May-2024</v>
      </c>
      <c r="R886" s="26">
        <f>DATE(YEAR(tblEnriched[[#This Row],[Date]]),MONTH(tblEnriched[[#This Row],[Date]]),1)</f>
        <v>45413</v>
      </c>
    </row>
    <row r="887" spans="1:18">
      <c r="A887" t="s">
        <v>3255</v>
      </c>
      <c r="B887" s="10">
        <v>45389</v>
      </c>
      <c r="C887" t="s">
        <v>3256</v>
      </c>
      <c r="D887" t="s">
        <v>64</v>
      </c>
      <c r="E887">
        <v>4</v>
      </c>
      <c r="F887" s="4">
        <v>515.59</v>
      </c>
      <c r="G887" t="s">
        <v>40</v>
      </c>
      <c r="H887" t="s">
        <v>25</v>
      </c>
      <c r="I887">
        <v>7</v>
      </c>
      <c r="J887" t="s">
        <v>43</v>
      </c>
      <c r="K887" t="s">
        <v>82</v>
      </c>
      <c r="L887" s="4">
        <v>2062.36</v>
      </c>
      <c r="M887" t="str">
        <f>VLOOKUP(D887,tblProduct[],2,FALSE)</f>
        <v>Electronics</v>
      </c>
      <c r="N887" t="str">
        <f>VLOOKUP(D887,tblProduct[],3,FALSE)</f>
        <v>High</v>
      </c>
      <c r="O887">
        <f>VLOOKUP(D887,tblProduct[],4,FALSE)</f>
        <v>150000</v>
      </c>
      <c r="P887">
        <v>2062.36</v>
      </c>
      <c r="Q887" s="19" t="str">
        <f t="shared" si="13"/>
        <v>Apr-2024</v>
      </c>
      <c r="R887" s="26">
        <f>DATE(YEAR(tblEnriched[[#This Row],[Date]]),MONTH(tblEnriched[[#This Row],[Date]]),1)</f>
        <v>45383</v>
      </c>
    </row>
    <row r="888" spans="1:18">
      <c r="A888" t="s">
        <v>3259</v>
      </c>
      <c r="B888" s="10">
        <v>45224</v>
      </c>
      <c r="C888" t="s">
        <v>3260</v>
      </c>
      <c r="D888" t="s">
        <v>31</v>
      </c>
      <c r="E888">
        <v>1</v>
      </c>
      <c r="F888" s="4">
        <v>460.13</v>
      </c>
      <c r="G888" t="s">
        <v>40</v>
      </c>
      <c r="H888" t="s">
        <v>49</v>
      </c>
      <c r="I888">
        <v>1</v>
      </c>
      <c r="K888" t="s">
        <v>82</v>
      </c>
      <c r="L888" s="4">
        <v>460.13</v>
      </c>
      <c r="M888" t="str">
        <f>VLOOKUP(D888,tblProduct[],2,FALSE)</f>
        <v>Electronics</v>
      </c>
      <c r="N888" t="str">
        <f>VLOOKUP(D888,tblProduct[],3,FALSE)</f>
        <v>High</v>
      </c>
      <c r="O888">
        <f>VLOOKUP(D888,tblProduct[],4,FALSE)</f>
        <v>120000</v>
      </c>
      <c r="P888">
        <v>460.13</v>
      </c>
      <c r="Q888" s="19" t="str">
        <f t="shared" si="13"/>
        <v>Oct-2023</v>
      </c>
      <c r="R888" s="26">
        <f>DATE(YEAR(tblEnriched[[#This Row],[Date]]),MONTH(tblEnriched[[#This Row],[Date]]),1)</f>
        <v>45200</v>
      </c>
    </row>
    <row r="889" spans="1:18">
      <c r="A889" t="s">
        <v>3263</v>
      </c>
      <c r="B889" s="10">
        <v>45645</v>
      </c>
      <c r="C889" t="s">
        <v>3264</v>
      </c>
      <c r="D889" t="s">
        <v>47</v>
      </c>
      <c r="E889">
        <v>3</v>
      </c>
      <c r="F889" s="4">
        <v>171.66</v>
      </c>
      <c r="G889" t="s">
        <v>24</v>
      </c>
      <c r="H889" t="s">
        <v>56</v>
      </c>
      <c r="I889">
        <v>7</v>
      </c>
      <c r="K889" t="s">
        <v>82</v>
      </c>
      <c r="L889" s="4">
        <v>514.98</v>
      </c>
      <c r="M889" t="str">
        <f>VLOOKUP(D889,tblProduct[],2,FALSE)</f>
        <v>Furniture</v>
      </c>
      <c r="N889" t="str">
        <f>VLOOKUP(D889,tblProduct[],3,FALSE)</f>
        <v>Medium</v>
      </c>
      <c r="O889">
        <f>VLOOKUP(D889,tblProduct[],4,FALSE)</f>
        <v>70000</v>
      </c>
      <c r="P889">
        <v>514.98</v>
      </c>
      <c r="Q889" s="19" t="str">
        <f t="shared" si="13"/>
        <v>Dec-2024</v>
      </c>
      <c r="R889" s="26">
        <f>DATE(YEAR(tblEnriched[[#This Row],[Date]]),MONTH(tblEnriched[[#This Row],[Date]]),1)</f>
        <v>45627</v>
      </c>
    </row>
    <row r="890" spans="1:18">
      <c r="A890" t="s">
        <v>3267</v>
      </c>
      <c r="B890" s="10">
        <v>45496</v>
      </c>
      <c r="C890" t="s">
        <v>3268</v>
      </c>
      <c r="D890" t="s">
        <v>64</v>
      </c>
      <c r="E890">
        <v>2</v>
      </c>
      <c r="F890" s="4">
        <v>266.95</v>
      </c>
      <c r="G890" t="s">
        <v>40</v>
      </c>
      <c r="H890" t="s">
        <v>95</v>
      </c>
      <c r="I890">
        <v>3</v>
      </c>
      <c r="K890" t="s">
        <v>28</v>
      </c>
      <c r="L890" s="4">
        <v>533.9</v>
      </c>
      <c r="M890" t="str">
        <f>VLOOKUP(D890,tblProduct[],2,FALSE)</f>
        <v>Electronics</v>
      </c>
      <c r="N890" t="str">
        <f>VLOOKUP(D890,tblProduct[],3,FALSE)</f>
        <v>High</v>
      </c>
      <c r="O890">
        <f>VLOOKUP(D890,tblProduct[],4,FALSE)</f>
        <v>150000</v>
      </c>
      <c r="P890">
        <v>533.9</v>
      </c>
      <c r="Q890" s="19" t="str">
        <f t="shared" si="13"/>
        <v>Jul-2024</v>
      </c>
      <c r="R890" s="26">
        <f>DATE(YEAR(tblEnriched[[#This Row],[Date]]),MONTH(tblEnriched[[#This Row],[Date]]),1)</f>
        <v>45474</v>
      </c>
    </row>
    <row r="891" spans="1:18">
      <c r="A891" t="s">
        <v>3271</v>
      </c>
      <c r="B891" s="10">
        <v>45592</v>
      </c>
      <c r="C891" t="s">
        <v>3272</v>
      </c>
      <c r="D891" t="s">
        <v>22</v>
      </c>
      <c r="E891">
        <v>5</v>
      </c>
      <c r="F891" s="4">
        <v>650.72</v>
      </c>
      <c r="G891" t="s">
        <v>40</v>
      </c>
      <c r="H891" t="s">
        <v>41</v>
      </c>
      <c r="I891">
        <v>8</v>
      </c>
      <c r="J891" t="s">
        <v>87</v>
      </c>
      <c r="K891" t="s">
        <v>44</v>
      </c>
      <c r="L891" s="4">
        <v>3253.6</v>
      </c>
      <c r="M891" t="str">
        <f>VLOOKUP(D891,tblProduct[],2,FALSE)</f>
        <v>Electronics</v>
      </c>
      <c r="N891" t="str">
        <f>VLOOKUP(D891,tblProduct[],3,FALSE)</f>
        <v>Medium</v>
      </c>
      <c r="O891">
        <f>VLOOKUP(D891,tblProduct[],4,FALSE)</f>
        <v>90000</v>
      </c>
      <c r="P891">
        <v>3253.6</v>
      </c>
      <c r="Q891" s="19" t="str">
        <f t="shared" si="13"/>
        <v>Oct-2024</v>
      </c>
      <c r="R891" s="26">
        <f>DATE(YEAR(tblEnriched[[#This Row],[Date]]),MONTH(tblEnriched[[#This Row],[Date]]),1)</f>
        <v>45566</v>
      </c>
    </row>
    <row r="892" spans="1:18">
      <c r="A892" t="s">
        <v>3275</v>
      </c>
      <c r="B892" s="10">
        <v>45149</v>
      </c>
      <c r="C892" t="s">
        <v>3276</v>
      </c>
      <c r="D892" t="s">
        <v>64</v>
      </c>
      <c r="E892">
        <v>3</v>
      </c>
      <c r="F892" s="4">
        <v>439.53</v>
      </c>
      <c r="G892" t="s">
        <v>24</v>
      </c>
      <c r="H892" t="s">
        <v>95</v>
      </c>
      <c r="I892">
        <v>5</v>
      </c>
      <c r="K892" t="s">
        <v>82</v>
      </c>
      <c r="L892" s="4">
        <v>1318.59</v>
      </c>
      <c r="M892" t="str">
        <f>VLOOKUP(D892,tblProduct[],2,FALSE)</f>
        <v>Electronics</v>
      </c>
      <c r="N892" t="str">
        <f>VLOOKUP(D892,tblProduct[],3,FALSE)</f>
        <v>High</v>
      </c>
      <c r="O892">
        <f>VLOOKUP(D892,tblProduct[],4,FALSE)</f>
        <v>150000</v>
      </c>
      <c r="P892">
        <v>1318.59</v>
      </c>
      <c r="Q892" s="19" t="str">
        <f t="shared" si="13"/>
        <v>Aug-2023</v>
      </c>
      <c r="R892" s="26">
        <f>DATE(YEAR(tblEnriched[[#This Row],[Date]]),MONTH(tblEnriched[[#This Row],[Date]]),1)</f>
        <v>45139</v>
      </c>
    </row>
    <row r="893" spans="1:18">
      <c r="A893" t="s">
        <v>3278</v>
      </c>
      <c r="B893" s="10">
        <v>45241</v>
      </c>
      <c r="C893" t="s">
        <v>3279</v>
      </c>
      <c r="D893" t="s">
        <v>22</v>
      </c>
      <c r="E893">
        <v>3</v>
      </c>
      <c r="F893" s="4">
        <v>654.54</v>
      </c>
      <c r="G893" t="s">
        <v>71</v>
      </c>
      <c r="H893" t="s">
        <v>49</v>
      </c>
      <c r="I893">
        <v>7</v>
      </c>
      <c r="J893" t="s">
        <v>27</v>
      </c>
      <c r="K893" t="s">
        <v>35</v>
      </c>
      <c r="L893" s="4">
        <v>1963.62</v>
      </c>
      <c r="M893" t="str">
        <f>VLOOKUP(D893,tblProduct[],2,FALSE)</f>
        <v>Electronics</v>
      </c>
      <c r="N893" t="str">
        <f>VLOOKUP(D893,tblProduct[],3,FALSE)</f>
        <v>Medium</v>
      </c>
      <c r="O893">
        <f>VLOOKUP(D893,tblProduct[],4,FALSE)</f>
        <v>90000</v>
      </c>
      <c r="P893">
        <v>1963.62</v>
      </c>
      <c r="Q893" s="19" t="str">
        <f t="shared" si="13"/>
        <v>Nov-2023</v>
      </c>
      <c r="R893" s="26">
        <f>DATE(YEAR(tblEnriched[[#This Row],[Date]]),MONTH(tblEnriched[[#This Row],[Date]]),1)</f>
        <v>45231</v>
      </c>
    </row>
    <row r="894" spans="1:18">
      <c r="A894" t="s">
        <v>3282</v>
      </c>
      <c r="B894" s="10">
        <v>45447</v>
      </c>
      <c r="C894" t="s">
        <v>3283</v>
      </c>
      <c r="D894" t="s">
        <v>79</v>
      </c>
      <c r="E894">
        <v>1</v>
      </c>
      <c r="F894" s="4">
        <v>394.53</v>
      </c>
      <c r="G894" t="s">
        <v>71</v>
      </c>
      <c r="H894" t="s">
        <v>25</v>
      </c>
      <c r="I894">
        <v>2</v>
      </c>
      <c r="J894" t="s">
        <v>43</v>
      </c>
      <c r="K894" t="s">
        <v>35</v>
      </c>
      <c r="L894" s="4">
        <v>394.53</v>
      </c>
      <c r="M894" t="str">
        <f>VLOOKUP(D894,tblProduct[],2,FALSE)</f>
        <v>Furniture</v>
      </c>
      <c r="N894" t="str">
        <f>VLOOKUP(D894,tblProduct[],3,FALSE)</f>
        <v>High</v>
      </c>
      <c r="O894">
        <f>VLOOKUP(D894,tblProduct[],4,FALSE)</f>
        <v>75000</v>
      </c>
      <c r="P894">
        <v>394.53</v>
      </c>
      <c r="Q894" s="19" t="str">
        <f t="shared" si="13"/>
        <v>Jun-2024</v>
      </c>
      <c r="R894" s="26">
        <f>DATE(YEAR(tblEnriched[[#This Row],[Date]]),MONTH(tblEnriched[[#This Row],[Date]]),1)</f>
        <v>45444</v>
      </c>
    </row>
    <row r="895" spans="1:18">
      <c r="A895" t="s">
        <v>3286</v>
      </c>
      <c r="B895" s="10">
        <v>45006</v>
      </c>
      <c r="C895" t="s">
        <v>3287</v>
      </c>
      <c r="D895" t="s">
        <v>22</v>
      </c>
      <c r="E895">
        <v>1</v>
      </c>
      <c r="F895" s="4">
        <v>678.01</v>
      </c>
      <c r="G895" t="s">
        <v>71</v>
      </c>
      <c r="H895" t="s">
        <v>95</v>
      </c>
      <c r="I895">
        <v>4</v>
      </c>
      <c r="J895" t="s">
        <v>43</v>
      </c>
      <c r="K895" t="s">
        <v>35</v>
      </c>
      <c r="L895" s="4">
        <v>678.01</v>
      </c>
      <c r="M895" t="str">
        <f>VLOOKUP(D895,tblProduct[],2,FALSE)</f>
        <v>Electronics</v>
      </c>
      <c r="N895" t="str">
        <f>VLOOKUP(D895,tblProduct[],3,FALSE)</f>
        <v>Medium</v>
      </c>
      <c r="O895">
        <f>VLOOKUP(D895,tblProduct[],4,FALSE)</f>
        <v>90000</v>
      </c>
      <c r="P895">
        <v>678.01</v>
      </c>
      <c r="Q895" s="19" t="str">
        <f t="shared" si="13"/>
        <v>Mar-2023</v>
      </c>
      <c r="R895" s="26">
        <f>DATE(YEAR(tblEnriched[[#This Row],[Date]]),MONTH(tblEnriched[[#This Row],[Date]]),1)</f>
        <v>44986</v>
      </c>
    </row>
    <row r="896" spans="1:18">
      <c r="A896" t="s">
        <v>3289</v>
      </c>
      <c r="B896" s="10">
        <v>45069</v>
      </c>
      <c r="C896" t="s">
        <v>3290</v>
      </c>
      <c r="D896" t="s">
        <v>38</v>
      </c>
      <c r="E896">
        <v>3</v>
      </c>
      <c r="F896" s="4">
        <v>575.01</v>
      </c>
      <c r="G896" t="s">
        <v>33</v>
      </c>
      <c r="H896" t="s">
        <v>41</v>
      </c>
      <c r="I896">
        <v>8</v>
      </c>
      <c r="J896" t="s">
        <v>87</v>
      </c>
      <c r="K896" t="s">
        <v>28</v>
      </c>
      <c r="L896" s="4">
        <v>1725.03</v>
      </c>
      <c r="M896" t="str">
        <f>VLOOKUP(D896,tblProduct[],2,FALSE)</f>
        <v>Electronics</v>
      </c>
      <c r="N896" t="str">
        <f>VLOOKUP(D896,tblProduct[],3,FALSE)</f>
        <v>Medium</v>
      </c>
      <c r="O896">
        <f>VLOOKUP(D896,tblProduct[],4,FALSE)</f>
        <v>100000</v>
      </c>
      <c r="P896">
        <v>1725.03</v>
      </c>
      <c r="Q896" s="19" t="str">
        <f t="shared" si="13"/>
        <v>May-2023</v>
      </c>
      <c r="R896" s="26">
        <f>DATE(YEAR(tblEnriched[[#This Row],[Date]]),MONTH(tblEnriched[[#This Row],[Date]]),1)</f>
        <v>45047</v>
      </c>
    </row>
    <row r="897" spans="1:18">
      <c r="A897" t="s">
        <v>3292</v>
      </c>
      <c r="B897" s="10">
        <v>45239</v>
      </c>
      <c r="C897" t="s">
        <v>3293</v>
      </c>
      <c r="D897" t="s">
        <v>47</v>
      </c>
      <c r="E897">
        <v>3</v>
      </c>
      <c r="F897" s="4">
        <v>154.63999999999999</v>
      </c>
      <c r="G897" t="s">
        <v>24</v>
      </c>
      <c r="H897" t="s">
        <v>95</v>
      </c>
      <c r="I897">
        <v>6</v>
      </c>
      <c r="J897" t="s">
        <v>87</v>
      </c>
      <c r="K897" t="s">
        <v>51</v>
      </c>
      <c r="L897" s="4">
        <v>463.92</v>
      </c>
      <c r="M897" t="str">
        <f>VLOOKUP(D897,tblProduct[],2,FALSE)</f>
        <v>Furniture</v>
      </c>
      <c r="N897" t="str">
        <f>VLOOKUP(D897,tblProduct[],3,FALSE)</f>
        <v>Medium</v>
      </c>
      <c r="O897">
        <f>VLOOKUP(D897,tblProduct[],4,FALSE)</f>
        <v>70000</v>
      </c>
      <c r="P897">
        <v>463.92</v>
      </c>
      <c r="Q897" s="19" t="str">
        <f t="shared" si="13"/>
        <v>Nov-2023</v>
      </c>
      <c r="R897" s="26">
        <f>DATE(YEAR(tblEnriched[[#This Row],[Date]]),MONTH(tblEnriched[[#This Row],[Date]]),1)</f>
        <v>45231</v>
      </c>
    </row>
    <row r="898" spans="1:18">
      <c r="A898" t="s">
        <v>3296</v>
      </c>
      <c r="B898" s="10">
        <v>45583</v>
      </c>
      <c r="C898" t="s">
        <v>3297</v>
      </c>
      <c r="D898" t="s">
        <v>79</v>
      </c>
      <c r="E898">
        <v>3</v>
      </c>
      <c r="F898" s="4">
        <v>147.29</v>
      </c>
      <c r="G898" t="s">
        <v>66</v>
      </c>
      <c r="H898" t="s">
        <v>25</v>
      </c>
      <c r="I898">
        <v>3</v>
      </c>
      <c r="J898" t="s">
        <v>43</v>
      </c>
      <c r="K898" t="s">
        <v>82</v>
      </c>
      <c r="L898" s="4">
        <v>441.87</v>
      </c>
      <c r="M898" t="str">
        <f>VLOOKUP(D898,tblProduct[],2,FALSE)</f>
        <v>Furniture</v>
      </c>
      <c r="N898" t="str">
        <f>VLOOKUP(D898,tblProduct[],3,FALSE)</f>
        <v>High</v>
      </c>
      <c r="O898">
        <f>VLOOKUP(D898,tblProduct[],4,FALSE)</f>
        <v>75000</v>
      </c>
      <c r="P898">
        <v>441.87</v>
      </c>
      <c r="Q898" s="19" t="str">
        <f t="shared" ref="Q898:Q961" si="14">TEXT(B898,"mmm-yyyy")</f>
        <v>Oct-2024</v>
      </c>
      <c r="R898" s="26">
        <f>DATE(YEAR(tblEnriched[[#This Row],[Date]]),MONTH(tblEnriched[[#This Row],[Date]]),1)</f>
        <v>45566</v>
      </c>
    </row>
    <row r="899" spans="1:18">
      <c r="A899" t="s">
        <v>3299</v>
      </c>
      <c r="B899" s="10">
        <v>45538</v>
      </c>
      <c r="C899" t="s">
        <v>3300</v>
      </c>
      <c r="D899" t="s">
        <v>64</v>
      </c>
      <c r="E899">
        <v>4</v>
      </c>
      <c r="F899" s="4">
        <v>481.48</v>
      </c>
      <c r="G899" t="s">
        <v>66</v>
      </c>
      <c r="H899" t="s">
        <v>56</v>
      </c>
      <c r="I899">
        <v>5</v>
      </c>
      <c r="J899" t="s">
        <v>27</v>
      </c>
      <c r="K899" t="s">
        <v>28</v>
      </c>
      <c r="L899" s="4">
        <v>1925.92</v>
      </c>
      <c r="M899" t="str">
        <f>VLOOKUP(D899,tblProduct[],2,FALSE)</f>
        <v>Electronics</v>
      </c>
      <c r="N899" t="str">
        <f>VLOOKUP(D899,tblProduct[],3,FALSE)</f>
        <v>High</v>
      </c>
      <c r="O899">
        <f>VLOOKUP(D899,tblProduct[],4,FALSE)</f>
        <v>150000</v>
      </c>
      <c r="P899">
        <v>1925.92</v>
      </c>
      <c r="Q899" s="19" t="str">
        <f t="shared" si="14"/>
        <v>Sep-2024</v>
      </c>
      <c r="R899" s="26">
        <f>DATE(YEAR(tblEnriched[[#This Row],[Date]]),MONTH(tblEnriched[[#This Row],[Date]]),1)</f>
        <v>45536</v>
      </c>
    </row>
    <row r="900" spans="1:18">
      <c r="A900" t="s">
        <v>3302</v>
      </c>
      <c r="B900" s="10">
        <v>45721</v>
      </c>
      <c r="C900" t="s">
        <v>3303</v>
      </c>
      <c r="D900" t="s">
        <v>22</v>
      </c>
      <c r="E900">
        <v>3</v>
      </c>
      <c r="F900" s="4">
        <v>158.37</v>
      </c>
      <c r="G900" t="s">
        <v>71</v>
      </c>
      <c r="H900" t="s">
        <v>25</v>
      </c>
      <c r="I900">
        <v>6</v>
      </c>
      <c r="K900" t="s">
        <v>35</v>
      </c>
      <c r="L900" s="4">
        <v>475.11</v>
      </c>
      <c r="M900" t="str">
        <f>VLOOKUP(D900,tblProduct[],2,FALSE)</f>
        <v>Electronics</v>
      </c>
      <c r="N900" t="str">
        <f>VLOOKUP(D900,tblProduct[],3,FALSE)</f>
        <v>Medium</v>
      </c>
      <c r="O900">
        <f>VLOOKUP(D900,tblProduct[],4,FALSE)</f>
        <v>90000</v>
      </c>
      <c r="P900">
        <v>475.11</v>
      </c>
      <c r="Q900" s="19" t="str">
        <f t="shared" si="14"/>
        <v>Mar-2025</v>
      </c>
      <c r="R900" s="26">
        <f>DATE(YEAR(tblEnriched[[#This Row],[Date]]),MONTH(tblEnriched[[#This Row],[Date]]),1)</f>
        <v>45717</v>
      </c>
    </row>
    <row r="901" spans="1:18">
      <c r="A901" t="s">
        <v>3305</v>
      </c>
      <c r="B901" s="10">
        <v>45770</v>
      </c>
      <c r="C901" t="s">
        <v>3306</v>
      </c>
      <c r="D901" t="s">
        <v>54</v>
      </c>
      <c r="E901">
        <v>2</v>
      </c>
      <c r="F901" s="4">
        <v>323.37</v>
      </c>
      <c r="G901" t="s">
        <v>33</v>
      </c>
      <c r="H901" t="s">
        <v>95</v>
      </c>
      <c r="I901">
        <v>3</v>
      </c>
      <c r="J901" t="s">
        <v>27</v>
      </c>
      <c r="K901" t="s">
        <v>28</v>
      </c>
      <c r="L901" s="4">
        <v>646.74</v>
      </c>
      <c r="M901" t="str">
        <f>VLOOKUP(D901,tblProduct[],2,FALSE)</f>
        <v>Electronics</v>
      </c>
      <c r="N901" t="str">
        <f>VLOOKUP(D901,tblProduct[],3,FALSE)</f>
        <v>Medium</v>
      </c>
      <c r="O901">
        <f>VLOOKUP(D901,tblProduct[],4,FALSE)</f>
        <v>80000</v>
      </c>
      <c r="P901">
        <v>646.74</v>
      </c>
      <c r="Q901" s="19" t="str">
        <f t="shared" si="14"/>
        <v>Apr-2025</v>
      </c>
      <c r="R901" s="26">
        <f>DATE(YEAR(tblEnriched[[#This Row],[Date]]),MONTH(tblEnriched[[#This Row],[Date]]),1)</f>
        <v>45748</v>
      </c>
    </row>
    <row r="902" spans="1:18">
      <c r="A902" t="s">
        <v>3308</v>
      </c>
      <c r="B902" s="10">
        <v>45695</v>
      </c>
      <c r="C902" t="s">
        <v>3309</v>
      </c>
      <c r="D902" t="s">
        <v>64</v>
      </c>
      <c r="E902">
        <v>5</v>
      </c>
      <c r="F902" s="4">
        <v>73.83</v>
      </c>
      <c r="G902" t="s">
        <v>24</v>
      </c>
      <c r="H902" t="s">
        <v>95</v>
      </c>
      <c r="I902">
        <v>9</v>
      </c>
      <c r="K902" t="s">
        <v>28</v>
      </c>
      <c r="L902" s="4">
        <v>369.15</v>
      </c>
      <c r="M902" t="str">
        <f>VLOOKUP(D902,tblProduct[],2,FALSE)</f>
        <v>Electronics</v>
      </c>
      <c r="N902" t="str">
        <f>VLOOKUP(D902,tblProduct[],3,FALSE)</f>
        <v>High</v>
      </c>
      <c r="O902">
        <f>VLOOKUP(D902,tblProduct[],4,FALSE)</f>
        <v>150000</v>
      </c>
      <c r="P902">
        <v>369.15</v>
      </c>
      <c r="Q902" s="19" t="str">
        <f t="shared" si="14"/>
        <v>Feb-2025</v>
      </c>
      <c r="R902" s="26">
        <f>DATE(YEAR(tblEnriched[[#This Row],[Date]]),MONTH(tblEnriched[[#This Row],[Date]]),1)</f>
        <v>45689</v>
      </c>
    </row>
    <row r="903" spans="1:18">
      <c r="A903" t="s">
        <v>3311</v>
      </c>
      <c r="B903" s="10">
        <v>45410</v>
      </c>
      <c r="C903" t="s">
        <v>3312</v>
      </c>
      <c r="D903" t="s">
        <v>38</v>
      </c>
      <c r="E903">
        <v>1</v>
      </c>
      <c r="F903" s="4">
        <v>458.63</v>
      </c>
      <c r="G903" t="s">
        <v>24</v>
      </c>
      <c r="H903" t="s">
        <v>49</v>
      </c>
      <c r="I903">
        <v>4</v>
      </c>
      <c r="J903" t="s">
        <v>87</v>
      </c>
      <c r="K903" t="s">
        <v>35</v>
      </c>
      <c r="L903" s="4">
        <v>458.63</v>
      </c>
      <c r="M903" t="str">
        <f>VLOOKUP(D903,tblProduct[],2,FALSE)</f>
        <v>Electronics</v>
      </c>
      <c r="N903" t="str">
        <f>VLOOKUP(D903,tblProduct[],3,FALSE)</f>
        <v>Medium</v>
      </c>
      <c r="O903">
        <f>VLOOKUP(D903,tblProduct[],4,FALSE)</f>
        <v>100000</v>
      </c>
      <c r="P903">
        <v>458.63</v>
      </c>
      <c r="Q903" s="19" t="str">
        <f t="shared" si="14"/>
        <v>Apr-2024</v>
      </c>
      <c r="R903" s="26">
        <f>DATE(YEAR(tblEnriched[[#This Row],[Date]]),MONTH(tblEnriched[[#This Row],[Date]]),1)</f>
        <v>45383</v>
      </c>
    </row>
    <row r="904" spans="1:18">
      <c r="A904" t="s">
        <v>3314</v>
      </c>
      <c r="B904" s="10">
        <v>45486</v>
      </c>
      <c r="C904" t="s">
        <v>3315</v>
      </c>
      <c r="D904" t="s">
        <v>22</v>
      </c>
      <c r="E904">
        <v>4</v>
      </c>
      <c r="F904" s="4">
        <v>180.25</v>
      </c>
      <c r="G904" t="s">
        <v>24</v>
      </c>
      <c r="H904" t="s">
        <v>41</v>
      </c>
      <c r="I904">
        <v>7</v>
      </c>
      <c r="K904" t="s">
        <v>51</v>
      </c>
      <c r="L904" s="4">
        <v>721</v>
      </c>
      <c r="M904" t="str">
        <f>VLOOKUP(D904,tblProduct[],2,FALSE)</f>
        <v>Electronics</v>
      </c>
      <c r="N904" t="str">
        <f>VLOOKUP(D904,tblProduct[],3,FALSE)</f>
        <v>Medium</v>
      </c>
      <c r="O904">
        <f>VLOOKUP(D904,tblProduct[],4,FALSE)</f>
        <v>90000</v>
      </c>
      <c r="P904">
        <v>721</v>
      </c>
      <c r="Q904" s="19" t="str">
        <f t="shared" si="14"/>
        <v>Jul-2024</v>
      </c>
      <c r="R904" s="26">
        <f>DATE(YEAR(tblEnriched[[#This Row],[Date]]),MONTH(tblEnriched[[#This Row],[Date]]),1)</f>
        <v>45474</v>
      </c>
    </row>
    <row r="905" spans="1:18">
      <c r="A905" t="s">
        <v>3317</v>
      </c>
      <c r="B905" s="10">
        <v>45063</v>
      </c>
      <c r="C905" t="s">
        <v>3318</v>
      </c>
      <c r="D905" t="s">
        <v>22</v>
      </c>
      <c r="E905">
        <v>3</v>
      </c>
      <c r="F905" s="4">
        <v>473.49</v>
      </c>
      <c r="G905" t="s">
        <v>40</v>
      </c>
      <c r="H905" t="s">
        <v>95</v>
      </c>
      <c r="I905">
        <v>7</v>
      </c>
      <c r="K905" t="s">
        <v>44</v>
      </c>
      <c r="L905" s="4">
        <v>1420.47</v>
      </c>
      <c r="M905" t="str">
        <f>VLOOKUP(D905,tblProduct[],2,FALSE)</f>
        <v>Electronics</v>
      </c>
      <c r="N905" t="str">
        <f>VLOOKUP(D905,tblProduct[],3,FALSE)</f>
        <v>Medium</v>
      </c>
      <c r="O905">
        <f>VLOOKUP(D905,tblProduct[],4,FALSE)</f>
        <v>90000</v>
      </c>
      <c r="P905">
        <v>1420.47</v>
      </c>
      <c r="Q905" s="19" t="str">
        <f t="shared" si="14"/>
        <v>May-2023</v>
      </c>
      <c r="R905" s="26">
        <f>DATE(YEAR(tblEnriched[[#This Row],[Date]]),MONTH(tblEnriched[[#This Row],[Date]]),1)</f>
        <v>45047</v>
      </c>
    </row>
    <row r="906" spans="1:18">
      <c r="A906" t="s">
        <v>3320</v>
      </c>
      <c r="B906" s="10">
        <v>45693</v>
      </c>
      <c r="C906" t="s">
        <v>3321</v>
      </c>
      <c r="D906" t="s">
        <v>22</v>
      </c>
      <c r="E906">
        <v>4</v>
      </c>
      <c r="F906" s="4">
        <v>237.43</v>
      </c>
      <c r="G906" t="s">
        <v>71</v>
      </c>
      <c r="H906" t="s">
        <v>41</v>
      </c>
      <c r="I906">
        <v>8</v>
      </c>
      <c r="J906" t="s">
        <v>87</v>
      </c>
      <c r="K906" t="s">
        <v>35</v>
      </c>
      <c r="L906" s="4">
        <v>949.72</v>
      </c>
      <c r="M906" t="str">
        <f>VLOOKUP(D906,tblProduct[],2,FALSE)</f>
        <v>Electronics</v>
      </c>
      <c r="N906" t="str">
        <f>VLOOKUP(D906,tblProduct[],3,FALSE)</f>
        <v>Medium</v>
      </c>
      <c r="O906">
        <f>VLOOKUP(D906,tblProduct[],4,FALSE)</f>
        <v>90000</v>
      </c>
      <c r="P906">
        <v>949.72</v>
      </c>
      <c r="Q906" s="19" t="str">
        <f t="shared" si="14"/>
        <v>Feb-2025</v>
      </c>
      <c r="R906" s="26">
        <f>DATE(YEAR(tblEnriched[[#This Row],[Date]]),MONTH(tblEnriched[[#This Row],[Date]]),1)</f>
        <v>45689</v>
      </c>
    </row>
    <row r="907" spans="1:18">
      <c r="A907" t="s">
        <v>3323</v>
      </c>
      <c r="B907" s="10">
        <v>45253</v>
      </c>
      <c r="C907" t="s">
        <v>3324</v>
      </c>
      <c r="D907" t="s">
        <v>64</v>
      </c>
      <c r="E907">
        <v>1</v>
      </c>
      <c r="F907" s="4">
        <v>442.39</v>
      </c>
      <c r="G907" t="s">
        <v>66</v>
      </c>
      <c r="H907" t="s">
        <v>95</v>
      </c>
      <c r="I907">
        <v>6</v>
      </c>
      <c r="J907" t="s">
        <v>43</v>
      </c>
      <c r="K907" t="s">
        <v>51</v>
      </c>
      <c r="L907" s="4">
        <v>442.39</v>
      </c>
      <c r="M907" t="str">
        <f>VLOOKUP(D907,tblProduct[],2,FALSE)</f>
        <v>Electronics</v>
      </c>
      <c r="N907" t="str">
        <f>VLOOKUP(D907,tblProduct[],3,FALSE)</f>
        <v>High</v>
      </c>
      <c r="O907">
        <f>VLOOKUP(D907,tblProduct[],4,FALSE)</f>
        <v>150000</v>
      </c>
      <c r="P907">
        <v>442.39</v>
      </c>
      <c r="Q907" s="19" t="str">
        <f t="shared" si="14"/>
        <v>Nov-2023</v>
      </c>
      <c r="R907" s="26">
        <f>DATE(YEAR(tblEnriched[[#This Row],[Date]]),MONTH(tblEnriched[[#This Row],[Date]]),1)</f>
        <v>45231</v>
      </c>
    </row>
    <row r="908" spans="1:18">
      <c r="A908" t="s">
        <v>3326</v>
      </c>
      <c r="B908" s="10">
        <v>45538</v>
      </c>
      <c r="C908" t="s">
        <v>3327</v>
      </c>
      <c r="D908" t="s">
        <v>22</v>
      </c>
      <c r="E908">
        <v>1</v>
      </c>
      <c r="F908" s="4">
        <v>62.12</v>
      </c>
      <c r="G908" t="s">
        <v>71</v>
      </c>
      <c r="H908" t="s">
        <v>49</v>
      </c>
      <c r="I908">
        <v>2</v>
      </c>
      <c r="K908" t="s">
        <v>44</v>
      </c>
      <c r="L908" s="4">
        <v>62.12</v>
      </c>
      <c r="M908" t="str">
        <f>VLOOKUP(D908,tblProduct[],2,FALSE)</f>
        <v>Electronics</v>
      </c>
      <c r="N908" t="str">
        <f>VLOOKUP(D908,tblProduct[],3,FALSE)</f>
        <v>Medium</v>
      </c>
      <c r="O908">
        <f>VLOOKUP(D908,tblProduct[],4,FALSE)</f>
        <v>90000</v>
      </c>
      <c r="P908">
        <v>62.12</v>
      </c>
      <c r="Q908" s="19" t="str">
        <f t="shared" si="14"/>
        <v>Sep-2024</v>
      </c>
      <c r="R908" s="26">
        <f>DATE(YEAR(tblEnriched[[#This Row],[Date]]),MONTH(tblEnriched[[#This Row],[Date]]),1)</f>
        <v>45536</v>
      </c>
    </row>
    <row r="909" spans="1:18">
      <c r="A909" t="s">
        <v>3330</v>
      </c>
      <c r="B909" s="10">
        <v>45508</v>
      </c>
      <c r="C909" t="s">
        <v>3331</v>
      </c>
      <c r="D909" t="s">
        <v>79</v>
      </c>
      <c r="E909">
        <v>5</v>
      </c>
      <c r="F909" s="4">
        <v>298.39</v>
      </c>
      <c r="G909" t="s">
        <v>66</v>
      </c>
      <c r="H909" t="s">
        <v>41</v>
      </c>
      <c r="I909">
        <v>7</v>
      </c>
      <c r="J909" t="s">
        <v>87</v>
      </c>
      <c r="K909" t="s">
        <v>35</v>
      </c>
      <c r="L909" s="4">
        <v>1491.95</v>
      </c>
      <c r="M909" t="str">
        <f>VLOOKUP(D909,tblProduct[],2,FALSE)</f>
        <v>Furniture</v>
      </c>
      <c r="N909" t="str">
        <f>VLOOKUP(D909,tblProduct[],3,FALSE)</f>
        <v>High</v>
      </c>
      <c r="O909">
        <f>VLOOKUP(D909,tblProduct[],4,FALSE)</f>
        <v>75000</v>
      </c>
      <c r="P909">
        <v>1491.95</v>
      </c>
      <c r="Q909" s="19" t="str">
        <f t="shared" si="14"/>
        <v>Aug-2024</v>
      </c>
      <c r="R909" s="26">
        <f>DATE(YEAR(tblEnriched[[#This Row],[Date]]),MONTH(tblEnriched[[#This Row],[Date]]),1)</f>
        <v>45505</v>
      </c>
    </row>
    <row r="910" spans="1:18">
      <c r="A910" t="s">
        <v>3333</v>
      </c>
      <c r="B910" s="10">
        <v>45783</v>
      </c>
      <c r="C910" t="s">
        <v>3334</v>
      </c>
      <c r="D910" t="s">
        <v>79</v>
      </c>
      <c r="E910">
        <v>2</v>
      </c>
      <c r="F910" s="4">
        <v>697.93</v>
      </c>
      <c r="G910" t="s">
        <v>40</v>
      </c>
      <c r="H910" t="s">
        <v>41</v>
      </c>
      <c r="I910">
        <v>2</v>
      </c>
      <c r="J910" t="s">
        <v>27</v>
      </c>
      <c r="K910" t="s">
        <v>82</v>
      </c>
      <c r="L910" s="4">
        <v>1395.86</v>
      </c>
      <c r="M910" t="str">
        <f>VLOOKUP(D910,tblProduct[],2,FALSE)</f>
        <v>Furniture</v>
      </c>
      <c r="N910" t="str">
        <f>VLOOKUP(D910,tblProduct[],3,FALSE)</f>
        <v>High</v>
      </c>
      <c r="O910">
        <f>VLOOKUP(D910,tblProduct[],4,FALSE)</f>
        <v>75000</v>
      </c>
      <c r="P910">
        <v>1395.86</v>
      </c>
      <c r="Q910" s="19" t="str">
        <f t="shared" si="14"/>
        <v>May-2025</v>
      </c>
      <c r="R910" s="26">
        <f>DATE(YEAR(tblEnriched[[#This Row],[Date]]),MONTH(tblEnriched[[#This Row],[Date]]),1)</f>
        <v>45778</v>
      </c>
    </row>
    <row r="911" spans="1:18">
      <c r="A911" t="s">
        <v>3336</v>
      </c>
      <c r="B911" s="10">
        <v>45439</v>
      </c>
      <c r="C911" t="s">
        <v>3337</v>
      </c>
      <c r="D911" t="s">
        <v>38</v>
      </c>
      <c r="E911">
        <v>2</v>
      </c>
      <c r="F911" s="4">
        <v>291.85000000000002</v>
      </c>
      <c r="G911" t="s">
        <v>71</v>
      </c>
      <c r="H911" t="s">
        <v>25</v>
      </c>
      <c r="I911">
        <v>5</v>
      </c>
      <c r="J911" t="s">
        <v>43</v>
      </c>
      <c r="K911" t="s">
        <v>28</v>
      </c>
      <c r="L911" s="4">
        <v>583.70000000000005</v>
      </c>
      <c r="M911" t="str">
        <f>VLOOKUP(D911,tblProduct[],2,FALSE)</f>
        <v>Electronics</v>
      </c>
      <c r="N911" t="str">
        <f>VLOOKUP(D911,tblProduct[],3,FALSE)</f>
        <v>Medium</v>
      </c>
      <c r="O911">
        <f>VLOOKUP(D911,tblProduct[],4,FALSE)</f>
        <v>100000</v>
      </c>
      <c r="P911">
        <v>583.70000000000005</v>
      </c>
      <c r="Q911" s="19" t="str">
        <f t="shared" si="14"/>
        <v>May-2024</v>
      </c>
      <c r="R911" s="26">
        <f>DATE(YEAR(tblEnriched[[#This Row],[Date]]),MONTH(tblEnriched[[#This Row],[Date]]),1)</f>
        <v>45413</v>
      </c>
    </row>
    <row r="912" spans="1:18">
      <c r="A912" t="s">
        <v>3339</v>
      </c>
      <c r="B912" s="10">
        <v>45443</v>
      </c>
      <c r="C912" t="s">
        <v>3340</v>
      </c>
      <c r="D912" t="s">
        <v>54</v>
      </c>
      <c r="E912">
        <v>3</v>
      </c>
      <c r="F912" s="4">
        <v>308.98</v>
      </c>
      <c r="G912" t="s">
        <v>71</v>
      </c>
      <c r="H912" t="s">
        <v>56</v>
      </c>
      <c r="I912">
        <v>3</v>
      </c>
      <c r="J912" t="s">
        <v>27</v>
      </c>
      <c r="K912" t="s">
        <v>28</v>
      </c>
      <c r="L912" s="4">
        <v>926.94</v>
      </c>
      <c r="M912" t="str">
        <f>VLOOKUP(D912,tblProduct[],2,FALSE)</f>
        <v>Electronics</v>
      </c>
      <c r="N912" t="str">
        <f>VLOOKUP(D912,tblProduct[],3,FALSE)</f>
        <v>Medium</v>
      </c>
      <c r="O912">
        <f>VLOOKUP(D912,tblProduct[],4,FALSE)</f>
        <v>80000</v>
      </c>
      <c r="P912">
        <v>926.94</v>
      </c>
      <c r="Q912" s="19" t="str">
        <f t="shared" si="14"/>
        <v>May-2024</v>
      </c>
      <c r="R912" s="26">
        <f>DATE(YEAR(tblEnriched[[#This Row],[Date]]),MONTH(tblEnriched[[#This Row],[Date]]),1)</f>
        <v>45413</v>
      </c>
    </row>
    <row r="913" spans="1:18">
      <c r="A913" t="s">
        <v>3342</v>
      </c>
      <c r="B913" s="10">
        <v>45517</v>
      </c>
      <c r="C913" t="s">
        <v>3343</v>
      </c>
      <c r="D913" t="s">
        <v>79</v>
      </c>
      <c r="E913">
        <v>5</v>
      </c>
      <c r="F913" s="4">
        <v>396.86</v>
      </c>
      <c r="G913" t="s">
        <v>71</v>
      </c>
      <c r="H913" t="s">
        <v>41</v>
      </c>
      <c r="I913">
        <v>9</v>
      </c>
      <c r="J913" t="s">
        <v>27</v>
      </c>
      <c r="K913" t="s">
        <v>28</v>
      </c>
      <c r="L913" s="4">
        <v>1984.3</v>
      </c>
      <c r="M913" t="str">
        <f>VLOOKUP(D913,tblProduct[],2,FALSE)</f>
        <v>Furniture</v>
      </c>
      <c r="N913" t="str">
        <f>VLOOKUP(D913,tblProduct[],3,FALSE)</f>
        <v>High</v>
      </c>
      <c r="O913">
        <f>VLOOKUP(D913,tblProduct[],4,FALSE)</f>
        <v>75000</v>
      </c>
      <c r="P913">
        <v>1984.3</v>
      </c>
      <c r="Q913" s="19" t="str">
        <f t="shared" si="14"/>
        <v>Aug-2024</v>
      </c>
      <c r="R913" s="26">
        <f>DATE(YEAR(tblEnriched[[#This Row],[Date]]),MONTH(tblEnriched[[#This Row],[Date]]),1)</f>
        <v>45505</v>
      </c>
    </row>
    <row r="914" spans="1:18">
      <c r="A914" t="s">
        <v>3345</v>
      </c>
      <c r="B914" s="10">
        <v>45313</v>
      </c>
      <c r="C914" t="s">
        <v>3346</v>
      </c>
      <c r="D914" t="s">
        <v>79</v>
      </c>
      <c r="E914">
        <v>2</v>
      </c>
      <c r="F914" s="4">
        <v>139.69</v>
      </c>
      <c r="G914" t="s">
        <v>33</v>
      </c>
      <c r="H914" t="s">
        <v>49</v>
      </c>
      <c r="I914">
        <v>7</v>
      </c>
      <c r="J914" t="s">
        <v>43</v>
      </c>
      <c r="K914" t="s">
        <v>44</v>
      </c>
      <c r="L914" s="4">
        <v>279.38</v>
      </c>
      <c r="M914" t="str">
        <f>VLOOKUP(D914,tblProduct[],2,FALSE)</f>
        <v>Furniture</v>
      </c>
      <c r="N914" t="str">
        <f>VLOOKUP(D914,tblProduct[],3,FALSE)</f>
        <v>High</v>
      </c>
      <c r="O914">
        <f>VLOOKUP(D914,tblProduct[],4,FALSE)</f>
        <v>75000</v>
      </c>
      <c r="P914">
        <v>279.38</v>
      </c>
      <c r="Q914" s="19" t="str">
        <f t="shared" si="14"/>
        <v>Jan-2024</v>
      </c>
      <c r="R914" s="26">
        <f>DATE(YEAR(tblEnriched[[#This Row],[Date]]),MONTH(tblEnriched[[#This Row],[Date]]),1)</f>
        <v>45292</v>
      </c>
    </row>
    <row r="915" spans="1:18">
      <c r="A915" t="s">
        <v>3348</v>
      </c>
      <c r="B915" s="10">
        <v>44973</v>
      </c>
      <c r="C915" t="s">
        <v>3349</v>
      </c>
      <c r="D915" t="s">
        <v>54</v>
      </c>
      <c r="E915">
        <v>5</v>
      </c>
      <c r="F915" s="4">
        <v>475.95</v>
      </c>
      <c r="G915" t="s">
        <v>40</v>
      </c>
      <c r="H915" t="s">
        <v>49</v>
      </c>
      <c r="I915">
        <v>8</v>
      </c>
      <c r="J915" t="s">
        <v>87</v>
      </c>
      <c r="K915" t="s">
        <v>51</v>
      </c>
      <c r="L915" s="4">
        <v>2379.75</v>
      </c>
      <c r="M915" t="str">
        <f>VLOOKUP(D915,tblProduct[],2,FALSE)</f>
        <v>Electronics</v>
      </c>
      <c r="N915" t="str">
        <f>VLOOKUP(D915,tblProduct[],3,FALSE)</f>
        <v>Medium</v>
      </c>
      <c r="O915">
        <f>VLOOKUP(D915,tblProduct[],4,FALSE)</f>
        <v>80000</v>
      </c>
      <c r="P915">
        <v>2379.75</v>
      </c>
      <c r="Q915" s="19" t="str">
        <f t="shared" si="14"/>
        <v>Feb-2023</v>
      </c>
      <c r="R915" s="26">
        <f>DATE(YEAR(tblEnriched[[#This Row],[Date]]),MONTH(tblEnriched[[#This Row],[Date]]),1)</f>
        <v>44958</v>
      </c>
    </row>
    <row r="916" spans="1:18">
      <c r="A916" t="s">
        <v>3351</v>
      </c>
      <c r="B916" s="10">
        <v>45698</v>
      </c>
      <c r="C916" t="s">
        <v>3352</v>
      </c>
      <c r="D916" t="s">
        <v>79</v>
      </c>
      <c r="E916">
        <v>1</v>
      </c>
      <c r="F916" s="4">
        <v>626.6</v>
      </c>
      <c r="G916" t="s">
        <v>66</v>
      </c>
      <c r="H916" t="s">
        <v>49</v>
      </c>
      <c r="I916">
        <v>4</v>
      </c>
      <c r="J916" t="s">
        <v>87</v>
      </c>
      <c r="K916" t="s">
        <v>51</v>
      </c>
      <c r="L916" s="4">
        <v>626.6</v>
      </c>
      <c r="M916" t="str">
        <f>VLOOKUP(D916,tblProduct[],2,FALSE)</f>
        <v>Furniture</v>
      </c>
      <c r="N916" t="str">
        <f>VLOOKUP(D916,tblProduct[],3,FALSE)</f>
        <v>High</v>
      </c>
      <c r="O916">
        <f>VLOOKUP(D916,tblProduct[],4,FALSE)</f>
        <v>75000</v>
      </c>
      <c r="P916">
        <v>626.6</v>
      </c>
      <c r="Q916" s="19" t="str">
        <f t="shared" si="14"/>
        <v>Feb-2025</v>
      </c>
      <c r="R916" s="26">
        <f>DATE(YEAR(tblEnriched[[#This Row],[Date]]),MONTH(tblEnriched[[#This Row],[Date]]),1)</f>
        <v>45689</v>
      </c>
    </row>
    <row r="917" spans="1:18">
      <c r="A917" t="s">
        <v>3354</v>
      </c>
      <c r="B917" s="10">
        <v>45338</v>
      </c>
      <c r="C917" t="s">
        <v>3355</v>
      </c>
      <c r="D917" t="s">
        <v>64</v>
      </c>
      <c r="E917">
        <v>4</v>
      </c>
      <c r="F917" s="4">
        <v>502.99</v>
      </c>
      <c r="G917" t="s">
        <v>24</v>
      </c>
      <c r="H917" t="s">
        <v>25</v>
      </c>
      <c r="I917">
        <v>4</v>
      </c>
      <c r="J917" t="s">
        <v>87</v>
      </c>
      <c r="K917" t="s">
        <v>35</v>
      </c>
      <c r="L917" s="4">
        <v>2011.96</v>
      </c>
      <c r="M917" t="str">
        <f>VLOOKUP(D917,tblProduct[],2,FALSE)</f>
        <v>Electronics</v>
      </c>
      <c r="N917" t="str">
        <f>VLOOKUP(D917,tblProduct[],3,FALSE)</f>
        <v>High</v>
      </c>
      <c r="O917">
        <f>VLOOKUP(D917,tblProduct[],4,FALSE)</f>
        <v>150000</v>
      </c>
      <c r="P917">
        <v>2011.96</v>
      </c>
      <c r="Q917" s="19" t="str">
        <f t="shared" si="14"/>
        <v>Feb-2024</v>
      </c>
      <c r="R917" s="26">
        <f>DATE(YEAR(tblEnriched[[#This Row],[Date]]),MONTH(tblEnriched[[#This Row],[Date]]),1)</f>
        <v>45323</v>
      </c>
    </row>
    <row r="918" spans="1:18">
      <c r="A918" t="s">
        <v>3358</v>
      </c>
      <c r="B918" s="10">
        <v>45464</v>
      </c>
      <c r="C918" t="s">
        <v>3359</v>
      </c>
      <c r="D918" t="s">
        <v>54</v>
      </c>
      <c r="E918">
        <v>5</v>
      </c>
      <c r="F918" s="4">
        <v>578.83000000000004</v>
      </c>
      <c r="G918" t="s">
        <v>71</v>
      </c>
      <c r="H918" t="s">
        <v>49</v>
      </c>
      <c r="I918">
        <v>6</v>
      </c>
      <c r="K918" t="s">
        <v>35</v>
      </c>
      <c r="L918" s="4">
        <v>2894.15</v>
      </c>
      <c r="M918" t="str">
        <f>VLOOKUP(D918,tblProduct[],2,FALSE)</f>
        <v>Electronics</v>
      </c>
      <c r="N918" t="str">
        <f>VLOOKUP(D918,tblProduct[],3,FALSE)</f>
        <v>Medium</v>
      </c>
      <c r="O918">
        <f>VLOOKUP(D918,tblProduct[],4,FALSE)</f>
        <v>80000</v>
      </c>
      <c r="P918">
        <v>2894.15</v>
      </c>
      <c r="Q918" s="19" t="str">
        <f t="shared" si="14"/>
        <v>Jun-2024</v>
      </c>
      <c r="R918" s="26">
        <f>DATE(YEAR(tblEnriched[[#This Row],[Date]]),MONTH(tblEnriched[[#This Row],[Date]]),1)</f>
        <v>45444</v>
      </c>
    </row>
    <row r="919" spans="1:18">
      <c r="A919" t="s">
        <v>3361</v>
      </c>
      <c r="B919" s="10">
        <v>45677</v>
      </c>
      <c r="C919" t="s">
        <v>3362</v>
      </c>
      <c r="D919" t="s">
        <v>64</v>
      </c>
      <c r="E919">
        <v>5</v>
      </c>
      <c r="F919" s="4">
        <v>383.82</v>
      </c>
      <c r="G919" t="s">
        <v>40</v>
      </c>
      <c r="H919" t="s">
        <v>49</v>
      </c>
      <c r="I919">
        <v>7</v>
      </c>
      <c r="J919" t="s">
        <v>43</v>
      </c>
      <c r="K919" t="s">
        <v>82</v>
      </c>
      <c r="L919" s="4">
        <v>1919.1</v>
      </c>
      <c r="M919" t="str">
        <f>VLOOKUP(D919,tblProduct[],2,FALSE)</f>
        <v>Electronics</v>
      </c>
      <c r="N919" t="str">
        <f>VLOOKUP(D919,tblProduct[],3,FALSE)</f>
        <v>High</v>
      </c>
      <c r="O919">
        <f>VLOOKUP(D919,tblProduct[],4,FALSE)</f>
        <v>150000</v>
      </c>
      <c r="P919">
        <v>1919.1</v>
      </c>
      <c r="Q919" s="19" t="str">
        <f t="shared" si="14"/>
        <v>Jan-2025</v>
      </c>
      <c r="R919" s="26">
        <f>DATE(YEAR(tblEnriched[[#This Row],[Date]]),MONTH(tblEnriched[[#This Row],[Date]]),1)</f>
        <v>45658</v>
      </c>
    </row>
    <row r="920" spans="1:18">
      <c r="A920" t="s">
        <v>3365</v>
      </c>
      <c r="B920" s="10">
        <v>45832</v>
      </c>
      <c r="C920" t="s">
        <v>3366</v>
      </c>
      <c r="D920" t="s">
        <v>64</v>
      </c>
      <c r="E920">
        <v>5</v>
      </c>
      <c r="F920" s="4">
        <v>368.25</v>
      </c>
      <c r="G920" t="s">
        <v>33</v>
      </c>
      <c r="H920" t="s">
        <v>56</v>
      </c>
      <c r="I920">
        <v>5</v>
      </c>
      <c r="K920" t="s">
        <v>28</v>
      </c>
      <c r="L920" s="4">
        <v>1841.25</v>
      </c>
      <c r="M920" t="str">
        <f>VLOOKUP(D920,tblProduct[],2,FALSE)</f>
        <v>Electronics</v>
      </c>
      <c r="N920" t="str">
        <f>VLOOKUP(D920,tblProduct[],3,FALSE)</f>
        <v>High</v>
      </c>
      <c r="O920">
        <f>VLOOKUP(D920,tblProduct[],4,FALSE)</f>
        <v>150000</v>
      </c>
      <c r="P920">
        <v>1841.25</v>
      </c>
      <c r="Q920" s="19" t="str">
        <f t="shared" si="14"/>
        <v>Jun-2025</v>
      </c>
      <c r="R920" s="26">
        <f>DATE(YEAR(tblEnriched[[#This Row],[Date]]),MONTH(tblEnriched[[#This Row],[Date]]),1)</f>
        <v>45809</v>
      </c>
    </row>
    <row r="921" spans="1:18">
      <c r="A921" t="s">
        <v>3368</v>
      </c>
      <c r="B921" s="10">
        <v>45695</v>
      </c>
      <c r="C921" t="s">
        <v>3369</v>
      </c>
      <c r="D921" t="s">
        <v>54</v>
      </c>
      <c r="E921">
        <v>2</v>
      </c>
      <c r="F921" s="4">
        <v>374.6</v>
      </c>
      <c r="G921" t="s">
        <v>33</v>
      </c>
      <c r="H921" t="s">
        <v>25</v>
      </c>
      <c r="I921">
        <v>3</v>
      </c>
      <c r="J921" t="s">
        <v>43</v>
      </c>
      <c r="K921" t="s">
        <v>35</v>
      </c>
      <c r="L921" s="4">
        <v>749.2</v>
      </c>
      <c r="M921" t="str">
        <f>VLOOKUP(D921,tblProduct[],2,FALSE)</f>
        <v>Electronics</v>
      </c>
      <c r="N921" t="str">
        <f>VLOOKUP(D921,tblProduct[],3,FALSE)</f>
        <v>Medium</v>
      </c>
      <c r="O921">
        <f>VLOOKUP(D921,tblProduct[],4,FALSE)</f>
        <v>80000</v>
      </c>
      <c r="P921">
        <v>749.2</v>
      </c>
      <c r="Q921" s="19" t="str">
        <f t="shared" si="14"/>
        <v>Feb-2025</v>
      </c>
      <c r="R921" s="26">
        <f>DATE(YEAR(tblEnriched[[#This Row],[Date]]),MONTH(tblEnriched[[#This Row],[Date]]),1)</f>
        <v>45689</v>
      </c>
    </row>
    <row r="922" spans="1:18">
      <c r="A922" t="s">
        <v>3371</v>
      </c>
      <c r="B922" s="10">
        <v>45728</v>
      </c>
      <c r="C922" t="s">
        <v>3372</v>
      </c>
      <c r="D922" t="s">
        <v>38</v>
      </c>
      <c r="E922">
        <v>2</v>
      </c>
      <c r="F922" s="4">
        <v>428.09</v>
      </c>
      <c r="G922" t="s">
        <v>40</v>
      </c>
      <c r="H922" t="s">
        <v>49</v>
      </c>
      <c r="I922">
        <v>6</v>
      </c>
      <c r="K922" t="s">
        <v>28</v>
      </c>
      <c r="L922" s="4">
        <v>856.18</v>
      </c>
      <c r="M922" t="str">
        <f>VLOOKUP(D922,tblProduct[],2,FALSE)</f>
        <v>Electronics</v>
      </c>
      <c r="N922" t="str">
        <f>VLOOKUP(D922,tblProduct[],3,FALSE)</f>
        <v>Medium</v>
      </c>
      <c r="O922">
        <f>VLOOKUP(D922,tblProduct[],4,FALSE)</f>
        <v>100000</v>
      </c>
      <c r="P922">
        <v>856.18</v>
      </c>
      <c r="Q922" s="19" t="str">
        <f t="shared" si="14"/>
        <v>Mar-2025</v>
      </c>
      <c r="R922" s="26">
        <f>DATE(YEAR(tblEnriched[[#This Row],[Date]]),MONTH(tblEnriched[[#This Row],[Date]]),1)</f>
        <v>45717</v>
      </c>
    </row>
    <row r="923" spans="1:18">
      <c r="A923" t="s">
        <v>3374</v>
      </c>
      <c r="B923" s="10">
        <v>45131</v>
      </c>
      <c r="C923" t="s">
        <v>3375</v>
      </c>
      <c r="D923" t="s">
        <v>38</v>
      </c>
      <c r="E923">
        <v>1</v>
      </c>
      <c r="F923" s="4">
        <v>438.93</v>
      </c>
      <c r="G923" t="s">
        <v>66</v>
      </c>
      <c r="H923" t="s">
        <v>41</v>
      </c>
      <c r="I923">
        <v>3</v>
      </c>
      <c r="J923" t="s">
        <v>27</v>
      </c>
      <c r="K923" t="s">
        <v>35</v>
      </c>
      <c r="L923" s="4">
        <v>438.93</v>
      </c>
      <c r="M923" t="str">
        <f>VLOOKUP(D923,tblProduct[],2,FALSE)</f>
        <v>Electronics</v>
      </c>
      <c r="N923" t="str">
        <f>VLOOKUP(D923,tblProduct[],3,FALSE)</f>
        <v>Medium</v>
      </c>
      <c r="O923">
        <f>VLOOKUP(D923,tblProduct[],4,FALSE)</f>
        <v>100000</v>
      </c>
      <c r="P923">
        <v>438.93</v>
      </c>
      <c r="Q923" s="19" t="str">
        <f t="shared" si="14"/>
        <v>Jul-2023</v>
      </c>
      <c r="R923" s="26">
        <f>DATE(YEAR(tblEnriched[[#This Row],[Date]]),MONTH(tblEnriched[[#This Row],[Date]]),1)</f>
        <v>45108</v>
      </c>
    </row>
    <row r="924" spans="1:18">
      <c r="A924" t="s">
        <v>3378</v>
      </c>
      <c r="B924" s="10">
        <v>45460</v>
      </c>
      <c r="C924" t="s">
        <v>3379</v>
      </c>
      <c r="D924" t="s">
        <v>79</v>
      </c>
      <c r="E924">
        <v>2</v>
      </c>
      <c r="F924" s="4">
        <v>563.82000000000005</v>
      </c>
      <c r="G924" t="s">
        <v>40</v>
      </c>
      <c r="H924" t="s">
        <v>95</v>
      </c>
      <c r="I924">
        <v>3</v>
      </c>
      <c r="K924" t="s">
        <v>28</v>
      </c>
      <c r="L924" s="4">
        <v>1127.6400000000001</v>
      </c>
      <c r="M924" t="str">
        <f>VLOOKUP(D924,tblProduct[],2,FALSE)</f>
        <v>Furniture</v>
      </c>
      <c r="N924" t="str">
        <f>VLOOKUP(D924,tblProduct[],3,FALSE)</f>
        <v>High</v>
      </c>
      <c r="O924">
        <f>VLOOKUP(D924,tblProduct[],4,FALSE)</f>
        <v>75000</v>
      </c>
      <c r="P924">
        <v>1127.6400000000001</v>
      </c>
      <c r="Q924" s="19" t="str">
        <f t="shared" si="14"/>
        <v>Jun-2024</v>
      </c>
      <c r="R924" s="26">
        <f>DATE(YEAR(tblEnriched[[#This Row],[Date]]),MONTH(tblEnriched[[#This Row],[Date]]),1)</f>
        <v>45444</v>
      </c>
    </row>
    <row r="925" spans="1:18">
      <c r="A925" t="s">
        <v>3382</v>
      </c>
      <c r="B925" s="10">
        <v>44968</v>
      </c>
      <c r="C925" t="s">
        <v>3383</v>
      </c>
      <c r="D925" t="s">
        <v>54</v>
      </c>
      <c r="E925">
        <v>3</v>
      </c>
      <c r="F925" s="4">
        <v>649.92999999999995</v>
      </c>
      <c r="G925" t="s">
        <v>40</v>
      </c>
      <c r="H925" t="s">
        <v>95</v>
      </c>
      <c r="I925">
        <v>7</v>
      </c>
      <c r="J925" t="s">
        <v>87</v>
      </c>
      <c r="K925" t="s">
        <v>51</v>
      </c>
      <c r="L925" s="4">
        <v>1949.79</v>
      </c>
      <c r="M925" t="str">
        <f>VLOOKUP(D925,tblProduct[],2,FALSE)</f>
        <v>Electronics</v>
      </c>
      <c r="N925" t="str">
        <f>VLOOKUP(D925,tblProduct[],3,FALSE)</f>
        <v>Medium</v>
      </c>
      <c r="O925">
        <f>VLOOKUP(D925,tblProduct[],4,FALSE)</f>
        <v>80000</v>
      </c>
      <c r="P925">
        <v>1949.79</v>
      </c>
      <c r="Q925" s="19" t="str">
        <f t="shared" si="14"/>
        <v>Feb-2023</v>
      </c>
      <c r="R925" s="26">
        <f>DATE(YEAR(tblEnriched[[#This Row],[Date]]),MONTH(tblEnriched[[#This Row],[Date]]),1)</f>
        <v>44958</v>
      </c>
    </row>
    <row r="926" spans="1:18">
      <c r="A926" t="s">
        <v>3385</v>
      </c>
      <c r="B926" s="10">
        <v>45738</v>
      </c>
      <c r="C926" t="s">
        <v>3386</v>
      </c>
      <c r="D926" t="s">
        <v>54</v>
      </c>
      <c r="E926">
        <v>5</v>
      </c>
      <c r="F926" s="4">
        <v>268.43</v>
      </c>
      <c r="G926" t="s">
        <v>71</v>
      </c>
      <c r="H926" t="s">
        <v>49</v>
      </c>
      <c r="I926">
        <v>5</v>
      </c>
      <c r="J926" t="s">
        <v>27</v>
      </c>
      <c r="K926" t="s">
        <v>44</v>
      </c>
      <c r="L926" s="4">
        <v>1342.15</v>
      </c>
      <c r="M926" t="str">
        <f>VLOOKUP(D926,tblProduct[],2,FALSE)</f>
        <v>Electronics</v>
      </c>
      <c r="N926" t="str">
        <f>VLOOKUP(D926,tblProduct[],3,FALSE)</f>
        <v>Medium</v>
      </c>
      <c r="O926">
        <f>VLOOKUP(D926,tblProduct[],4,FALSE)</f>
        <v>80000</v>
      </c>
      <c r="P926">
        <v>1342.15</v>
      </c>
      <c r="Q926" s="19" t="str">
        <f t="shared" si="14"/>
        <v>Mar-2025</v>
      </c>
      <c r="R926" s="26">
        <f>DATE(YEAR(tblEnriched[[#This Row],[Date]]),MONTH(tblEnriched[[#This Row],[Date]]),1)</f>
        <v>45717</v>
      </c>
    </row>
    <row r="927" spans="1:18">
      <c r="A927" t="s">
        <v>3388</v>
      </c>
      <c r="B927" s="10">
        <v>45646</v>
      </c>
      <c r="C927" t="s">
        <v>3389</v>
      </c>
      <c r="D927" t="s">
        <v>22</v>
      </c>
      <c r="E927">
        <v>5</v>
      </c>
      <c r="F927" s="4">
        <v>502.47</v>
      </c>
      <c r="G927" t="s">
        <v>33</v>
      </c>
      <c r="H927" t="s">
        <v>25</v>
      </c>
      <c r="I927">
        <v>10</v>
      </c>
      <c r="J927" t="s">
        <v>87</v>
      </c>
      <c r="K927" t="s">
        <v>44</v>
      </c>
      <c r="L927" s="4">
        <v>2512.35</v>
      </c>
      <c r="M927" t="str">
        <f>VLOOKUP(D927,tblProduct[],2,FALSE)</f>
        <v>Electronics</v>
      </c>
      <c r="N927" t="str">
        <f>VLOOKUP(D927,tblProduct[],3,FALSE)</f>
        <v>Medium</v>
      </c>
      <c r="O927">
        <f>VLOOKUP(D927,tblProduct[],4,FALSE)</f>
        <v>90000</v>
      </c>
      <c r="P927">
        <v>2512.35</v>
      </c>
      <c r="Q927" s="19" t="str">
        <f t="shared" si="14"/>
        <v>Dec-2024</v>
      </c>
      <c r="R927" s="26">
        <f>DATE(YEAR(tblEnriched[[#This Row],[Date]]),MONTH(tblEnriched[[#This Row],[Date]]),1)</f>
        <v>45627</v>
      </c>
    </row>
    <row r="928" spans="1:18">
      <c r="A928" t="s">
        <v>3391</v>
      </c>
      <c r="B928" s="10">
        <v>45371</v>
      </c>
      <c r="C928" t="s">
        <v>3392</v>
      </c>
      <c r="D928" t="s">
        <v>79</v>
      </c>
      <c r="E928">
        <v>1</v>
      </c>
      <c r="F928" s="4">
        <v>26.95</v>
      </c>
      <c r="G928" t="s">
        <v>71</v>
      </c>
      <c r="H928" t="s">
        <v>56</v>
      </c>
      <c r="I928">
        <v>1</v>
      </c>
      <c r="J928" t="s">
        <v>87</v>
      </c>
      <c r="K928" t="s">
        <v>44</v>
      </c>
      <c r="L928" s="4">
        <v>26.95</v>
      </c>
      <c r="M928" t="str">
        <f>VLOOKUP(D928,tblProduct[],2,FALSE)</f>
        <v>Furniture</v>
      </c>
      <c r="N928" t="str">
        <f>VLOOKUP(D928,tblProduct[],3,FALSE)</f>
        <v>High</v>
      </c>
      <c r="O928">
        <f>VLOOKUP(D928,tblProduct[],4,FALSE)</f>
        <v>75000</v>
      </c>
      <c r="P928">
        <v>26.95</v>
      </c>
      <c r="Q928" s="19" t="str">
        <f t="shared" si="14"/>
        <v>Mar-2024</v>
      </c>
      <c r="R928" s="26">
        <f>DATE(YEAR(tblEnriched[[#This Row],[Date]]),MONTH(tblEnriched[[#This Row],[Date]]),1)</f>
        <v>45352</v>
      </c>
    </row>
    <row r="929" spans="1:18">
      <c r="A929" t="s">
        <v>3394</v>
      </c>
      <c r="B929" s="10">
        <v>44971</v>
      </c>
      <c r="C929" t="s">
        <v>3395</v>
      </c>
      <c r="D929" t="s">
        <v>64</v>
      </c>
      <c r="E929">
        <v>4</v>
      </c>
      <c r="F929" s="4">
        <v>64.69</v>
      </c>
      <c r="G929" t="s">
        <v>24</v>
      </c>
      <c r="H929" t="s">
        <v>25</v>
      </c>
      <c r="I929">
        <v>7</v>
      </c>
      <c r="J929" t="s">
        <v>87</v>
      </c>
      <c r="K929" t="s">
        <v>82</v>
      </c>
      <c r="L929" s="4">
        <v>258.76</v>
      </c>
      <c r="M929" t="str">
        <f>VLOOKUP(D929,tblProduct[],2,FALSE)</f>
        <v>Electronics</v>
      </c>
      <c r="N929" t="str">
        <f>VLOOKUP(D929,tblProduct[],3,FALSE)</f>
        <v>High</v>
      </c>
      <c r="O929">
        <f>VLOOKUP(D929,tblProduct[],4,FALSE)</f>
        <v>150000</v>
      </c>
      <c r="P929">
        <v>258.76</v>
      </c>
      <c r="Q929" s="19" t="str">
        <f t="shared" si="14"/>
        <v>Feb-2023</v>
      </c>
      <c r="R929" s="26">
        <f>DATE(YEAR(tblEnriched[[#This Row],[Date]]),MONTH(tblEnriched[[#This Row],[Date]]),1)</f>
        <v>44958</v>
      </c>
    </row>
    <row r="930" spans="1:18">
      <c r="A930" t="s">
        <v>3397</v>
      </c>
      <c r="B930" s="10">
        <v>45421</v>
      </c>
      <c r="C930" t="s">
        <v>3398</v>
      </c>
      <c r="D930" t="s">
        <v>64</v>
      </c>
      <c r="E930">
        <v>3</v>
      </c>
      <c r="F930" s="4">
        <v>247.11</v>
      </c>
      <c r="G930" t="s">
        <v>24</v>
      </c>
      <c r="H930" t="s">
        <v>49</v>
      </c>
      <c r="I930">
        <v>3</v>
      </c>
      <c r="J930" t="s">
        <v>87</v>
      </c>
      <c r="K930" t="s">
        <v>35</v>
      </c>
      <c r="L930" s="4">
        <v>741.33</v>
      </c>
      <c r="M930" t="str">
        <f>VLOOKUP(D930,tblProduct[],2,FALSE)</f>
        <v>Electronics</v>
      </c>
      <c r="N930" t="str">
        <f>VLOOKUP(D930,tblProduct[],3,FALSE)</f>
        <v>High</v>
      </c>
      <c r="O930">
        <f>VLOOKUP(D930,tblProduct[],4,FALSE)</f>
        <v>150000</v>
      </c>
      <c r="P930">
        <v>741.33</v>
      </c>
      <c r="Q930" s="19" t="str">
        <f t="shared" si="14"/>
        <v>May-2024</v>
      </c>
      <c r="R930" s="26">
        <f>DATE(YEAR(tblEnriched[[#This Row],[Date]]),MONTH(tblEnriched[[#This Row],[Date]]),1)</f>
        <v>45413</v>
      </c>
    </row>
    <row r="931" spans="1:18">
      <c r="A931" t="s">
        <v>3400</v>
      </c>
      <c r="B931" s="10">
        <v>45581</v>
      </c>
      <c r="C931" t="s">
        <v>3401</v>
      </c>
      <c r="D931" t="s">
        <v>38</v>
      </c>
      <c r="E931">
        <v>2</v>
      </c>
      <c r="F931" s="4">
        <v>536.25</v>
      </c>
      <c r="G931" t="s">
        <v>24</v>
      </c>
      <c r="H931" t="s">
        <v>95</v>
      </c>
      <c r="I931">
        <v>3</v>
      </c>
      <c r="K931" t="s">
        <v>44</v>
      </c>
      <c r="L931" s="4">
        <v>1072.5</v>
      </c>
      <c r="M931" t="str">
        <f>VLOOKUP(D931,tblProduct[],2,FALSE)</f>
        <v>Electronics</v>
      </c>
      <c r="N931" t="str">
        <f>VLOOKUP(D931,tblProduct[],3,FALSE)</f>
        <v>Medium</v>
      </c>
      <c r="O931">
        <f>VLOOKUP(D931,tblProduct[],4,FALSE)</f>
        <v>100000</v>
      </c>
      <c r="P931">
        <v>1072.5</v>
      </c>
      <c r="Q931" s="19" t="str">
        <f t="shared" si="14"/>
        <v>Oct-2024</v>
      </c>
      <c r="R931" s="26">
        <f>DATE(YEAR(tblEnriched[[#This Row],[Date]]),MONTH(tblEnriched[[#This Row],[Date]]),1)</f>
        <v>45566</v>
      </c>
    </row>
    <row r="932" spans="1:18">
      <c r="A932" t="s">
        <v>3403</v>
      </c>
      <c r="B932" s="10">
        <v>45642</v>
      </c>
      <c r="C932" t="s">
        <v>3404</v>
      </c>
      <c r="D932" t="s">
        <v>31</v>
      </c>
      <c r="E932">
        <v>2</v>
      </c>
      <c r="F932" s="4">
        <v>456.04</v>
      </c>
      <c r="G932" t="s">
        <v>24</v>
      </c>
      <c r="H932" t="s">
        <v>49</v>
      </c>
      <c r="I932">
        <v>4</v>
      </c>
      <c r="J932" t="s">
        <v>43</v>
      </c>
      <c r="K932" t="s">
        <v>44</v>
      </c>
      <c r="L932" s="4">
        <v>912.08</v>
      </c>
      <c r="M932" t="str">
        <f>VLOOKUP(D932,tblProduct[],2,FALSE)</f>
        <v>Electronics</v>
      </c>
      <c r="N932" t="str">
        <f>VLOOKUP(D932,tblProduct[],3,FALSE)</f>
        <v>High</v>
      </c>
      <c r="O932">
        <f>VLOOKUP(D932,tblProduct[],4,FALSE)</f>
        <v>120000</v>
      </c>
      <c r="P932">
        <v>912.08</v>
      </c>
      <c r="Q932" s="19" t="str">
        <f t="shared" si="14"/>
        <v>Dec-2024</v>
      </c>
      <c r="R932" s="26">
        <f>DATE(YEAR(tblEnriched[[#This Row],[Date]]),MONTH(tblEnriched[[#This Row],[Date]]),1)</f>
        <v>45627</v>
      </c>
    </row>
    <row r="933" spans="1:18">
      <c r="A933" t="s">
        <v>3406</v>
      </c>
      <c r="B933" s="10">
        <v>45292</v>
      </c>
      <c r="C933" t="s">
        <v>3407</v>
      </c>
      <c r="D933" t="s">
        <v>54</v>
      </c>
      <c r="E933">
        <v>2</v>
      </c>
      <c r="F933" s="4">
        <v>40.229999999999997</v>
      </c>
      <c r="G933" t="s">
        <v>40</v>
      </c>
      <c r="H933" t="s">
        <v>41</v>
      </c>
      <c r="I933">
        <v>4</v>
      </c>
      <c r="J933" t="s">
        <v>27</v>
      </c>
      <c r="K933" t="s">
        <v>82</v>
      </c>
      <c r="L933" s="4">
        <v>80.459999999999994</v>
      </c>
      <c r="M933" t="str">
        <f>VLOOKUP(D933,tblProduct[],2,FALSE)</f>
        <v>Electronics</v>
      </c>
      <c r="N933" t="str">
        <f>VLOOKUP(D933,tblProduct[],3,FALSE)</f>
        <v>Medium</v>
      </c>
      <c r="O933">
        <f>VLOOKUP(D933,tblProduct[],4,FALSE)</f>
        <v>80000</v>
      </c>
      <c r="P933">
        <v>80.459999999999994</v>
      </c>
      <c r="Q933" s="19" t="str">
        <f t="shared" si="14"/>
        <v>Jan-2024</v>
      </c>
      <c r="R933" s="26">
        <f>DATE(YEAR(tblEnriched[[#This Row],[Date]]),MONTH(tblEnriched[[#This Row],[Date]]),1)</f>
        <v>45292</v>
      </c>
    </row>
    <row r="934" spans="1:18">
      <c r="A934" t="s">
        <v>3409</v>
      </c>
      <c r="B934" s="10">
        <v>45011</v>
      </c>
      <c r="C934" t="s">
        <v>3410</v>
      </c>
      <c r="D934" t="s">
        <v>64</v>
      </c>
      <c r="E934">
        <v>2</v>
      </c>
      <c r="F934" s="4">
        <v>72.39</v>
      </c>
      <c r="G934" t="s">
        <v>33</v>
      </c>
      <c r="H934" t="s">
        <v>56</v>
      </c>
      <c r="I934">
        <v>7</v>
      </c>
      <c r="J934" t="s">
        <v>87</v>
      </c>
      <c r="K934" t="s">
        <v>28</v>
      </c>
      <c r="L934" s="4">
        <v>144.78</v>
      </c>
      <c r="M934" t="str">
        <f>VLOOKUP(D934,tblProduct[],2,FALSE)</f>
        <v>Electronics</v>
      </c>
      <c r="N934" t="str">
        <f>VLOOKUP(D934,tblProduct[],3,FALSE)</f>
        <v>High</v>
      </c>
      <c r="O934">
        <f>VLOOKUP(D934,tblProduct[],4,FALSE)</f>
        <v>150000</v>
      </c>
      <c r="P934">
        <v>144.78</v>
      </c>
      <c r="Q934" s="19" t="str">
        <f t="shared" si="14"/>
        <v>Mar-2023</v>
      </c>
      <c r="R934" s="26">
        <f>DATE(YEAR(tblEnriched[[#This Row],[Date]]),MONTH(tblEnriched[[#This Row],[Date]]),1)</f>
        <v>44986</v>
      </c>
    </row>
    <row r="935" spans="1:18">
      <c r="A935" t="s">
        <v>3413</v>
      </c>
      <c r="B935" s="10">
        <v>44952</v>
      </c>
      <c r="C935" t="s">
        <v>3414</v>
      </c>
      <c r="D935" t="s">
        <v>22</v>
      </c>
      <c r="E935">
        <v>2</v>
      </c>
      <c r="F935" s="4">
        <v>394.16</v>
      </c>
      <c r="G935" t="s">
        <v>33</v>
      </c>
      <c r="H935" t="s">
        <v>25</v>
      </c>
      <c r="I935">
        <v>2</v>
      </c>
      <c r="K935" t="s">
        <v>35</v>
      </c>
      <c r="L935" s="4">
        <v>788.32</v>
      </c>
      <c r="M935" t="str">
        <f>VLOOKUP(D935,tblProduct[],2,FALSE)</f>
        <v>Electronics</v>
      </c>
      <c r="N935" t="str">
        <f>VLOOKUP(D935,tblProduct[],3,FALSE)</f>
        <v>Medium</v>
      </c>
      <c r="O935">
        <f>VLOOKUP(D935,tblProduct[],4,FALSE)</f>
        <v>90000</v>
      </c>
      <c r="P935">
        <v>788.32</v>
      </c>
      <c r="Q935" s="19" t="str">
        <f t="shared" si="14"/>
        <v>Jan-2023</v>
      </c>
      <c r="R935" s="26">
        <f>DATE(YEAR(tblEnriched[[#This Row],[Date]]),MONTH(tblEnriched[[#This Row],[Date]]),1)</f>
        <v>44927</v>
      </c>
    </row>
    <row r="936" spans="1:18">
      <c r="A936" t="s">
        <v>3416</v>
      </c>
      <c r="B936" s="10">
        <v>45809</v>
      </c>
      <c r="C936" t="s">
        <v>3417</v>
      </c>
      <c r="D936" t="s">
        <v>64</v>
      </c>
      <c r="E936">
        <v>4</v>
      </c>
      <c r="F936" s="4">
        <v>119.84</v>
      </c>
      <c r="G936" t="s">
        <v>66</v>
      </c>
      <c r="H936" t="s">
        <v>25</v>
      </c>
      <c r="I936">
        <v>8</v>
      </c>
      <c r="J936" t="s">
        <v>43</v>
      </c>
      <c r="K936" t="s">
        <v>35</v>
      </c>
      <c r="L936" s="4">
        <v>479.36</v>
      </c>
      <c r="M936" t="str">
        <f>VLOOKUP(D936,tblProduct[],2,FALSE)</f>
        <v>Electronics</v>
      </c>
      <c r="N936" t="str">
        <f>VLOOKUP(D936,tblProduct[],3,FALSE)</f>
        <v>High</v>
      </c>
      <c r="O936">
        <f>VLOOKUP(D936,tblProduct[],4,FALSE)</f>
        <v>150000</v>
      </c>
      <c r="P936">
        <v>479.36</v>
      </c>
      <c r="Q936" s="19" t="str">
        <f t="shared" si="14"/>
        <v>Jun-2025</v>
      </c>
      <c r="R936" s="26">
        <f>DATE(YEAR(tblEnriched[[#This Row],[Date]]),MONTH(tblEnriched[[#This Row],[Date]]),1)</f>
        <v>45809</v>
      </c>
    </row>
    <row r="937" spans="1:18">
      <c r="A937" t="s">
        <v>3419</v>
      </c>
      <c r="B937" s="10">
        <v>45254</v>
      </c>
      <c r="C937" t="s">
        <v>3420</v>
      </c>
      <c r="D937" t="s">
        <v>31</v>
      </c>
      <c r="E937">
        <v>3</v>
      </c>
      <c r="F937" s="4">
        <v>692.71</v>
      </c>
      <c r="G937" t="s">
        <v>40</v>
      </c>
      <c r="H937" t="s">
        <v>56</v>
      </c>
      <c r="I937">
        <v>3</v>
      </c>
      <c r="J937" t="s">
        <v>43</v>
      </c>
      <c r="K937" t="s">
        <v>28</v>
      </c>
      <c r="L937" s="4">
        <v>2078.13</v>
      </c>
      <c r="M937" t="str">
        <f>VLOOKUP(D937,tblProduct[],2,FALSE)</f>
        <v>Electronics</v>
      </c>
      <c r="N937" t="str">
        <f>VLOOKUP(D937,tblProduct[],3,FALSE)</f>
        <v>High</v>
      </c>
      <c r="O937">
        <f>VLOOKUP(D937,tblProduct[],4,FALSE)</f>
        <v>120000</v>
      </c>
      <c r="P937">
        <v>2078.13</v>
      </c>
      <c r="Q937" s="19" t="str">
        <f t="shared" si="14"/>
        <v>Nov-2023</v>
      </c>
      <c r="R937" s="26">
        <f>DATE(YEAR(tblEnriched[[#This Row],[Date]]),MONTH(tblEnriched[[#This Row],[Date]]),1)</f>
        <v>45231</v>
      </c>
    </row>
    <row r="938" spans="1:18">
      <c r="A938" t="s">
        <v>3422</v>
      </c>
      <c r="B938" s="10">
        <v>45303</v>
      </c>
      <c r="C938" t="s">
        <v>3423</v>
      </c>
      <c r="D938" t="s">
        <v>47</v>
      </c>
      <c r="E938">
        <v>4</v>
      </c>
      <c r="F938" s="4">
        <v>56.66</v>
      </c>
      <c r="G938" t="s">
        <v>33</v>
      </c>
      <c r="H938" t="s">
        <v>56</v>
      </c>
      <c r="I938">
        <v>4</v>
      </c>
      <c r="J938" t="s">
        <v>27</v>
      </c>
      <c r="K938" t="s">
        <v>28</v>
      </c>
      <c r="L938" s="4">
        <v>226.64</v>
      </c>
      <c r="M938" t="str">
        <f>VLOOKUP(D938,tblProduct[],2,FALSE)</f>
        <v>Furniture</v>
      </c>
      <c r="N938" t="str">
        <f>VLOOKUP(D938,tblProduct[],3,FALSE)</f>
        <v>Medium</v>
      </c>
      <c r="O938">
        <f>VLOOKUP(D938,tblProduct[],4,FALSE)</f>
        <v>70000</v>
      </c>
      <c r="P938">
        <v>226.64</v>
      </c>
      <c r="Q938" s="19" t="str">
        <f t="shared" si="14"/>
        <v>Jan-2024</v>
      </c>
      <c r="R938" s="26">
        <f>DATE(YEAR(tblEnriched[[#This Row],[Date]]),MONTH(tblEnriched[[#This Row],[Date]]),1)</f>
        <v>45292</v>
      </c>
    </row>
    <row r="939" spans="1:18">
      <c r="A939" t="s">
        <v>3425</v>
      </c>
      <c r="B939" s="10">
        <v>45307</v>
      </c>
      <c r="C939" t="s">
        <v>3426</v>
      </c>
      <c r="D939" t="s">
        <v>47</v>
      </c>
      <c r="E939">
        <v>2</v>
      </c>
      <c r="F939" s="4">
        <v>298.52999999999997</v>
      </c>
      <c r="G939" t="s">
        <v>24</v>
      </c>
      <c r="H939" t="s">
        <v>41</v>
      </c>
      <c r="I939">
        <v>5</v>
      </c>
      <c r="J939" t="s">
        <v>87</v>
      </c>
      <c r="K939" t="s">
        <v>44</v>
      </c>
      <c r="L939" s="4">
        <v>597.05999999999995</v>
      </c>
      <c r="M939" t="str">
        <f>VLOOKUP(D939,tblProduct[],2,FALSE)</f>
        <v>Furniture</v>
      </c>
      <c r="N939" t="str">
        <f>VLOOKUP(D939,tblProduct[],3,FALSE)</f>
        <v>Medium</v>
      </c>
      <c r="O939">
        <f>VLOOKUP(D939,tblProduct[],4,FALSE)</f>
        <v>70000</v>
      </c>
      <c r="P939">
        <v>597.05999999999995</v>
      </c>
      <c r="Q939" s="19" t="str">
        <f t="shared" si="14"/>
        <v>Jan-2024</v>
      </c>
      <c r="R939" s="26">
        <f>DATE(YEAR(tblEnriched[[#This Row],[Date]]),MONTH(tblEnriched[[#This Row],[Date]]),1)</f>
        <v>45292</v>
      </c>
    </row>
    <row r="940" spans="1:18">
      <c r="A940" t="s">
        <v>3428</v>
      </c>
      <c r="B940" s="10">
        <v>45119</v>
      </c>
      <c r="C940" t="s">
        <v>3429</v>
      </c>
      <c r="D940" t="s">
        <v>47</v>
      </c>
      <c r="E940">
        <v>3</v>
      </c>
      <c r="F940" s="4">
        <v>331.46</v>
      </c>
      <c r="G940" t="s">
        <v>40</v>
      </c>
      <c r="H940" t="s">
        <v>41</v>
      </c>
      <c r="I940">
        <v>6</v>
      </c>
      <c r="J940" t="s">
        <v>87</v>
      </c>
      <c r="K940" t="s">
        <v>35</v>
      </c>
      <c r="L940" s="4">
        <v>994.37999999999988</v>
      </c>
      <c r="M940" t="str">
        <f>VLOOKUP(D940,tblProduct[],2,FALSE)</f>
        <v>Furniture</v>
      </c>
      <c r="N940" t="str">
        <f>VLOOKUP(D940,tblProduct[],3,FALSE)</f>
        <v>Medium</v>
      </c>
      <c r="O940">
        <f>VLOOKUP(D940,tblProduct[],4,FALSE)</f>
        <v>70000</v>
      </c>
      <c r="P940">
        <v>994.37999999999988</v>
      </c>
      <c r="Q940" s="19" t="str">
        <f t="shared" si="14"/>
        <v>Jul-2023</v>
      </c>
      <c r="R940" s="26">
        <f>DATE(YEAR(tblEnriched[[#This Row],[Date]]),MONTH(tblEnriched[[#This Row],[Date]]),1)</f>
        <v>45108</v>
      </c>
    </row>
    <row r="941" spans="1:18">
      <c r="A941" t="s">
        <v>3431</v>
      </c>
      <c r="B941" s="10">
        <v>45763</v>
      </c>
      <c r="C941" t="s">
        <v>3432</v>
      </c>
      <c r="D941" t="s">
        <v>64</v>
      </c>
      <c r="E941">
        <v>2</v>
      </c>
      <c r="F941" s="4">
        <v>521.4</v>
      </c>
      <c r="G941" t="s">
        <v>71</v>
      </c>
      <c r="H941" t="s">
        <v>56</v>
      </c>
      <c r="I941">
        <v>7</v>
      </c>
      <c r="J941" t="s">
        <v>27</v>
      </c>
      <c r="K941" t="s">
        <v>28</v>
      </c>
      <c r="L941" s="4">
        <v>1042.8</v>
      </c>
      <c r="M941" t="str">
        <f>VLOOKUP(D941,tblProduct[],2,FALSE)</f>
        <v>Electronics</v>
      </c>
      <c r="N941" t="str">
        <f>VLOOKUP(D941,tblProduct[],3,FALSE)</f>
        <v>High</v>
      </c>
      <c r="O941">
        <f>VLOOKUP(D941,tblProduct[],4,FALSE)</f>
        <v>150000</v>
      </c>
      <c r="P941">
        <v>1042.8</v>
      </c>
      <c r="Q941" s="19" t="str">
        <f t="shared" si="14"/>
        <v>Apr-2025</v>
      </c>
      <c r="R941" s="26">
        <f>DATE(YEAR(tblEnriched[[#This Row],[Date]]),MONTH(tblEnriched[[#This Row],[Date]]),1)</f>
        <v>45748</v>
      </c>
    </row>
    <row r="942" spans="1:18">
      <c r="A942" t="s">
        <v>3435</v>
      </c>
      <c r="B942" s="10">
        <v>45012</v>
      </c>
      <c r="C942" t="s">
        <v>3436</v>
      </c>
      <c r="D942" t="s">
        <v>54</v>
      </c>
      <c r="E942">
        <v>4</v>
      </c>
      <c r="F942" s="4">
        <v>305.32</v>
      </c>
      <c r="G942" t="s">
        <v>33</v>
      </c>
      <c r="H942" t="s">
        <v>41</v>
      </c>
      <c r="I942">
        <v>4</v>
      </c>
      <c r="J942" t="s">
        <v>27</v>
      </c>
      <c r="K942" t="s">
        <v>82</v>
      </c>
      <c r="L942" s="4">
        <v>1221.28</v>
      </c>
      <c r="M942" t="str">
        <f>VLOOKUP(D942,tblProduct[],2,FALSE)</f>
        <v>Electronics</v>
      </c>
      <c r="N942" t="str">
        <f>VLOOKUP(D942,tblProduct[],3,FALSE)</f>
        <v>Medium</v>
      </c>
      <c r="O942">
        <f>VLOOKUP(D942,tblProduct[],4,FALSE)</f>
        <v>80000</v>
      </c>
      <c r="P942">
        <v>1221.28</v>
      </c>
      <c r="Q942" s="19" t="str">
        <f t="shared" si="14"/>
        <v>Mar-2023</v>
      </c>
      <c r="R942" s="26">
        <f>DATE(YEAR(tblEnriched[[#This Row],[Date]]),MONTH(tblEnriched[[#This Row],[Date]]),1)</f>
        <v>44986</v>
      </c>
    </row>
    <row r="943" spans="1:18">
      <c r="A943" t="s">
        <v>3439</v>
      </c>
      <c r="B943" s="10">
        <v>45124</v>
      </c>
      <c r="C943" t="s">
        <v>1706</v>
      </c>
      <c r="D943" t="s">
        <v>54</v>
      </c>
      <c r="E943">
        <v>5</v>
      </c>
      <c r="F943" s="4">
        <v>111.7</v>
      </c>
      <c r="G943" t="s">
        <v>40</v>
      </c>
      <c r="H943" t="s">
        <v>41</v>
      </c>
      <c r="I943">
        <v>9</v>
      </c>
      <c r="J943" t="s">
        <v>43</v>
      </c>
      <c r="K943" t="s">
        <v>44</v>
      </c>
      <c r="L943" s="4">
        <v>558.5</v>
      </c>
      <c r="M943" t="str">
        <f>VLOOKUP(D943,tblProduct[],2,FALSE)</f>
        <v>Electronics</v>
      </c>
      <c r="N943" t="str">
        <f>VLOOKUP(D943,tblProduct[],3,FALSE)</f>
        <v>Medium</v>
      </c>
      <c r="O943">
        <f>VLOOKUP(D943,tblProduct[],4,FALSE)</f>
        <v>80000</v>
      </c>
      <c r="P943">
        <v>558.5</v>
      </c>
      <c r="Q943" s="19" t="str">
        <f t="shared" si="14"/>
        <v>Jul-2023</v>
      </c>
      <c r="R943" s="26">
        <f>DATE(YEAR(tblEnriched[[#This Row],[Date]]),MONTH(tblEnriched[[#This Row],[Date]]),1)</f>
        <v>45108</v>
      </c>
    </row>
    <row r="944" spans="1:18">
      <c r="A944" t="s">
        <v>3441</v>
      </c>
      <c r="B944" s="10">
        <v>45198</v>
      </c>
      <c r="C944" t="s">
        <v>3442</v>
      </c>
      <c r="D944" t="s">
        <v>38</v>
      </c>
      <c r="E944">
        <v>1</v>
      </c>
      <c r="F944" s="4">
        <v>479.76</v>
      </c>
      <c r="G944" t="s">
        <v>40</v>
      </c>
      <c r="H944" t="s">
        <v>95</v>
      </c>
      <c r="I944">
        <v>1</v>
      </c>
      <c r="K944" t="s">
        <v>44</v>
      </c>
      <c r="L944" s="4">
        <v>479.76</v>
      </c>
      <c r="M944" t="str">
        <f>VLOOKUP(D944,tblProduct[],2,FALSE)</f>
        <v>Electronics</v>
      </c>
      <c r="N944" t="str">
        <f>VLOOKUP(D944,tblProduct[],3,FALSE)</f>
        <v>Medium</v>
      </c>
      <c r="O944">
        <f>VLOOKUP(D944,tblProduct[],4,FALSE)</f>
        <v>100000</v>
      </c>
      <c r="P944">
        <v>479.76</v>
      </c>
      <c r="Q944" s="19" t="str">
        <f t="shared" si="14"/>
        <v>Sep-2023</v>
      </c>
      <c r="R944" s="26">
        <f>DATE(YEAR(tblEnriched[[#This Row],[Date]]),MONTH(tblEnriched[[#This Row],[Date]]),1)</f>
        <v>45170</v>
      </c>
    </row>
    <row r="945" spans="1:18">
      <c r="A945" t="s">
        <v>3444</v>
      </c>
      <c r="B945" s="10">
        <v>45287</v>
      </c>
      <c r="C945" t="s">
        <v>3445</v>
      </c>
      <c r="D945" t="s">
        <v>22</v>
      </c>
      <c r="E945">
        <v>3</v>
      </c>
      <c r="F945" s="4">
        <v>193.49</v>
      </c>
      <c r="G945" t="s">
        <v>66</v>
      </c>
      <c r="H945" t="s">
        <v>49</v>
      </c>
      <c r="I945">
        <v>6</v>
      </c>
      <c r="J945" t="s">
        <v>43</v>
      </c>
      <c r="K945" t="s">
        <v>51</v>
      </c>
      <c r="L945" s="4">
        <v>580.47</v>
      </c>
      <c r="M945" t="str">
        <f>VLOOKUP(D945,tblProduct[],2,FALSE)</f>
        <v>Electronics</v>
      </c>
      <c r="N945" t="str">
        <f>VLOOKUP(D945,tblProduct[],3,FALSE)</f>
        <v>Medium</v>
      </c>
      <c r="O945">
        <f>VLOOKUP(D945,tblProduct[],4,FALSE)</f>
        <v>90000</v>
      </c>
      <c r="P945">
        <v>580.47</v>
      </c>
      <c r="Q945" s="19" t="str">
        <f t="shared" si="14"/>
        <v>Dec-2023</v>
      </c>
      <c r="R945" s="26">
        <f>DATE(YEAR(tblEnriched[[#This Row],[Date]]),MONTH(tblEnriched[[#This Row],[Date]]),1)</f>
        <v>45261</v>
      </c>
    </row>
    <row r="946" spans="1:18">
      <c r="A946" t="s">
        <v>3448</v>
      </c>
      <c r="B946" s="10">
        <v>45642</v>
      </c>
      <c r="C946" t="s">
        <v>3449</v>
      </c>
      <c r="D946" t="s">
        <v>64</v>
      </c>
      <c r="E946">
        <v>2</v>
      </c>
      <c r="F946" s="4">
        <v>426.22</v>
      </c>
      <c r="G946" t="s">
        <v>33</v>
      </c>
      <c r="H946" t="s">
        <v>56</v>
      </c>
      <c r="I946">
        <v>7</v>
      </c>
      <c r="J946" t="s">
        <v>87</v>
      </c>
      <c r="K946" t="s">
        <v>82</v>
      </c>
      <c r="L946" s="4">
        <v>852.44</v>
      </c>
      <c r="M946" t="str">
        <f>VLOOKUP(D946,tblProduct[],2,FALSE)</f>
        <v>Electronics</v>
      </c>
      <c r="N946" t="str">
        <f>VLOOKUP(D946,tblProduct[],3,FALSE)</f>
        <v>High</v>
      </c>
      <c r="O946">
        <f>VLOOKUP(D946,tblProduct[],4,FALSE)</f>
        <v>150000</v>
      </c>
      <c r="P946">
        <v>852.44</v>
      </c>
      <c r="Q946" s="19" t="str">
        <f t="shared" si="14"/>
        <v>Dec-2024</v>
      </c>
      <c r="R946" s="26">
        <f>DATE(YEAR(tblEnriched[[#This Row],[Date]]),MONTH(tblEnriched[[#This Row],[Date]]),1)</f>
        <v>45627</v>
      </c>
    </row>
    <row r="947" spans="1:18">
      <c r="A947" t="s">
        <v>3451</v>
      </c>
      <c r="B947" s="10">
        <v>45158</v>
      </c>
      <c r="C947" t="s">
        <v>3452</v>
      </c>
      <c r="D947" t="s">
        <v>38</v>
      </c>
      <c r="E947">
        <v>5</v>
      </c>
      <c r="F947" s="4">
        <v>276.44</v>
      </c>
      <c r="G947" t="s">
        <v>66</v>
      </c>
      <c r="H947" t="s">
        <v>25</v>
      </c>
      <c r="I947">
        <v>10</v>
      </c>
      <c r="J947" t="s">
        <v>43</v>
      </c>
      <c r="K947" t="s">
        <v>35</v>
      </c>
      <c r="L947" s="4">
        <v>1382.2</v>
      </c>
      <c r="M947" t="str">
        <f>VLOOKUP(D947,tblProduct[],2,FALSE)</f>
        <v>Electronics</v>
      </c>
      <c r="N947" t="str">
        <f>VLOOKUP(D947,tblProduct[],3,FALSE)</f>
        <v>Medium</v>
      </c>
      <c r="O947">
        <f>VLOOKUP(D947,tblProduct[],4,FALSE)</f>
        <v>100000</v>
      </c>
      <c r="P947">
        <v>1382.2</v>
      </c>
      <c r="Q947" s="19" t="str">
        <f t="shared" si="14"/>
        <v>Aug-2023</v>
      </c>
      <c r="R947" s="26">
        <f>DATE(YEAR(tblEnriched[[#This Row],[Date]]),MONTH(tblEnriched[[#This Row],[Date]]),1)</f>
        <v>45139</v>
      </c>
    </row>
    <row r="948" spans="1:18">
      <c r="A948" t="s">
        <v>3454</v>
      </c>
      <c r="B948" s="10">
        <v>45416</v>
      </c>
      <c r="C948" t="s">
        <v>3455</v>
      </c>
      <c r="D948" t="s">
        <v>31</v>
      </c>
      <c r="E948">
        <v>2</v>
      </c>
      <c r="F948" s="4">
        <v>404.96</v>
      </c>
      <c r="G948" t="s">
        <v>71</v>
      </c>
      <c r="H948" t="s">
        <v>25</v>
      </c>
      <c r="I948">
        <v>4</v>
      </c>
      <c r="J948" t="s">
        <v>27</v>
      </c>
      <c r="K948" t="s">
        <v>44</v>
      </c>
      <c r="L948" s="4">
        <v>809.92</v>
      </c>
      <c r="M948" t="str">
        <f>VLOOKUP(D948,tblProduct[],2,FALSE)</f>
        <v>Electronics</v>
      </c>
      <c r="N948" t="str">
        <f>VLOOKUP(D948,tblProduct[],3,FALSE)</f>
        <v>High</v>
      </c>
      <c r="O948">
        <f>VLOOKUP(D948,tblProduct[],4,FALSE)</f>
        <v>120000</v>
      </c>
      <c r="P948">
        <v>809.92</v>
      </c>
      <c r="Q948" s="19" t="str">
        <f t="shared" si="14"/>
        <v>May-2024</v>
      </c>
      <c r="R948" s="26">
        <f>DATE(YEAR(tblEnriched[[#This Row],[Date]]),MONTH(tblEnriched[[#This Row],[Date]]),1)</f>
        <v>45413</v>
      </c>
    </row>
    <row r="949" spans="1:18">
      <c r="A949" t="s">
        <v>3457</v>
      </c>
      <c r="B949" s="10">
        <v>45176</v>
      </c>
      <c r="C949" t="s">
        <v>3458</v>
      </c>
      <c r="D949" t="s">
        <v>31</v>
      </c>
      <c r="E949">
        <v>4</v>
      </c>
      <c r="F949" s="4">
        <v>465.66</v>
      </c>
      <c r="G949" t="s">
        <v>33</v>
      </c>
      <c r="H949" t="s">
        <v>49</v>
      </c>
      <c r="I949">
        <v>9</v>
      </c>
      <c r="J949" t="s">
        <v>43</v>
      </c>
      <c r="K949" t="s">
        <v>44</v>
      </c>
      <c r="L949" s="4">
        <v>1862.64</v>
      </c>
      <c r="M949" t="str">
        <f>VLOOKUP(D949,tblProduct[],2,FALSE)</f>
        <v>Electronics</v>
      </c>
      <c r="N949" t="str">
        <f>VLOOKUP(D949,tblProduct[],3,FALSE)</f>
        <v>High</v>
      </c>
      <c r="O949">
        <f>VLOOKUP(D949,tblProduct[],4,FALSE)</f>
        <v>120000</v>
      </c>
      <c r="P949">
        <v>1862.64</v>
      </c>
      <c r="Q949" s="19" t="str">
        <f t="shared" si="14"/>
        <v>Sep-2023</v>
      </c>
      <c r="R949" s="26">
        <f>DATE(YEAR(tblEnriched[[#This Row],[Date]]),MONTH(tblEnriched[[#This Row],[Date]]),1)</f>
        <v>45170</v>
      </c>
    </row>
    <row r="950" spans="1:18">
      <c r="A950" t="s">
        <v>3460</v>
      </c>
      <c r="B950" s="10">
        <v>45464</v>
      </c>
      <c r="C950" t="s">
        <v>1728</v>
      </c>
      <c r="D950" t="s">
        <v>31</v>
      </c>
      <c r="E950">
        <v>2</v>
      </c>
      <c r="F950" s="4">
        <v>594.07000000000005</v>
      </c>
      <c r="G950" t="s">
        <v>66</v>
      </c>
      <c r="H950" t="s">
        <v>41</v>
      </c>
      <c r="I950">
        <v>2</v>
      </c>
      <c r="K950" t="s">
        <v>82</v>
      </c>
      <c r="L950" s="4">
        <v>1188.1400000000001</v>
      </c>
      <c r="M950" t="str">
        <f>VLOOKUP(D950,tblProduct[],2,FALSE)</f>
        <v>Electronics</v>
      </c>
      <c r="N950" t="str">
        <f>VLOOKUP(D950,tblProduct[],3,FALSE)</f>
        <v>High</v>
      </c>
      <c r="O950">
        <f>VLOOKUP(D950,tblProduct[],4,FALSE)</f>
        <v>120000</v>
      </c>
      <c r="P950">
        <v>1188.1400000000001</v>
      </c>
      <c r="Q950" s="19" t="str">
        <f t="shared" si="14"/>
        <v>Jun-2024</v>
      </c>
      <c r="R950" s="26">
        <f>DATE(YEAR(tblEnriched[[#This Row],[Date]]),MONTH(tblEnriched[[#This Row],[Date]]),1)</f>
        <v>45444</v>
      </c>
    </row>
    <row r="951" spans="1:18">
      <c r="A951" t="s">
        <v>3462</v>
      </c>
      <c r="B951" s="10">
        <v>45239</v>
      </c>
      <c r="C951" t="s">
        <v>3463</v>
      </c>
      <c r="D951" t="s">
        <v>79</v>
      </c>
      <c r="E951">
        <v>5</v>
      </c>
      <c r="F951" s="4">
        <v>110.38</v>
      </c>
      <c r="G951" t="s">
        <v>71</v>
      </c>
      <c r="H951" t="s">
        <v>95</v>
      </c>
      <c r="I951">
        <v>10</v>
      </c>
      <c r="K951" t="s">
        <v>35</v>
      </c>
      <c r="L951" s="4">
        <v>551.9</v>
      </c>
      <c r="M951" t="str">
        <f>VLOOKUP(D951,tblProduct[],2,FALSE)</f>
        <v>Furniture</v>
      </c>
      <c r="N951" t="str">
        <f>VLOOKUP(D951,tblProduct[],3,FALSE)</f>
        <v>High</v>
      </c>
      <c r="O951">
        <f>VLOOKUP(D951,tblProduct[],4,FALSE)</f>
        <v>75000</v>
      </c>
      <c r="P951">
        <v>551.9</v>
      </c>
      <c r="Q951" s="19" t="str">
        <f t="shared" si="14"/>
        <v>Nov-2023</v>
      </c>
      <c r="R951" s="26">
        <f>DATE(YEAR(tblEnriched[[#This Row],[Date]]),MONTH(tblEnriched[[#This Row],[Date]]),1)</f>
        <v>45231</v>
      </c>
    </row>
    <row r="952" spans="1:18">
      <c r="A952" t="s">
        <v>3465</v>
      </c>
      <c r="B952" s="10">
        <v>45443</v>
      </c>
      <c r="C952" t="s">
        <v>3466</v>
      </c>
      <c r="D952" t="s">
        <v>64</v>
      </c>
      <c r="E952">
        <v>1</v>
      </c>
      <c r="F952" s="4">
        <v>596.24</v>
      </c>
      <c r="G952" t="s">
        <v>40</v>
      </c>
      <c r="H952" t="s">
        <v>49</v>
      </c>
      <c r="I952">
        <v>4</v>
      </c>
      <c r="J952" t="s">
        <v>43</v>
      </c>
      <c r="K952" t="s">
        <v>28</v>
      </c>
      <c r="L952" s="4">
        <v>596.24</v>
      </c>
      <c r="M952" t="str">
        <f>VLOOKUP(D952,tblProduct[],2,FALSE)</f>
        <v>Electronics</v>
      </c>
      <c r="N952" t="str">
        <f>VLOOKUP(D952,tblProduct[],3,FALSE)</f>
        <v>High</v>
      </c>
      <c r="O952">
        <f>VLOOKUP(D952,tblProduct[],4,FALSE)</f>
        <v>150000</v>
      </c>
      <c r="P952">
        <v>596.24</v>
      </c>
      <c r="Q952" s="19" t="str">
        <f t="shared" si="14"/>
        <v>May-2024</v>
      </c>
      <c r="R952" s="26">
        <f>DATE(YEAR(tblEnriched[[#This Row],[Date]]),MONTH(tblEnriched[[#This Row],[Date]]),1)</f>
        <v>45413</v>
      </c>
    </row>
    <row r="953" spans="1:18">
      <c r="A953" t="s">
        <v>3468</v>
      </c>
      <c r="B953" s="10">
        <v>45495</v>
      </c>
      <c r="C953" t="s">
        <v>3469</v>
      </c>
      <c r="D953" t="s">
        <v>54</v>
      </c>
      <c r="E953">
        <v>2</v>
      </c>
      <c r="F953" s="4">
        <v>306.24</v>
      </c>
      <c r="G953" t="s">
        <v>33</v>
      </c>
      <c r="H953" t="s">
        <v>49</v>
      </c>
      <c r="I953">
        <v>4</v>
      </c>
      <c r="J953" t="s">
        <v>43</v>
      </c>
      <c r="K953" t="s">
        <v>44</v>
      </c>
      <c r="L953" s="4">
        <v>612.48</v>
      </c>
      <c r="M953" t="str">
        <f>VLOOKUP(D953,tblProduct[],2,FALSE)</f>
        <v>Electronics</v>
      </c>
      <c r="N953" t="str">
        <f>VLOOKUP(D953,tblProduct[],3,FALSE)</f>
        <v>Medium</v>
      </c>
      <c r="O953">
        <f>VLOOKUP(D953,tblProduct[],4,FALSE)</f>
        <v>80000</v>
      </c>
      <c r="P953">
        <v>612.48</v>
      </c>
      <c r="Q953" s="19" t="str">
        <f t="shared" si="14"/>
        <v>Jul-2024</v>
      </c>
      <c r="R953" s="26">
        <f>DATE(YEAR(tblEnriched[[#This Row],[Date]]),MONTH(tblEnriched[[#This Row],[Date]]),1)</f>
        <v>45474</v>
      </c>
    </row>
    <row r="954" spans="1:18">
      <c r="A954" t="s">
        <v>3471</v>
      </c>
      <c r="B954" s="10">
        <v>45715</v>
      </c>
      <c r="C954" t="s">
        <v>3472</v>
      </c>
      <c r="D954" t="s">
        <v>22</v>
      </c>
      <c r="E954">
        <v>3</v>
      </c>
      <c r="F954" s="4">
        <v>503.39</v>
      </c>
      <c r="G954" t="s">
        <v>33</v>
      </c>
      <c r="H954" t="s">
        <v>95</v>
      </c>
      <c r="I954">
        <v>5</v>
      </c>
      <c r="K954" t="s">
        <v>51</v>
      </c>
      <c r="L954" s="4">
        <v>1510.17</v>
      </c>
      <c r="M954" t="str">
        <f>VLOOKUP(D954,tblProduct[],2,FALSE)</f>
        <v>Electronics</v>
      </c>
      <c r="N954" t="str">
        <f>VLOOKUP(D954,tblProduct[],3,FALSE)</f>
        <v>Medium</v>
      </c>
      <c r="O954">
        <f>VLOOKUP(D954,tblProduct[],4,FALSE)</f>
        <v>90000</v>
      </c>
      <c r="P954">
        <v>1510.17</v>
      </c>
      <c r="Q954" s="19" t="str">
        <f t="shared" si="14"/>
        <v>Feb-2025</v>
      </c>
      <c r="R954" s="26">
        <f>DATE(YEAR(tblEnriched[[#This Row],[Date]]),MONTH(tblEnriched[[#This Row],[Date]]),1)</f>
        <v>45689</v>
      </c>
    </row>
    <row r="955" spans="1:18">
      <c r="A955" t="s">
        <v>3475</v>
      </c>
      <c r="B955" s="10">
        <v>44963</v>
      </c>
      <c r="C955" t="s">
        <v>3476</v>
      </c>
      <c r="D955" t="s">
        <v>31</v>
      </c>
      <c r="E955">
        <v>1</v>
      </c>
      <c r="F955" s="4">
        <v>131.61000000000001</v>
      </c>
      <c r="G955" t="s">
        <v>71</v>
      </c>
      <c r="H955" t="s">
        <v>25</v>
      </c>
      <c r="I955">
        <v>2</v>
      </c>
      <c r="J955" t="s">
        <v>43</v>
      </c>
      <c r="K955" t="s">
        <v>51</v>
      </c>
      <c r="L955" s="4">
        <v>131.61000000000001</v>
      </c>
      <c r="M955" t="str">
        <f>VLOOKUP(D955,tblProduct[],2,FALSE)</f>
        <v>Electronics</v>
      </c>
      <c r="N955" t="str">
        <f>VLOOKUP(D955,tblProduct[],3,FALSE)</f>
        <v>High</v>
      </c>
      <c r="O955">
        <f>VLOOKUP(D955,tblProduct[],4,FALSE)</f>
        <v>120000</v>
      </c>
      <c r="P955">
        <v>131.61000000000001</v>
      </c>
      <c r="Q955" s="19" t="str">
        <f t="shared" si="14"/>
        <v>Feb-2023</v>
      </c>
      <c r="R955" s="26">
        <f>DATE(YEAR(tblEnriched[[#This Row],[Date]]),MONTH(tblEnriched[[#This Row],[Date]]),1)</f>
        <v>44958</v>
      </c>
    </row>
    <row r="956" spans="1:18">
      <c r="A956" t="s">
        <v>3478</v>
      </c>
      <c r="B956" s="10">
        <v>45587</v>
      </c>
      <c r="C956" t="s">
        <v>3479</v>
      </c>
      <c r="D956" t="s">
        <v>47</v>
      </c>
      <c r="E956">
        <v>3</v>
      </c>
      <c r="F956" s="4">
        <v>443.44</v>
      </c>
      <c r="G956" t="s">
        <v>66</v>
      </c>
      <c r="H956" t="s">
        <v>25</v>
      </c>
      <c r="I956">
        <v>3</v>
      </c>
      <c r="J956" t="s">
        <v>43</v>
      </c>
      <c r="K956" t="s">
        <v>82</v>
      </c>
      <c r="L956" s="4">
        <v>1330.32</v>
      </c>
      <c r="M956" t="str">
        <f>VLOOKUP(D956,tblProduct[],2,FALSE)</f>
        <v>Furniture</v>
      </c>
      <c r="N956" t="str">
        <f>VLOOKUP(D956,tblProduct[],3,FALSE)</f>
        <v>Medium</v>
      </c>
      <c r="O956">
        <f>VLOOKUP(D956,tblProduct[],4,FALSE)</f>
        <v>70000</v>
      </c>
      <c r="P956">
        <v>1330.32</v>
      </c>
      <c r="Q956" s="19" t="str">
        <f t="shared" si="14"/>
        <v>Oct-2024</v>
      </c>
      <c r="R956" s="26">
        <f>DATE(YEAR(tblEnriched[[#This Row],[Date]]),MONTH(tblEnriched[[#This Row],[Date]]),1)</f>
        <v>45566</v>
      </c>
    </row>
    <row r="957" spans="1:18">
      <c r="A957" t="s">
        <v>3481</v>
      </c>
      <c r="B957" s="10">
        <v>44949</v>
      </c>
      <c r="C957" t="s">
        <v>3482</v>
      </c>
      <c r="D957" t="s">
        <v>47</v>
      </c>
      <c r="E957">
        <v>1</v>
      </c>
      <c r="F957" s="4">
        <v>408.13</v>
      </c>
      <c r="G957" t="s">
        <v>66</v>
      </c>
      <c r="H957" t="s">
        <v>25</v>
      </c>
      <c r="I957">
        <v>3</v>
      </c>
      <c r="J957" t="s">
        <v>87</v>
      </c>
      <c r="K957" t="s">
        <v>28</v>
      </c>
      <c r="L957" s="4">
        <v>408.13</v>
      </c>
      <c r="M957" t="str">
        <f>VLOOKUP(D957,tblProduct[],2,FALSE)</f>
        <v>Furniture</v>
      </c>
      <c r="N957" t="str">
        <f>VLOOKUP(D957,tblProduct[],3,FALSE)</f>
        <v>Medium</v>
      </c>
      <c r="O957">
        <f>VLOOKUP(D957,tblProduct[],4,FALSE)</f>
        <v>70000</v>
      </c>
      <c r="P957">
        <v>408.13</v>
      </c>
      <c r="Q957" s="19" t="str">
        <f t="shared" si="14"/>
        <v>Jan-2023</v>
      </c>
      <c r="R957" s="26">
        <f>DATE(YEAR(tblEnriched[[#This Row],[Date]]),MONTH(tblEnriched[[#This Row],[Date]]),1)</f>
        <v>44927</v>
      </c>
    </row>
    <row r="958" spans="1:18">
      <c r="A958" t="s">
        <v>3484</v>
      </c>
      <c r="B958" s="10">
        <v>45393</v>
      </c>
      <c r="C958" t="s">
        <v>2905</v>
      </c>
      <c r="D958" t="s">
        <v>31</v>
      </c>
      <c r="E958">
        <v>2</v>
      </c>
      <c r="F958" s="4">
        <v>160.97999999999999</v>
      </c>
      <c r="G958" t="s">
        <v>24</v>
      </c>
      <c r="H958" t="s">
        <v>56</v>
      </c>
      <c r="I958">
        <v>3</v>
      </c>
      <c r="J958" t="s">
        <v>27</v>
      </c>
      <c r="K958" t="s">
        <v>35</v>
      </c>
      <c r="L958" s="4">
        <v>321.95999999999998</v>
      </c>
      <c r="M958" t="str">
        <f>VLOOKUP(D958,tblProduct[],2,FALSE)</f>
        <v>Electronics</v>
      </c>
      <c r="N958" t="str">
        <f>VLOOKUP(D958,tblProduct[],3,FALSE)</f>
        <v>High</v>
      </c>
      <c r="O958">
        <f>VLOOKUP(D958,tblProduct[],4,FALSE)</f>
        <v>120000</v>
      </c>
      <c r="P958">
        <v>321.95999999999998</v>
      </c>
      <c r="Q958" s="19" t="str">
        <f t="shared" si="14"/>
        <v>Apr-2024</v>
      </c>
      <c r="R958" s="26">
        <f>DATE(YEAR(tblEnriched[[#This Row],[Date]]),MONTH(tblEnriched[[#This Row],[Date]]),1)</f>
        <v>45383</v>
      </c>
    </row>
    <row r="959" spans="1:18">
      <c r="A959" t="s">
        <v>3487</v>
      </c>
      <c r="B959" s="10">
        <v>44938</v>
      </c>
      <c r="C959" t="s">
        <v>3488</v>
      </c>
      <c r="D959" t="s">
        <v>22</v>
      </c>
      <c r="E959">
        <v>5</v>
      </c>
      <c r="F959" s="4">
        <v>643.89</v>
      </c>
      <c r="G959" t="s">
        <v>71</v>
      </c>
      <c r="H959" t="s">
        <v>49</v>
      </c>
      <c r="I959">
        <v>8</v>
      </c>
      <c r="J959" t="s">
        <v>87</v>
      </c>
      <c r="K959" t="s">
        <v>51</v>
      </c>
      <c r="L959" s="4">
        <v>3219.45</v>
      </c>
      <c r="M959" t="str">
        <f>VLOOKUP(D959,tblProduct[],2,FALSE)</f>
        <v>Electronics</v>
      </c>
      <c r="N959" t="str">
        <f>VLOOKUP(D959,tblProduct[],3,FALSE)</f>
        <v>Medium</v>
      </c>
      <c r="O959">
        <f>VLOOKUP(D959,tblProduct[],4,FALSE)</f>
        <v>90000</v>
      </c>
      <c r="P959">
        <v>3219.45</v>
      </c>
      <c r="Q959" s="19" t="str">
        <f t="shared" si="14"/>
        <v>Jan-2023</v>
      </c>
      <c r="R959" s="26">
        <f>DATE(YEAR(tblEnriched[[#This Row],[Date]]),MONTH(tblEnriched[[#This Row],[Date]]),1)</f>
        <v>44927</v>
      </c>
    </row>
    <row r="960" spans="1:18">
      <c r="A960" t="s">
        <v>3491</v>
      </c>
      <c r="B960" s="10">
        <v>45059</v>
      </c>
      <c r="C960" t="s">
        <v>3492</v>
      </c>
      <c r="D960" t="s">
        <v>79</v>
      </c>
      <c r="E960">
        <v>3</v>
      </c>
      <c r="F960" s="4">
        <v>158.66</v>
      </c>
      <c r="G960" t="s">
        <v>66</v>
      </c>
      <c r="H960" t="s">
        <v>56</v>
      </c>
      <c r="I960">
        <v>7</v>
      </c>
      <c r="J960" t="s">
        <v>87</v>
      </c>
      <c r="K960" t="s">
        <v>44</v>
      </c>
      <c r="L960" s="4">
        <v>475.98</v>
      </c>
      <c r="M960" t="str">
        <f>VLOOKUP(D960,tblProduct[],2,FALSE)</f>
        <v>Furniture</v>
      </c>
      <c r="N960" t="str">
        <f>VLOOKUP(D960,tblProduct[],3,FALSE)</f>
        <v>High</v>
      </c>
      <c r="O960">
        <f>VLOOKUP(D960,tblProduct[],4,FALSE)</f>
        <v>75000</v>
      </c>
      <c r="P960">
        <v>475.98</v>
      </c>
      <c r="Q960" s="19" t="str">
        <f t="shared" si="14"/>
        <v>May-2023</v>
      </c>
      <c r="R960" s="26">
        <f>DATE(YEAR(tblEnriched[[#This Row],[Date]]),MONTH(tblEnriched[[#This Row],[Date]]),1)</f>
        <v>45047</v>
      </c>
    </row>
    <row r="961" spans="1:18">
      <c r="A961" t="s">
        <v>3494</v>
      </c>
      <c r="B961" s="10">
        <v>45395</v>
      </c>
      <c r="C961" t="s">
        <v>3495</v>
      </c>
      <c r="D961" t="s">
        <v>38</v>
      </c>
      <c r="E961">
        <v>2</v>
      </c>
      <c r="F961" s="4">
        <v>143.82</v>
      </c>
      <c r="G961" t="s">
        <v>40</v>
      </c>
      <c r="H961" t="s">
        <v>49</v>
      </c>
      <c r="I961">
        <v>6</v>
      </c>
      <c r="J961" t="s">
        <v>27</v>
      </c>
      <c r="K961" t="s">
        <v>28</v>
      </c>
      <c r="L961" s="4">
        <v>287.64</v>
      </c>
      <c r="M961" t="str">
        <f>VLOOKUP(D961,tblProduct[],2,FALSE)</f>
        <v>Electronics</v>
      </c>
      <c r="N961" t="str">
        <f>VLOOKUP(D961,tblProduct[],3,FALSE)</f>
        <v>Medium</v>
      </c>
      <c r="O961">
        <f>VLOOKUP(D961,tblProduct[],4,FALSE)</f>
        <v>100000</v>
      </c>
      <c r="P961">
        <v>287.64</v>
      </c>
      <c r="Q961" s="19" t="str">
        <f t="shared" si="14"/>
        <v>Apr-2024</v>
      </c>
      <c r="R961" s="26">
        <f>DATE(YEAR(tblEnriched[[#This Row],[Date]]),MONTH(tblEnriched[[#This Row],[Date]]),1)</f>
        <v>45383</v>
      </c>
    </row>
    <row r="962" spans="1:18">
      <c r="A962" t="s">
        <v>3497</v>
      </c>
      <c r="B962" s="10">
        <v>45271</v>
      </c>
      <c r="C962" t="s">
        <v>3498</v>
      </c>
      <c r="D962" t="s">
        <v>64</v>
      </c>
      <c r="E962">
        <v>3</v>
      </c>
      <c r="F962" s="4">
        <v>379.07</v>
      </c>
      <c r="G962" t="s">
        <v>66</v>
      </c>
      <c r="H962" t="s">
        <v>95</v>
      </c>
      <c r="I962">
        <v>3</v>
      </c>
      <c r="J962" t="s">
        <v>87</v>
      </c>
      <c r="K962" t="s">
        <v>82</v>
      </c>
      <c r="L962" s="4">
        <v>1137.21</v>
      </c>
      <c r="M962" t="str">
        <f>VLOOKUP(D962,tblProduct[],2,FALSE)</f>
        <v>Electronics</v>
      </c>
      <c r="N962" t="str">
        <f>VLOOKUP(D962,tblProduct[],3,FALSE)</f>
        <v>High</v>
      </c>
      <c r="O962">
        <f>VLOOKUP(D962,tblProduct[],4,FALSE)</f>
        <v>150000</v>
      </c>
      <c r="P962">
        <v>1137.21</v>
      </c>
      <c r="Q962" s="19" t="str">
        <f t="shared" ref="Q962:Q1025" si="15">TEXT(B962,"mmm-yyyy")</f>
        <v>Dec-2023</v>
      </c>
      <c r="R962" s="26">
        <f>DATE(YEAR(tblEnriched[[#This Row],[Date]]),MONTH(tblEnriched[[#This Row],[Date]]),1)</f>
        <v>45261</v>
      </c>
    </row>
    <row r="963" spans="1:18">
      <c r="A963" t="s">
        <v>3500</v>
      </c>
      <c r="B963" s="10">
        <v>45607</v>
      </c>
      <c r="C963" t="s">
        <v>3501</v>
      </c>
      <c r="D963" t="s">
        <v>31</v>
      </c>
      <c r="E963">
        <v>1</v>
      </c>
      <c r="F963" s="4">
        <v>601.36</v>
      </c>
      <c r="G963" t="s">
        <v>33</v>
      </c>
      <c r="H963" t="s">
        <v>25</v>
      </c>
      <c r="I963">
        <v>1</v>
      </c>
      <c r="K963" t="s">
        <v>51</v>
      </c>
      <c r="L963" s="4">
        <v>601.36</v>
      </c>
      <c r="M963" t="str">
        <f>VLOOKUP(D963,tblProduct[],2,FALSE)</f>
        <v>Electronics</v>
      </c>
      <c r="N963" t="str">
        <f>VLOOKUP(D963,tblProduct[],3,FALSE)</f>
        <v>High</v>
      </c>
      <c r="O963">
        <f>VLOOKUP(D963,tblProduct[],4,FALSE)</f>
        <v>120000</v>
      </c>
      <c r="P963">
        <v>601.36</v>
      </c>
      <c r="Q963" s="19" t="str">
        <f t="shared" si="15"/>
        <v>Nov-2024</v>
      </c>
      <c r="R963" s="26">
        <f>DATE(YEAR(tblEnriched[[#This Row],[Date]]),MONTH(tblEnriched[[#This Row],[Date]]),1)</f>
        <v>45597</v>
      </c>
    </row>
    <row r="964" spans="1:18">
      <c r="A964" t="s">
        <v>3503</v>
      </c>
      <c r="B964" s="10">
        <v>45541</v>
      </c>
      <c r="C964" t="s">
        <v>3504</v>
      </c>
      <c r="D964" t="s">
        <v>31</v>
      </c>
      <c r="E964">
        <v>2</v>
      </c>
      <c r="F964" s="4">
        <v>142.08000000000001</v>
      </c>
      <c r="G964" t="s">
        <v>66</v>
      </c>
      <c r="H964" t="s">
        <v>56</v>
      </c>
      <c r="I964">
        <v>4</v>
      </c>
      <c r="J964" t="s">
        <v>27</v>
      </c>
      <c r="K964" t="s">
        <v>35</v>
      </c>
      <c r="L964" s="4">
        <v>284.16000000000003</v>
      </c>
      <c r="M964" t="str">
        <f>VLOOKUP(D964,tblProduct[],2,FALSE)</f>
        <v>Electronics</v>
      </c>
      <c r="N964" t="str">
        <f>VLOOKUP(D964,tblProduct[],3,FALSE)</f>
        <v>High</v>
      </c>
      <c r="O964">
        <f>VLOOKUP(D964,tblProduct[],4,FALSE)</f>
        <v>120000</v>
      </c>
      <c r="P964">
        <v>284.16000000000003</v>
      </c>
      <c r="Q964" s="19" t="str">
        <f t="shared" si="15"/>
        <v>Sep-2024</v>
      </c>
      <c r="R964" s="26">
        <f>DATE(YEAR(tblEnriched[[#This Row],[Date]]),MONTH(tblEnriched[[#This Row],[Date]]),1)</f>
        <v>45536</v>
      </c>
    </row>
    <row r="965" spans="1:18">
      <c r="A965" t="s">
        <v>3506</v>
      </c>
      <c r="B965" s="10">
        <v>45362</v>
      </c>
      <c r="C965" t="s">
        <v>3507</v>
      </c>
      <c r="D965" t="s">
        <v>47</v>
      </c>
      <c r="E965">
        <v>5</v>
      </c>
      <c r="F965" s="4">
        <v>530.34</v>
      </c>
      <c r="G965" t="s">
        <v>33</v>
      </c>
      <c r="H965" t="s">
        <v>25</v>
      </c>
      <c r="I965">
        <v>9</v>
      </c>
      <c r="J965" t="s">
        <v>43</v>
      </c>
      <c r="K965" t="s">
        <v>82</v>
      </c>
      <c r="L965" s="4">
        <v>2651.7</v>
      </c>
      <c r="M965" t="str">
        <f>VLOOKUP(D965,tblProduct[],2,FALSE)</f>
        <v>Furniture</v>
      </c>
      <c r="N965" t="str">
        <f>VLOOKUP(D965,tblProduct[],3,FALSE)</f>
        <v>Medium</v>
      </c>
      <c r="O965">
        <f>VLOOKUP(D965,tblProduct[],4,FALSE)</f>
        <v>70000</v>
      </c>
      <c r="P965">
        <v>2651.7</v>
      </c>
      <c r="Q965" s="19" t="str">
        <f t="shared" si="15"/>
        <v>Mar-2024</v>
      </c>
      <c r="R965" s="26">
        <f>DATE(YEAR(tblEnriched[[#This Row],[Date]]),MONTH(tblEnriched[[#This Row],[Date]]),1)</f>
        <v>45352</v>
      </c>
    </row>
    <row r="966" spans="1:18">
      <c r="A966" t="s">
        <v>3509</v>
      </c>
      <c r="B966" s="10">
        <v>45158</v>
      </c>
      <c r="C966" t="s">
        <v>3510</v>
      </c>
      <c r="D966" t="s">
        <v>31</v>
      </c>
      <c r="E966">
        <v>5</v>
      </c>
      <c r="F966" s="4">
        <v>364.42</v>
      </c>
      <c r="G966" t="s">
        <v>40</v>
      </c>
      <c r="H966" t="s">
        <v>41</v>
      </c>
      <c r="I966">
        <v>10</v>
      </c>
      <c r="J966" t="s">
        <v>27</v>
      </c>
      <c r="K966" t="s">
        <v>35</v>
      </c>
      <c r="L966" s="4">
        <v>1822.1</v>
      </c>
      <c r="M966" t="str">
        <f>VLOOKUP(D966,tblProduct[],2,FALSE)</f>
        <v>Electronics</v>
      </c>
      <c r="N966" t="str">
        <f>VLOOKUP(D966,tblProduct[],3,FALSE)</f>
        <v>High</v>
      </c>
      <c r="O966">
        <f>VLOOKUP(D966,tblProduct[],4,FALSE)</f>
        <v>120000</v>
      </c>
      <c r="P966">
        <v>1822.1</v>
      </c>
      <c r="Q966" s="19" t="str">
        <f t="shared" si="15"/>
        <v>Aug-2023</v>
      </c>
      <c r="R966" s="26">
        <f>DATE(YEAR(tblEnriched[[#This Row],[Date]]),MONTH(tblEnriched[[#This Row],[Date]]),1)</f>
        <v>45139</v>
      </c>
    </row>
    <row r="967" spans="1:18">
      <c r="A967" t="s">
        <v>3512</v>
      </c>
      <c r="B967" s="10">
        <v>45826</v>
      </c>
      <c r="C967" t="s">
        <v>3513</v>
      </c>
      <c r="D967" t="s">
        <v>64</v>
      </c>
      <c r="E967">
        <v>4</v>
      </c>
      <c r="F967" s="4">
        <v>578.28</v>
      </c>
      <c r="G967" t="s">
        <v>66</v>
      </c>
      <c r="H967" t="s">
        <v>41</v>
      </c>
      <c r="I967">
        <v>5</v>
      </c>
      <c r="J967" t="s">
        <v>43</v>
      </c>
      <c r="K967" t="s">
        <v>44</v>
      </c>
      <c r="L967" s="4">
        <v>2313.12</v>
      </c>
      <c r="M967" t="str">
        <f>VLOOKUP(D967,tblProduct[],2,FALSE)</f>
        <v>Electronics</v>
      </c>
      <c r="N967" t="str">
        <f>VLOOKUP(D967,tblProduct[],3,FALSE)</f>
        <v>High</v>
      </c>
      <c r="O967">
        <f>VLOOKUP(D967,tblProduct[],4,FALSE)</f>
        <v>150000</v>
      </c>
      <c r="P967">
        <v>2313.12</v>
      </c>
      <c r="Q967" s="19" t="str">
        <f t="shared" si="15"/>
        <v>Jun-2025</v>
      </c>
      <c r="R967" s="26">
        <f>DATE(YEAR(tblEnriched[[#This Row],[Date]]),MONTH(tblEnriched[[#This Row],[Date]]),1)</f>
        <v>45809</v>
      </c>
    </row>
    <row r="968" spans="1:18">
      <c r="A968" t="s">
        <v>3515</v>
      </c>
      <c r="B968" s="10">
        <v>45797</v>
      </c>
      <c r="C968" t="s">
        <v>3516</v>
      </c>
      <c r="D968" t="s">
        <v>22</v>
      </c>
      <c r="E968">
        <v>5</v>
      </c>
      <c r="F968" s="4">
        <v>280.52</v>
      </c>
      <c r="G968" t="s">
        <v>40</v>
      </c>
      <c r="H968" t="s">
        <v>41</v>
      </c>
      <c r="I968">
        <v>7</v>
      </c>
      <c r="J968" t="s">
        <v>87</v>
      </c>
      <c r="K968" t="s">
        <v>51</v>
      </c>
      <c r="L968" s="4">
        <v>1402.6</v>
      </c>
      <c r="M968" t="str">
        <f>VLOOKUP(D968,tblProduct[],2,FALSE)</f>
        <v>Electronics</v>
      </c>
      <c r="N968" t="str">
        <f>VLOOKUP(D968,tblProduct[],3,FALSE)</f>
        <v>Medium</v>
      </c>
      <c r="O968">
        <f>VLOOKUP(D968,tblProduct[],4,FALSE)</f>
        <v>90000</v>
      </c>
      <c r="P968">
        <v>1402.6</v>
      </c>
      <c r="Q968" s="19" t="str">
        <f t="shared" si="15"/>
        <v>May-2025</v>
      </c>
      <c r="R968" s="26">
        <f>DATE(YEAR(tblEnriched[[#This Row],[Date]]),MONTH(tblEnriched[[#This Row],[Date]]),1)</f>
        <v>45778</v>
      </c>
    </row>
    <row r="969" spans="1:18">
      <c r="A969" t="s">
        <v>3519</v>
      </c>
      <c r="B969" s="10">
        <v>45783</v>
      </c>
      <c r="C969" t="s">
        <v>3520</v>
      </c>
      <c r="D969" t="s">
        <v>38</v>
      </c>
      <c r="E969">
        <v>5</v>
      </c>
      <c r="F969" s="4">
        <v>638.91999999999996</v>
      </c>
      <c r="G969" t="s">
        <v>40</v>
      </c>
      <c r="H969" t="s">
        <v>49</v>
      </c>
      <c r="I969">
        <v>5</v>
      </c>
      <c r="J969" t="s">
        <v>43</v>
      </c>
      <c r="K969" t="s">
        <v>82</v>
      </c>
      <c r="L969" s="4">
        <v>3194.6</v>
      </c>
      <c r="M969" t="str">
        <f>VLOOKUP(D969,tblProduct[],2,FALSE)</f>
        <v>Electronics</v>
      </c>
      <c r="N969" t="str">
        <f>VLOOKUP(D969,tblProduct[],3,FALSE)</f>
        <v>Medium</v>
      </c>
      <c r="O969">
        <f>VLOOKUP(D969,tblProduct[],4,FALSE)</f>
        <v>100000</v>
      </c>
      <c r="P969">
        <v>3194.6</v>
      </c>
      <c r="Q969" s="19" t="str">
        <f t="shared" si="15"/>
        <v>May-2025</v>
      </c>
      <c r="R969" s="26">
        <f>DATE(YEAR(tblEnriched[[#This Row],[Date]]),MONTH(tblEnriched[[#This Row],[Date]]),1)</f>
        <v>45778</v>
      </c>
    </row>
    <row r="970" spans="1:18">
      <c r="A970" t="s">
        <v>3523</v>
      </c>
      <c r="B970" s="10">
        <v>45330</v>
      </c>
      <c r="C970" t="s">
        <v>3524</v>
      </c>
      <c r="D970" t="s">
        <v>22</v>
      </c>
      <c r="E970">
        <v>4</v>
      </c>
      <c r="F970" s="4">
        <v>412.2</v>
      </c>
      <c r="G970" t="s">
        <v>40</v>
      </c>
      <c r="H970" t="s">
        <v>25</v>
      </c>
      <c r="I970">
        <v>6</v>
      </c>
      <c r="J970" t="s">
        <v>87</v>
      </c>
      <c r="K970" t="s">
        <v>35</v>
      </c>
      <c r="L970" s="4">
        <v>1648.8</v>
      </c>
      <c r="M970" t="str">
        <f>VLOOKUP(D970,tblProduct[],2,FALSE)</f>
        <v>Electronics</v>
      </c>
      <c r="N970" t="str">
        <f>VLOOKUP(D970,tblProduct[],3,FALSE)</f>
        <v>Medium</v>
      </c>
      <c r="O970">
        <f>VLOOKUP(D970,tblProduct[],4,FALSE)</f>
        <v>90000</v>
      </c>
      <c r="P970">
        <v>1648.8</v>
      </c>
      <c r="Q970" s="19" t="str">
        <f t="shared" si="15"/>
        <v>Feb-2024</v>
      </c>
      <c r="R970" s="26">
        <f>DATE(YEAR(tblEnriched[[#This Row],[Date]]),MONTH(tblEnriched[[#This Row],[Date]]),1)</f>
        <v>45323</v>
      </c>
    </row>
    <row r="971" spans="1:18">
      <c r="A971" t="s">
        <v>3526</v>
      </c>
      <c r="B971" s="10">
        <v>45813</v>
      </c>
      <c r="C971" t="s">
        <v>3527</v>
      </c>
      <c r="D971" t="s">
        <v>79</v>
      </c>
      <c r="E971">
        <v>1</v>
      </c>
      <c r="F971" s="4">
        <v>440.34</v>
      </c>
      <c r="G971" t="s">
        <v>66</v>
      </c>
      <c r="H971" t="s">
        <v>25</v>
      </c>
      <c r="I971">
        <v>2</v>
      </c>
      <c r="J971" t="s">
        <v>87</v>
      </c>
      <c r="K971" t="s">
        <v>51</v>
      </c>
      <c r="L971" s="4">
        <v>440.34</v>
      </c>
      <c r="M971" t="str">
        <f>VLOOKUP(D971,tblProduct[],2,FALSE)</f>
        <v>Furniture</v>
      </c>
      <c r="N971" t="str">
        <f>VLOOKUP(D971,tblProduct[],3,FALSE)</f>
        <v>High</v>
      </c>
      <c r="O971">
        <f>VLOOKUP(D971,tblProduct[],4,FALSE)</f>
        <v>75000</v>
      </c>
      <c r="P971">
        <v>440.34</v>
      </c>
      <c r="Q971" s="19" t="str">
        <f t="shared" si="15"/>
        <v>Jun-2025</v>
      </c>
      <c r="R971" s="26">
        <f>DATE(YEAR(tblEnriched[[#This Row],[Date]]),MONTH(tblEnriched[[#This Row],[Date]]),1)</f>
        <v>45809</v>
      </c>
    </row>
    <row r="972" spans="1:18">
      <c r="A972" t="s">
        <v>3530</v>
      </c>
      <c r="B972" s="10">
        <v>45542</v>
      </c>
      <c r="C972" t="s">
        <v>3531</v>
      </c>
      <c r="D972" t="s">
        <v>79</v>
      </c>
      <c r="E972">
        <v>1</v>
      </c>
      <c r="F972" s="4">
        <v>627.15</v>
      </c>
      <c r="G972" t="s">
        <v>71</v>
      </c>
      <c r="H972" t="s">
        <v>56</v>
      </c>
      <c r="I972">
        <v>5</v>
      </c>
      <c r="J972" t="s">
        <v>27</v>
      </c>
      <c r="K972" t="s">
        <v>28</v>
      </c>
      <c r="L972" s="4">
        <v>627.15</v>
      </c>
      <c r="M972" t="str">
        <f>VLOOKUP(D972,tblProduct[],2,FALSE)</f>
        <v>Furniture</v>
      </c>
      <c r="N972" t="str">
        <f>VLOOKUP(D972,tblProduct[],3,FALSE)</f>
        <v>High</v>
      </c>
      <c r="O972">
        <f>VLOOKUP(D972,tblProduct[],4,FALSE)</f>
        <v>75000</v>
      </c>
      <c r="P972">
        <v>627.15</v>
      </c>
      <c r="Q972" s="19" t="str">
        <f t="shared" si="15"/>
        <v>Sep-2024</v>
      </c>
      <c r="R972" s="26">
        <f>DATE(YEAR(tblEnriched[[#This Row],[Date]]),MONTH(tblEnriched[[#This Row],[Date]]),1)</f>
        <v>45536</v>
      </c>
    </row>
    <row r="973" spans="1:18">
      <c r="A973" t="s">
        <v>3534</v>
      </c>
      <c r="B973" s="10">
        <v>45439</v>
      </c>
      <c r="C973" t="s">
        <v>3535</v>
      </c>
      <c r="D973" t="s">
        <v>22</v>
      </c>
      <c r="E973">
        <v>2</v>
      </c>
      <c r="F973" s="4">
        <v>605.26</v>
      </c>
      <c r="G973" t="s">
        <v>71</v>
      </c>
      <c r="H973" t="s">
        <v>41</v>
      </c>
      <c r="I973">
        <v>4</v>
      </c>
      <c r="J973" t="s">
        <v>87</v>
      </c>
      <c r="K973" t="s">
        <v>35</v>
      </c>
      <c r="L973" s="4">
        <v>1210.52</v>
      </c>
      <c r="M973" t="str">
        <f>VLOOKUP(D973,tblProduct[],2,FALSE)</f>
        <v>Electronics</v>
      </c>
      <c r="N973" t="str">
        <f>VLOOKUP(D973,tblProduct[],3,FALSE)</f>
        <v>Medium</v>
      </c>
      <c r="O973">
        <f>VLOOKUP(D973,tblProduct[],4,FALSE)</f>
        <v>90000</v>
      </c>
      <c r="P973">
        <v>1210.52</v>
      </c>
      <c r="Q973" s="19" t="str">
        <f t="shared" si="15"/>
        <v>May-2024</v>
      </c>
      <c r="R973" s="26">
        <f>DATE(YEAR(tblEnriched[[#This Row],[Date]]),MONTH(tblEnriched[[#This Row],[Date]]),1)</f>
        <v>45413</v>
      </c>
    </row>
    <row r="974" spans="1:18">
      <c r="A974" t="s">
        <v>3537</v>
      </c>
      <c r="B974" s="10">
        <v>45452</v>
      </c>
      <c r="C974" t="s">
        <v>3538</v>
      </c>
      <c r="D974" t="s">
        <v>64</v>
      </c>
      <c r="E974">
        <v>1</v>
      </c>
      <c r="F974" s="4">
        <v>90.27</v>
      </c>
      <c r="G974" t="s">
        <v>71</v>
      </c>
      <c r="H974" t="s">
        <v>56</v>
      </c>
      <c r="I974">
        <v>5</v>
      </c>
      <c r="J974" t="s">
        <v>27</v>
      </c>
      <c r="K974" t="s">
        <v>51</v>
      </c>
      <c r="L974" s="4">
        <v>90.27</v>
      </c>
      <c r="M974" t="str">
        <f>VLOOKUP(D974,tblProduct[],2,FALSE)</f>
        <v>Electronics</v>
      </c>
      <c r="N974" t="str">
        <f>VLOOKUP(D974,tblProduct[],3,FALSE)</f>
        <v>High</v>
      </c>
      <c r="O974">
        <f>VLOOKUP(D974,tblProduct[],4,FALSE)</f>
        <v>150000</v>
      </c>
      <c r="P974">
        <v>90.27</v>
      </c>
      <c r="Q974" s="19" t="str">
        <f t="shared" si="15"/>
        <v>Jun-2024</v>
      </c>
      <c r="R974" s="26">
        <f>DATE(YEAR(tblEnriched[[#This Row],[Date]]),MONTH(tblEnriched[[#This Row],[Date]]),1)</f>
        <v>45444</v>
      </c>
    </row>
    <row r="975" spans="1:18">
      <c r="A975" t="s">
        <v>3541</v>
      </c>
      <c r="B975" s="10">
        <v>45817</v>
      </c>
      <c r="C975" t="s">
        <v>3542</v>
      </c>
      <c r="D975" t="s">
        <v>79</v>
      </c>
      <c r="E975">
        <v>5</v>
      </c>
      <c r="F975" s="4">
        <v>230.77</v>
      </c>
      <c r="G975" t="s">
        <v>33</v>
      </c>
      <c r="H975" t="s">
        <v>95</v>
      </c>
      <c r="I975">
        <v>10</v>
      </c>
      <c r="J975" t="s">
        <v>87</v>
      </c>
      <c r="K975" t="s">
        <v>35</v>
      </c>
      <c r="L975" s="4">
        <v>1153.8499999999999</v>
      </c>
      <c r="M975" t="str">
        <f>VLOOKUP(D975,tblProduct[],2,FALSE)</f>
        <v>Furniture</v>
      </c>
      <c r="N975" t="str">
        <f>VLOOKUP(D975,tblProduct[],3,FALSE)</f>
        <v>High</v>
      </c>
      <c r="O975">
        <f>VLOOKUP(D975,tblProduct[],4,FALSE)</f>
        <v>75000</v>
      </c>
      <c r="P975">
        <v>1153.8499999999999</v>
      </c>
      <c r="Q975" s="19" t="str">
        <f t="shared" si="15"/>
        <v>Jun-2025</v>
      </c>
      <c r="R975" s="26">
        <f>DATE(YEAR(tblEnriched[[#This Row],[Date]]),MONTH(tblEnriched[[#This Row],[Date]]),1)</f>
        <v>45809</v>
      </c>
    </row>
    <row r="976" spans="1:18">
      <c r="A976" t="s">
        <v>3544</v>
      </c>
      <c r="B976" s="10">
        <v>45196</v>
      </c>
      <c r="C976" t="s">
        <v>3545</v>
      </c>
      <c r="D976" t="s">
        <v>79</v>
      </c>
      <c r="E976">
        <v>5</v>
      </c>
      <c r="F976" s="4">
        <v>266.77999999999997</v>
      </c>
      <c r="G976" t="s">
        <v>66</v>
      </c>
      <c r="H976" t="s">
        <v>41</v>
      </c>
      <c r="I976">
        <v>5</v>
      </c>
      <c r="K976" t="s">
        <v>44</v>
      </c>
      <c r="L976" s="4">
        <v>1333.9</v>
      </c>
      <c r="M976" t="str">
        <f>VLOOKUP(D976,tblProduct[],2,FALSE)</f>
        <v>Furniture</v>
      </c>
      <c r="N976" t="str">
        <f>VLOOKUP(D976,tblProduct[],3,FALSE)</f>
        <v>High</v>
      </c>
      <c r="O976">
        <f>VLOOKUP(D976,tblProduct[],4,FALSE)</f>
        <v>75000</v>
      </c>
      <c r="P976">
        <v>1333.9</v>
      </c>
      <c r="Q976" s="19" t="str">
        <f t="shared" si="15"/>
        <v>Sep-2023</v>
      </c>
      <c r="R976" s="26">
        <f>DATE(YEAR(tblEnriched[[#This Row],[Date]]),MONTH(tblEnriched[[#This Row],[Date]]),1)</f>
        <v>45170</v>
      </c>
    </row>
    <row r="977" spans="1:18">
      <c r="A977" t="s">
        <v>3547</v>
      </c>
      <c r="B977" s="10">
        <v>45064</v>
      </c>
      <c r="C977" t="s">
        <v>3548</v>
      </c>
      <c r="D977" t="s">
        <v>79</v>
      </c>
      <c r="E977">
        <v>1</v>
      </c>
      <c r="F977" s="4">
        <v>105.92</v>
      </c>
      <c r="G977" t="s">
        <v>66</v>
      </c>
      <c r="H977" t="s">
        <v>49</v>
      </c>
      <c r="I977">
        <v>6</v>
      </c>
      <c r="J977" t="s">
        <v>27</v>
      </c>
      <c r="K977" t="s">
        <v>44</v>
      </c>
      <c r="L977" s="4">
        <v>105.92</v>
      </c>
      <c r="M977" t="str">
        <f>VLOOKUP(D977,tblProduct[],2,FALSE)</f>
        <v>Furniture</v>
      </c>
      <c r="N977" t="str">
        <f>VLOOKUP(D977,tblProduct[],3,FALSE)</f>
        <v>High</v>
      </c>
      <c r="O977">
        <f>VLOOKUP(D977,tblProduct[],4,FALSE)</f>
        <v>75000</v>
      </c>
      <c r="P977">
        <v>105.92</v>
      </c>
      <c r="Q977" s="19" t="str">
        <f t="shared" si="15"/>
        <v>May-2023</v>
      </c>
      <c r="R977" s="26">
        <f>DATE(YEAR(tblEnriched[[#This Row],[Date]]),MONTH(tblEnriched[[#This Row],[Date]]),1)</f>
        <v>45047</v>
      </c>
    </row>
    <row r="978" spans="1:18">
      <c r="A978" t="s">
        <v>3550</v>
      </c>
      <c r="B978" s="10">
        <v>45386</v>
      </c>
      <c r="C978" t="s">
        <v>3551</v>
      </c>
      <c r="D978" t="s">
        <v>38</v>
      </c>
      <c r="E978">
        <v>3</v>
      </c>
      <c r="F978" s="4">
        <v>589.29999999999995</v>
      </c>
      <c r="G978" t="s">
        <v>40</v>
      </c>
      <c r="H978" t="s">
        <v>49</v>
      </c>
      <c r="I978">
        <v>6</v>
      </c>
      <c r="J978" t="s">
        <v>87</v>
      </c>
      <c r="K978" t="s">
        <v>35</v>
      </c>
      <c r="L978" s="4">
        <v>1767.9</v>
      </c>
      <c r="M978" t="str">
        <f>VLOOKUP(D978,tblProduct[],2,FALSE)</f>
        <v>Electronics</v>
      </c>
      <c r="N978" t="str">
        <f>VLOOKUP(D978,tblProduct[],3,FALSE)</f>
        <v>Medium</v>
      </c>
      <c r="O978">
        <f>VLOOKUP(D978,tblProduct[],4,FALSE)</f>
        <v>100000</v>
      </c>
      <c r="P978">
        <v>1767.9</v>
      </c>
      <c r="Q978" s="19" t="str">
        <f t="shared" si="15"/>
        <v>Apr-2024</v>
      </c>
      <c r="R978" s="26">
        <f>DATE(YEAR(tblEnriched[[#This Row],[Date]]),MONTH(tblEnriched[[#This Row],[Date]]),1)</f>
        <v>45383</v>
      </c>
    </row>
    <row r="979" spans="1:18">
      <c r="A979" t="s">
        <v>3553</v>
      </c>
      <c r="B979" s="10">
        <v>44954</v>
      </c>
      <c r="C979" t="s">
        <v>3554</v>
      </c>
      <c r="D979" t="s">
        <v>47</v>
      </c>
      <c r="E979">
        <v>4</v>
      </c>
      <c r="F979" s="4">
        <v>649.47</v>
      </c>
      <c r="G979" t="s">
        <v>71</v>
      </c>
      <c r="H979" t="s">
        <v>95</v>
      </c>
      <c r="I979">
        <v>8</v>
      </c>
      <c r="J979" t="s">
        <v>27</v>
      </c>
      <c r="K979" t="s">
        <v>82</v>
      </c>
      <c r="L979" s="4">
        <v>2597.88</v>
      </c>
      <c r="M979" t="str">
        <f>VLOOKUP(D979,tblProduct[],2,FALSE)</f>
        <v>Furniture</v>
      </c>
      <c r="N979" t="str">
        <f>VLOOKUP(D979,tblProduct[],3,FALSE)</f>
        <v>Medium</v>
      </c>
      <c r="O979">
        <f>VLOOKUP(D979,tblProduct[],4,FALSE)</f>
        <v>70000</v>
      </c>
      <c r="P979">
        <v>2597.88</v>
      </c>
      <c r="Q979" s="19" t="str">
        <f t="shared" si="15"/>
        <v>Jan-2023</v>
      </c>
      <c r="R979" s="26">
        <f>DATE(YEAR(tblEnriched[[#This Row],[Date]]),MONTH(tblEnriched[[#This Row],[Date]]),1)</f>
        <v>44927</v>
      </c>
    </row>
    <row r="980" spans="1:18">
      <c r="A980" t="s">
        <v>3557</v>
      </c>
      <c r="B980" s="10">
        <v>45468</v>
      </c>
      <c r="C980" t="s">
        <v>3558</v>
      </c>
      <c r="D980" t="s">
        <v>54</v>
      </c>
      <c r="E980">
        <v>4</v>
      </c>
      <c r="F980" s="4">
        <v>107.49</v>
      </c>
      <c r="G980" t="s">
        <v>71</v>
      </c>
      <c r="H980" t="s">
        <v>56</v>
      </c>
      <c r="I980">
        <v>5</v>
      </c>
      <c r="K980" t="s">
        <v>82</v>
      </c>
      <c r="L980" s="4">
        <v>429.96</v>
      </c>
      <c r="M980" t="str">
        <f>VLOOKUP(D980,tblProduct[],2,FALSE)</f>
        <v>Electronics</v>
      </c>
      <c r="N980" t="str">
        <f>VLOOKUP(D980,tblProduct[],3,FALSE)</f>
        <v>Medium</v>
      </c>
      <c r="O980">
        <f>VLOOKUP(D980,tblProduct[],4,FALSE)</f>
        <v>80000</v>
      </c>
      <c r="P980">
        <v>429.96</v>
      </c>
      <c r="Q980" s="19" t="str">
        <f t="shared" si="15"/>
        <v>Jun-2024</v>
      </c>
      <c r="R980" s="26">
        <f>DATE(YEAR(tblEnriched[[#This Row],[Date]]),MONTH(tblEnriched[[#This Row],[Date]]),1)</f>
        <v>45444</v>
      </c>
    </row>
    <row r="981" spans="1:18">
      <c r="A981" t="s">
        <v>3560</v>
      </c>
      <c r="B981" s="10">
        <v>45077</v>
      </c>
      <c r="C981" t="s">
        <v>3561</v>
      </c>
      <c r="D981" t="s">
        <v>22</v>
      </c>
      <c r="E981">
        <v>3</v>
      </c>
      <c r="F981" s="4">
        <v>669.06</v>
      </c>
      <c r="G981" t="s">
        <v>71</v>
      </c>
      <c r="H981" t="s">
        <v>56</v>
      </c>
      <c r="I981">
        <v>7</v>
      </c>
      <c r="J981" t="s">
        <v>27</v>
      </c>
      <c r="K981" t="s">
        <v>51</v>
      </c>
      <c r="L981" s="4">
        <v>2007.18</v>
      </c>
      <c r="M981" t="str">
        <f>VLOOKUP(D981,tblProduct[],2,FALSE)</f>
        <v>Electronics</v>
      </c>
      <c r="N981" t="str">
        <f>VLOOKUP(D981,tblProduct[],3,FALSE)</f>
        <v>Medium</v>
      </c>
      <c r="O981">
        <f>VLOOKUP(D981,tblProduct[],4,FALSE)</f>
        <v>90000</v>
      </c>
      <c r="P981">
        <v>2007.18</v>
      </c>
      <c r="Q981" s="19" t="str">
        <f t="shared" si="15"/>
        <v>May-2023</v>
      </c>
      <c r="R981" s="26">
        <f>DATE(YEAR(tblEnriched[[#This Row],[Date]]),MONTH(tblEnriched[[#This Row],[Date]]),1)</f>
        <v>45047</v>
      </c>
    </row>
    <row r="982" spans="1:18">
      <c r="A982" t="s">
        <v>3563</v>
      </c>
      <c r="B982" s="10">
        <v>45213</v>
      </c>
      <c r="C982" t="s">
        <v>3564</v>
      </c>
      <c r="D982" t="s">
        <v>47</v>
      </c>
      <c r="E982">
        <v>3</v>
      </c>
      <c r="F982" s="4">
        <v>69.650000000000006</v>
      </c>
      <c r="G982" t="s">
        <v>71</v>
      </c>
      <c r="H982" t="s">
        <v>56</v>
      </c>
      <c r="I982">
        <v>7</v>
      </c>
      <c r="J982" t="s">
        <v>87</v>
      </c>
      <c r="K982" t="s">
        <v>28</v>
      </c>
      <c r="L982" s="4">
        <v>208.95</v>
      </c>
      <c r="M982" t="str">
        <f>VLOOKUP(D982,tblProduct[],2,FALSE)</f>
        <v>Furniture</v>
      </c>
      <c r="N982" t="str">
        <f>VLOOKUP(D982,tblProduct[],3,FALSE)</f>
        <v>Medium</v>
      </c>
      <c r="O982">
        <f>VLOOKUP(D982,tblProduct[],4,FALSE)</f>
        <v>70000</v>
      </c>
      <c r="P982">
        <v>208.95</v>
      </c>
      <c r="Q982" s="19" t="str">
        <f t="shared" si="15"/>
        <v>Oct-2023</v>
      </c>
      <c r="R982" s="26">
        <f>DATE(YEAR(tblEnriched[[#This Row],[Date]]),MONTH(tblEnriched[[#This Row],[Date]]),1)</f>
        <v>45200</v>
      </c>
    </row>
    <row r="983" spans="1:18">
      <c r="A983" t="s">
        <v>3567</v>
      </c>
      <c r="B983" s="10">
        <v>45256</v>
      </c>
      <c r="C983" t="s">
        <v>3568</v>
      </c>
      <c r="D983" t="s">
        <v>31</v>
      </c>
      <c r="E983">
        <v>4</v>
      </c>
      <c r="F983" s="4">
        <v>136.83000000000001</v>
      </c>
      <c r="G983" t="s">
        <v>24</v>
      </c>
      <c r="H983" t="s">
        <v>95</v>
      </c>
      <c r="I983">
        <v>8</v>
      </c>
      <c r="J983" t="s">
        <v>27</v>
      </c>
      <c r="K983" t="s">
        <v>44</v>
      </c>
      <c r="L983" s="4">
        <v>547.32000000000005</v>
      </c>
      <c r="M983" t="str">
        <f>VLOOKUP(D983,tblProduct[],2,FALSE)</f>
        <v>Electronics</v>
      </c>
      <c r="N983" t="str">
        <f>VLOOKUP(D983,tblProduct[],3,FALSE)</f>
        <v>High</v>
      </c>
      <c r="O983">
        <f>VLOOKUP(D983,tblProduct[],4,FALSE)</f>
        <v>120000</v>
      </c>
      <c r="P983">
        <v>547.32000000000005</v>
      </c>
      <c r="Q983" s="19" t="str">
        <f t="shared" si="15"/>
        <v>Nov-2023</v>
      </c>
      <c r="R983" s="26">
        <f>DATE(YEAR(tblEnriched[[#This Row],[Date]]),MONTH(tblEnriched[[#This Row],[Date]]),1)</f>
        <v>45231</v>
      </c>
    </row>
    <row r="984" spans="1:18">
      <c r="A984" t="s">
        <v>3571</v>
      </c>
      <c r="B984" s="10">
        <v>45541</v>
      </c>
      <c r="C984" t="s">
        <v>3572</v>
      </c>
      <c r="D984" t="s">
        <v>22</v>
      </c>
      <c r="E984">
        <v>1</v>
      </c>
      <c r="F984" s="4">
        <v>304.11</v>
      </c>
      <c r="G984" t="s">
        <v>66</v>
      </c>
      <c r="H984" t="s">
        <v>25</v>
      </c>
      <c r="I984">
        <v>2</v>
      </c>
      <c r="J984" t="s">
        <v>27</v>
      </c>
      <c r="K984" t="s">
        <v>35</v>
      </c>
      <c r="L984" s="4">
        <v>304.11</v>
      </c>
      <c r="M984" t="str">
        <f>VLOOKUP(D984,tblProduct[],2,FALSE)</f>
        <v>Electronics</v>
      </c>
      <c r="N984" t="str">
        <f>VLOOKUP(D984,tblProduct[],3,FALSE)</f>
        <v>Medium</v>
      </c>
      <c r="O984">
        <f>VLOOKUP(D984,tblProduct[],4,FALSE)</f>
        <v>90000</v>
      </c>
      <c r="P984">
        <v>304.11</v>
      </c>
      <c r="Q984" s="19" t="str">
        <f t="shared" si="15"/>
        <v>Sep-2024</v>
      </c>
      <c r="R984" s="26">
        <f>DATE(YEAR(tblEnriched[[#This Row],[Date]]),MONTH(tblEnriched[[#This Row],[Date]]),1)</f>
        <v>45536</v>
      </c>
    </row>
    <row r="985" spans="1:18">
      <c r="A985" t="s">
        <v>3574</v>
      </c>
      <c r="B985" s="10">
        <v>45620</v>
      </c>
      <c r="C985" t="s">
        <v>3575</v>
      </c>
      <c r="D985" t="s">
        <v>22</v>
      </c>
      <c r="E985">
        <v>4</v>
      </c>
      <c r="F985" s="4">
        <v>296.27999999999997</v>
      </c>
      <c r="G985" t="s">
        <v>66</v>
      </c>
      <c r="H985" t="s">
        <v>25</v>
      </c>
      <c r="I985">
        <v>5</v>
      </c>
      <c r="J985" t="s">
        <v>27</v>
      </c>
      <c r="K985" t="s">
        <v>44</v>
      </c>
      <c r="L985" s="4">
        <v>1185.1199999999999</v>
      </c>
      <c r="M985" t="str">
        <f>VLOOKUP(D985,tblProduct[],2,FALSE)</f>
        <v>Electronics</v>
      </c>
      <c r="N985" t="str">
        <f>VLOOKUP(D985,tblProduct[],3,FALSE)</f>
        <v>Medium</v>
      </c>
      <c r="O985">
        <f>VLOOKUP(D985,tblProduct[],4,FALSE)</f>
        <v>90000</v>
      </c>
      <c r="P985">
        <v>1185.1199999999999</v>
      </c>
      <c r="Q985" s="19" t="str">
        <f t="shared" si="15"/>
        <v>Nov-2024</v>
      </c>
      <c r="R985" s="26">
        <f>DATE(YEAR(tblEnriched[[#This Row],[Date]]),MONTH(tblEnriched[[#This Row],[Date]]),1)</f>
        <v>45597</v>
      </c>
    </row>
    <row r="986" spans="1:18">
      <c r="A986" t="s">
        <v>3578</v>
      </c>
      <c r="B986" s="10">
        <v>45716</v>
      </c>
      <c r="C986" t="s">
        <v>3579</v>
      </c>
      <c r="D986" t="s">
        <v>79</v>
      </c>
      <c r="E986">
        <v>1</v>
      </c>
      <c r="F986" s="4">
        <v>77.64</v>
      </c>
      <c r="G986" t="s">
        <v>40</v>
      </c>
      <c r="H986" t="s">
        <v>25</v>
      </c>
      <c r="I986">
        <v>1</v>
      </c>
      <c r="J986" t="s">
        <v>43</v>
      </c>
      <c r="K986" t="s">
        <v>51</v>
      </c>
      <c r="L986" s="4">
        <v>77.64</v>
      </c>
      <c r="M986" t="str">
        <f>VLOOKUP(D986,tblProduct[],2,FALSE)</f>
        <v>Furniture</v>
      </c>
      <c r="N986" t="str">
        <f>VLOOKUP(D986,tblProduct[],3,FALSE)</f>
        <v>High</v>
      </c>
      <c r="O986">
        <f>VLOOKUP(D986,tblProduct[],4,FALSE)</f>
        <v>75000</v>
      </c>
      <c r="P986">
        <v>77.64</v>
      </c>
      <c r="Q986" s="19" t="str">
        <f t="shared" si="15"/>
        <v>Feb-2025</v>
      </c>
      <c r="R986" s="26">
        <f>DATE(YEAR(tblEnriched[[#This Row],[Date]]),MONTH(tblEnriched[[#This Row],[Date]]),1)</f>
        <v>45689</v>
      </c>
    </row>
    <row r="987" spans="1:18">
      <c r="A987" t="s">
        <v>3581</v>
      </c>
      <c r="B987" s="10">
        <v>45493</v>
      </c>
      <c r="C987" t="s">
        <v>3582</v>
      </c>
      <c r="D987" t="s">
        <v>79</v>
      </c>
      <c r="E987">
        <v>1</v>
      </c>
      <c r="F987" s="4">
        <v>243.71</v>
      </c>
      <c r="G987" t="s">
        <v>66</v>
      </c>
      <c r="H987" t="s">
        <v>56</v>
      </c>
      <c r="I987">
        <v>6</v>
      </c>
      <c r="J987" t="s">
        <v>27</v>
      </c>
      <c r="K987" t="s">
        <v>82</v>
      </c>
      <c r="L987" s="4">
        <v>243.71</v>
      </c>
      <c r="M987" t="str">
        <f>VLOOKUP(D987,tblProduct[],2,FALSE)</f>
        <v>Furniture</v>
      </c>
      <c r="N987" t="str">
        <f>VLOOKUP(D987,tblProduct[],3,FALSE)</f>
        <v>High</v>
      </c>
      <c r="O987">
        <f>VLOOKUP(D987,tblProduct[],4,FALSE)</f>
        <v>75000</v>
      </c>
      <c r="P987">
        <v>243.71</v>
      </c>
      <c r="Q987" s="19" t="str">
        <f t="shared" si="15"/>
        <v>Jul-2024</v>
      </c>
      <c r="R987" s="26">
        <f>DATE(YEAR(tblEnriched[[#This Row],[Date]]),MONTH(tblEnriched[[#This Row],[Date]]),1)</f>
        <v>45474</v>
      </c>
    </row>
    <row r="988" spans="1:18">
      <c r="A988" t="s">
        <v>3584</v>
      </c>
      <c r="B988" s="10">
        <v>45542</v>
      </c>
      <c r="C988" t="s">
        <v>3585</v>
      </c>
      <c r="D988" t="s">
        <v>64</v>
      </c>
      <c r="E988">
        <v>4</v>
      </c>
      <c r="F988" s="4">
        <v>644.96</v>
      </c>
      <c r="G988" t="s">
        <v>40</v>
      </c>
      <c r="H988" t="s">
        <v>95</v>
      </c>
      <c r="I988">
        <v>7</v>
      </c>
      <c r="J988" t="s">
        <v>43</v>
      </c>
      <c r="K988" t="s">
        <v>44</v>
      </c>
      <c r="L988" s="4">
        <v>2579.84</v>
      </c>
      <c r="M988" t="str">
        <f>VLOOKUP(D988,tblProduct[],2,FALSE)</f>
        <v>Electronics</v>
      </c>
      <c r="N988" t="str">
        <f>VLOOKUP(D988,tblProduct[],3,FALSE)</f>
        <v>High</v>
      </c>
      <c r="O988">
        <f>VLOOKUP(D988,tblProduct[],4,FALSE)</f>
        <v>150000</v>
      </c>
      <c r="P988">
        <v>2579.84</v>
      </c>
      <c r="Q988" s="19" t="str">
        <f t="shared" si="15"/>
        <v>Sep-2024</v>
      </c>
      <c r="R988" s="26">
        <f>DATE(YEAR(tblEnriched[[#This Row],[Date]]),MONTH(tblEnriched[[#This Row],[Date]]),1)</f>
        <v>45536</v>
      </c>
    </row>
    <row r="989" spans="1:18">
      <c r="A989" t="s">
        <v>3587</v>
      </c>
      <c r="B989" s="10">
        <v>45813</v>
      </c>
      <c r="C989" t="s">
        <v>3588</v>
      </c>
      <c r="D989" t="s">
        <v>31</v>
      </c>
      <c r="E989">
        <v>5</v>
      </c>
      <c r="F989" s="4">
        <v>283.73</v>
      </c>
      <c r="G989" t="s">
        <v>66</v>
      </c>
      <c r="H989" t="s">
        <v>95</v>
      </c>
      <c r="I989">
        <v>8</v>
      </c>
      <c r="J989" t="s">
        <v>43</v>
      </c>
      <c r="K989" t="s">
        <v>28</v>
      </c>
      <c r="L989" s="4">
        <v>1418.65</v>
      </c>
      <c r="M989" t="str">
        <f>VLOOKUP(D989,tblProduct[],2,FALSE)</f>
        <v>Electronics</v>
      </c>
      <c r="N989" t="str">
        <f>VLOOKUP(D989,tblProduct[],3,FALSE)</f>
        <v>High</v>
      </c>
      <c r="O989">
        <f>VLOOKUP(D989,tblProduct[],4,FALSE)</f>
        <v>120000</v>
      </c>
      <c r="P989">
        <v>1418.65</v>
      </c>
      <c r="Q989" s="19" t="str">
        <f t="shared" si="15"/>
        <v>Jun-2025</v>
      </c>
      <c r="R989" s="26">
        <f>DATE(YEAR(tblEnriched[[#This Row],[Date]]),MONTH(tblEnriched[[#This Row],[Date]]),1)</f>
        <v>45809</v>
      </c>
    </row>
    <row r="990" spans="1:18">
      <c r="A990" t="s">
        <v>3590</v>
      </c>
      <c r="B990" s="10">
        <v>45692</v>
      </c>
      <c r="C990" t="s">
        <v>3591</v>
      </c>
      <c r="D990" t="s">
        <v>79</v>
      </c>
      <c r="E990">
        <v>2</v>
      </c>
      <c r="F990" s="4">
        <v>629.55999999999995</v>
      </c>
      <c r="G990" t="s">
        <v>66</v>
      </c>
      <c r="H990" t="s">
        <v>41</v>
      </c>
      <c r="I990">
        <v>5</v>
      </c>
      <c r="J990" t="s">
        <v>87</v>
      </c>
      <c r="K990" t="s">
        <v>28</v>
      </c>
      <c r="L990" s="4">
        <v>1259.1199999999999</v>
      </c>
      <c r="M990" t="str">
        <f>VLOOKUP(D990,tblProduct[],2,FALSE)</f>
        <v>Furniture</v>
      </c>
      <c r="N990" t="str">
        <f>VLOOKUP(D990,tblProduct[],3,FALSE)</f>
        <v>High</v>
      </c>
      <c r="O990">
        <f>VLOOKUP(D990,tblProduct[],4,FALSE)</f>
        <v>75000</v>
      </c>
      <c r="P990">
        <v>1259.1199999999999</v>
      </c>
      <c r="Q990" s="19" t="str">
        <f t="shared" si="15"/>
        <v>Feb-2025</v>
      </c>
      <c r="R990" s="26">
        <f>DATE(YEAR(tblEnriched[[#This Row],[Date]]),MONTH(tblEnriched[[#This Row],[Date]]),1)</f>
        <v>45689</v>
      </c>
    </row>
    <row r="991" spans="1:18">
      <c r="A991" t="s">
        <v>3593</v>
      </c>
      <c r="B991" s="10">
        <v>45008</v>
      </c>
      <c r="C991" t="s">
        <v>3594</v>
      </c>
      <c r="D991" t="s">
        <v>64</v>
      </c>
      <c r="E991">
        <v>4</v>
      </c>
      <c r="F991" s="4">
        <v>246.11</v>
      </c>
      <c r="G991" t="s">
        <v>40</v>
      </c>
      <c r="H991" t="s">
        <v>95</v>
      </c>
      <c r="I991">
        <v>4</v>
      </c>
      <c r="J991" t="s">
        <v>27</v>
      </c>
      <c r="K991" t="s">
        <v>28</v>
      </c>
      <c r="L991" s="4">
        <v>984.44</v>
      </c>
      <c r="M991" t="str">
        <f>VLOOKUP(D991,tblProduct[],2,FALSE)</f>
        <v>Electronics</v>
      </c>
      <c r="N991" t="str">
        <f>VLOOKUP(D991,tblProduct[],3,FALSE)</f>
        <v>High</v>
      </c>
      <c r="O991">
        <f>VLOOKUP(D991,tblProduct[],4,FALSE)</f>
        <v>150000</v>
      </c>
      <c r="P991">
        <v>984.44</v>
      </c>
      <c r="Q991" s="19" t="str">
        <f t="shared" si="15"/>
        <v>Mar-2023</v>
      </c>
      <c r="R991" s="26">
        <f>DATE(YEAR(tblEnriched[[#This Row],[Date]]),MONTH(tblEnriched[[#This Row],[Date]]),1)</f>
        <v>44986</v>
      </c>
    </row>
    <row r="992" spans="1:18">
      <c r="A992" t="s">
        <v>3597</v>
      </c>
      <c r="B992" s="10">
        <v>45249</v>
      </c>
      <c r="C992" t="s">
        <v>3598</v>
      </c>
      <c r="D992" t="s">
        <v>31</v>
      </c>
      <c r="E992">
        <v>2</v>
      </c>
      <c r="F992" s="4">
        <v>418.26</v>
      </c>
      <c r="G992" t="s">
        <v>24</v>
      </c>
      <c r="H992" t="s">
        <v>95</v>
      </c>
      <c r="I992">
        <v>2</v>
      </c>
      <c r="J992" t="s">
        <v>27</v>
      </c>
      <c r="K992" t="s">
        <v>82</v>
      </c>
      <c r="L992" s="4">
        <v>836.52</v>
      </c>
      <c r="M992" t="str">
        <f>VLOOKUP(D992,tblProduct[],2,FALSE)</f>
        <v>Electronics</v>
      </c>
      <c r="N992" t="str">
        <f>VLOOKUP(D992,tblProduct[],3,FALSE)</f>
        <v>High</v>
      </c>
      <c r="O992">
        <f>VLOOKUP(D992,tblProduct[],4,FALSE)</f>
        <v>120000</v>
      </c>
      <c r="P992">
        <v>836.52</v>
      </c>
      <c r="Q992" s="19" t="str">
        <f t="shared" si="15"/>
        <v>Nov-2023</v>
      </c>
      <c r="R992" s="26">
        <f>DATE(YEAR(tblEnriched[[#This Row],[Date]]),MONTH(tblEnriched[[#This Row],[Date]]),1)</f>
        <v>45231</v>
      </c>
    </row>
    <row r="993" spans="1:18">
      <c r="A993" t="s">
        <v>3601</v>
      </c>
      <c r="B993" s="10">
        <v>45421</v>
      </c>
      <c r="C993" t="s">
        <v>3602</v>
      </c>
      <c r="D993" t="s">
        <v>79</v>
      </c>
      <c r="E993">
        <v>5</v>
      </c>
      <c r="F993" s="4">
        <v>127.18</v>
      </c>
      <c r="G993" t="s">
        <v>24</v>
      </c>
      <c r="H993" t="s">
        <v>41</v>
      </c>
      <c r="I993">
        <v>10</v>
      </c>
      <c r="J993" t="s">
        <v>43</v>
      </c>
      <c r="K993" t="s">
        <v>82</v>
      </c>
      <c r="L993" s="4">
        <v>635.90000000000009</v>
      </c>
      <c r="M993" t="str">
        <f>VLOOKUP(D993,tblProduct[],2,FALSE)</f>
        <v>Furniture</v>
      </c>
      <c r="N993" t="str">
        <f>VLOOKUP(D993,tblProduct[],3,FALSE)</f>
        <v>High</v>
      </c>
      <c r="O993">
        <f>VLOOKUP(D993,tblProduct[],4,FALSE)</f>
        <v>75000</v>
      </c>
      <c r="P993">
        <v>635.90000000000009</v>
      </c>
      <c r="Q993" s="19" t="str">
        <f t="shared" si="15"/>
        <v>May-2024</v>
      </c>
      <c r="R993" s="26">
        <f>DATE(YEAR(tblEnriched[[#This Row],[Date]]),MONTH(tblEnriched[[#This Row],[Date]]),1)</f>
        <v>45413</v>
      </c>
    </row>
    <row r="994" spans="1:18">
      <c r="A994" t="s">
        <v>3604</v>
      </c>
      <c r="B994" s="10">
        <v>45531</v>
      </c>
      <c r="C994" t="s">
        <v>3605</v>
      </c>
      <c r="D994" t="s">
        <v>54</v>
      </c>
      <c r="E994">
        <v>3</v>
      </c>
      <c r="F994" s="4">
        <v>586.21</v>
      </c>
      <c r="G994" t="s">
        <v>66</v>
      </c>
      <c r="H994" t="s">
        <v>95</v>
      </c>
      <c r="I994">
        <v>4</v>
      </c>
      <c r="J994" t="s">
        <v>87</v>
      </c>
      <c r="K994" t="s">
        <v>35</v>
      </c>
      <c r="L994" s="4">
        <v>1758.63</v>
      </c>
      <c r="M994" t="str">
        <f>VLOOKUP(D994,tblProduct[],2,FALSE)</f>
        <v>Electronics</v>
      </c>
      <c r="N994" t="str">
        <f>VLOOKUP(D994,tblProduct[],3,FALSE)</f>
        <v>Medium</v>
      </c>
      <c r="O994">
        <f>VLOOKUP(D994,tblProduct[],4,FALSE)</f>
        <v>80000</v>
      </c>
      <c r="P994">
        <v>1758.63</v>
      </c>
      <c r="Q994" s="19" t="str">
        <f t="shared" si="15"/>
        <v>Aug-2024</v>
      </c>
      <c r="R994" s="26">
        <f>DATE(YEAR(tblEnriched[[#This Row],[Date]]),MONTH(tblEnriched[[#This Row],[Date]]),1)</f>
        <v>45505</v>
      </c>
    </row>
    <row r="995" spans="1:18">
      <c r="A995" t="s">
        <v>3607</v>
      </c>
      <c r="B995" s="10">
        <v>45388</v>
      </c>
      <c r="C995" t="s">
        <v>3608</v>
      </c>
      <c r="D995" t="s">
        <v>22</v>
      </c>
      <c r="E995">
        <v>3</v>
      </c>
      <c r="F995" s="4">
        <v>267.45</v>
      </c>
      <c r="G995" t="s">
        <v>66</v>
      </c>
      <c r="H995" t="s">
        <v>56</v>
      </c>
      <c r="I995">
        <v>5</v>
      </c>
      <c r="J995" t="s">
        <v>87</v>
      </c>
      <c r="K995" t="s">
        <v>28</v>
      </c>
      <c r="L995" s="4">
        <v>802.34999999999991</v>
      </c>
      <c r="M995" t="str">
        <f>VLOOKUP(D995,tblProduct[],2,FALSE)</f>
        <v>Electronics</v>
      </c>
      <c r="N995" t="str">
        <f>VLOOKUP(D995,tblProduct[],3,FALSE)</f>
        <v>Medium</v>
      </c>
      <c r="O995">
        <f>VLOOKUP(D995,tblProduct[],4,FALSE)</f>
        <v>90000</v>
      </c>
      <c r="P995">
        <v>802.34999999999991</v>
      </c>
      <c r="Q995" s="19" t="str">
        <f t="shared" si="15"/>
        <v>Apr-2024</v>
      </c>
      <c r="R995" s="26">
        <f>DATE(YEAR(tblEnriched[[#This Row],[Date]]),MONTH(tblEnriched[[#This Row],[Date]]),1)</f>
        <v>45383</v>
      </c>
    </row>
    <row r="996" spans="1:18">
      <c r="A996" t="s">
        <v>3611</v>
      </c>
      <c r="B996" s="10">
        <v>45470</v>
      </c>
      <c r="C996" t="s">
        <v>3612</v>
      </c>
      <c r="D996" t="s">
        <v>38</v>
      </c>
      <c r="E996">
        <v>4</v>
      </c>
      <c r="F996" s="4">
        <v>615.65</v>
      </c>
      <c r="G996" t="s">
        <v>24</v>
      </c>
      <c r="H996" t="s">
        <v>56</v>
      </c>
      <c r="I996">
        <v>9</v>
      </c>
      <c r="J996" t="s">
        <v>87</v>
      </c>
      <c r="K996" t="s">
        <v>82</v>
      </c>
      <c r="L996" s="4">
        <v>2462.6</v>
      </c>
      <c r="M996" t="str">
        <f>VLOOKUP(D996,tblProduct[],2,FALSE)</f>
        <v>Electronics</v>
      </c>
      <c r="N996" t="str">
        <f>VLOOKUP(D996,tblProduct[],3,FALSE)</f>
        <v>Medium</v>
      </c>
      <c r="O996">
        <f>VLOOKUP(D996,tblProduct[],4,FALSE)</f>
        <v>100000</v>
      </c>
      <c r="P996">
        <v>2462.6</v>
      </c>
      <c r="Q996" s="19" t="str">
        <f t="shared" si="15"/>
        <v>Jun-2024</v>
      </c>
      <c r="R996" s="26">
        <f>DATE(YEAR(tblEnriched[[#This Row],[Date]]),MONTH(tblEnriched[[#This Row],[Date]]),1)</f>
        <v>45444</v>
      </c>
    </row>
    <row r="997" spans="1:18">
      <c r="A997" t="s">
        <v>3614</v>
      </c>
      <c r="B997" s="10">
        <v>45248</v>
      </c>
      <c r="C997" t="s">
        <v>3615</v>
      </c>
      <c r="D997" t="s">
        <v>22</v>
      </c>
      <c r="E997">
        <v>2</v>
      </c>
      <c r="F997" s="4">
        <v>113.29</v>
      </c>
      <c r="G997" t="s">
        <v>71</v>
      </c>
      <c r="H997" t="s">
        <v>95</v>
      </c>
      <c r="I997">
        <v>5</v>
      </c>
      <c r="J997" t="s">
        <v>27</v>
      </c>
      <c r="K997" t="s">
        <v>51</v>
      </c>
      <c r="L997" s="4">
        <v>226.58</v>
      </c>
      <c r="M997" t="str">
        <f>VLOOKUP(D997,tblProduct[],2,FALSE)</f>
        <v>Electronics</v>
      </c>
      <c r="N997" t="str">
        <f>VLOOKUP(D997,tblProduct[],3,FALSE)</f>
        <v>Medium</v>
      </c>
      <c r="O997">
        <f>VLOOKUP(D997,tblProduct[],4,FALSE)</f>
        <v>90000</v>
      </c>
      <c r="P997">
        <v>226.58</v>
      </c>
      <c r="Q997" s="19" t="str">
        <f t="shared" si="15"/>
        <v>Nov-2023</v>
      </c>
      <c r="R997" s="26">
        <f>DATE(YEAR(tblEnriched[[#This Row],[Date]]),MONTH(tblEnriched[[#This Row],[Date]]),1)</f>
        <v>45231</v>
      </c>
    </row>
    <row r="998" spans="1:18">
      <c r="A998" t="s">
        <v>3617</v>
      </c>
      <c r="B998" s="10">
        <v>45410</v>
      </c>
      <c r="C998" t="s">
        <v>3618</v>
      </c>
      <c r="D998" t="s">
        <v>22</v>
      </c>
      <c r="E998">
        <v>4</v>
      </c>
      <c r="F998" s="4">
        <v>473.86</v>
      </c>
      <c r="G998" t="s">
        <v>24</v>
      </c>
      <c r="H998" t="s">
        <v>56</v>
      </c>
      <c r="I998">
        <v>7</v>
      </c>
      <c r="J998" t="s">
        <v>27</v>
      </c>
      <c r="K998" t="s">
        <v>51</v>
      </c>
      <c r="L998" s="4">
        <v>1895.44</v>
      </c>
      <c r="M998" t="str">
        <f>VLOOKUP(D998,tblProduct[],2,FALSE)</f>
        <v>Electronics</v>
      </c>
      <c r="N998" t="str">
        <f>VLOOKUP(D998,tblProduct[],3,FALSE)</f>
        <v>Medium</v>
      </c>
      <c r="O998">
        <f>VLOOKUP(D998,tblProduct[],4,FALSE)</f>
        <v>90000</v>
      </c>
      <c r="P998">
        <v>1895.44</v>
      </c>
      <c r="Q998" s="19" t="str">
        <f t="shared" si="15"/>
        <v>Apr-2024</v>
      </c>
      <c r="R998" s="26">
        <f>DATE(YEAR(tblEnriched[[#This Row],[Date]]),MONTH(tblEnriched[[#This Row],[Date]]),1)</f>
        <v>45383</v>
      </c>
    </row>
    <row r="999" spans="1:18">
      <c r="A999" t="s">
        <v>3620</v>
      </c>
      <c r="B999" s="10">
        <v>45257</v>
      </c>
      <c r="C999" t="s">
        <v>3621</v>
      </c>
      <c r="D999" t="s">
        <v>64</v>
      </c>
      <c r="E999">
        <v>3</v>
      </c>
      <c r="F999" s="4">
        <v>444.75</v>
      </c>
      <c r="G999" t="s">
        <v>71</v>
      </c>
      <c r="H999" t="s">
        <v>56</v>
      </c>
      <c r="I999">
        <v>6</v>
      </c>
      <c r="J999" t="s">
        <v>27</v>
      </c>
      <c r="K999" t="s">
        <v>51</v>
      </c>
      <c r="L999" s="4">
        <v>1334.25</v>
      </c>
      <c r="M999" t="str">
        <f>VLOOKUP(D999,tblProduct[],2,FALSE)</f>
        <v>Electronics</v>
      </c>
      <c r="N999" t="str">
        <f>VLOOKUP(D999,tblProduct[],3,FALSE)</f>
        <v>High</v>
      </c>
      <c r="O999">
        <f>VLOOKUP(D999,tblProduct[],4,FALSE)</f>
        <v>150000</v>
      </c>
      <c r="P999">
        <v>1334.25</v>
      </c>
      <c r="Q999" s="19" t="str">
        <f t="shared" si="15"/>
        <v>Nov-2023</v>
      </c>
      <c r="R999" s="26">
        <f>DATE(YEAR(tblEnriched[[#This Row],[Date]]),MONTH(tblEnriched[[#This Row],[Date]]),1)</f>
        <v>45231</v>
      </c>
    </row>
    <row r="1000" spans="1:18">
      <c r="A1000" t="s">
        <v>3623</v>
      </c>
      <c r="B1000" s="10">
        <v>45065</v>
      </c>
      <c r="C1000" t="s">
        <v>3624</v>
      </c>
      <c r="D1000" t="s">
        <v>31</v>
      </c>
      <c r="E1000">
        <v>2</v>
      </c>
      <c r="F1000" s="4">
        <v>183.67</v>
      </c>
      <c r="G1000" t="s">
        <v>24</v>
      </c>
      <c r="H1000" t="s">
        <v>41</v>
      </c>
      <c r="I1000">
        <v>6</v>
      </c>
      <c r="J1000" t="s">
        <v>27</v>
      </c>
      <c r="K1000" t="s">
        <v>82</v>
      </c>
      <c r="L1000" s="4">
        <v>367.34</v>
      </c>
      <c r="M1000" t="str">
        <f>VLOOKUP(D1000,tblProduct[],2,FALSE)</f>
        <v>Electronics</v>
      </c>
      <c r="N1000" t="str">
        <f>VLOOKUP(D1000,tblProduct[],3,FALSE)</f>
        <v>High</v>
      </c>
      <c r="O1000">
        <f>VLOOKUP(D1000,tblProduct[],4,FALSE)</f>
        <v>120000</v>
      </c>
      <c r="P1000">
        <v>367.34</v>
      </c>
      <c r="Q1000" s="19" t="str">
        <f t="shared" si="15"/>
        <v>May-2023</v>
      </c>
      <c r="R1000" s="26">
        <f>DATE(YEAR(tblEnriched[[#This Row],[Date]]),MONTH(tblEnriched[[#This Row],[Date]]),1)</f>
        <v>45047</v>
      </c>
    </row>
    <row r="1001" spans="1:18">
      <c r="A1001" t="s">
        <v>3626</v>
      </c>
      <c r="B1001" s="10">
        <v>45284</v>
      </c>
      <c r="C1001" t="s">
        <v>3627</v>
      </c>
      <c r="D1001" t="s">
        <v>54</v>
      </c>
      <c r="E1001">
        <v>1</v>
      </c>
      <c r="F1001" s="4">
        <v>483.38</v>
      </c>
      <c r="G1001" t="s">
        <v>71</v>
      </c>
      <c r="H1001" t="s">
        <v>95</v>
      </c>
      <c r="I1001">
        <v>6</v>
      </c>
      <c r="J1001" t="s">
        <v>43</v>
      </c>
      <c r="K1001" t="s">
        <v>82</v>
      </c>
      <c r="L1001" s="4">
        <v>483.38</v>
      </c>
      <c r="M1001" t="str">
        <f>VLOOKUP(D1001,tblProduct[],2,FALSE)</f>
        <v>Electronics</v>
      </c>
      <c r="N1001" t="str">
        <f>VLOOKUP(D1001,tblProduct[],3,FALSE)</f>
        <v>Medium</v>
      </c>
      <c r="O1001">
        <f>VLOOKUP(D1001,tblProduct[],4,FALSE)</f>
        <v>80000</v>
      </c>
      <c r="P1001">
        <v>483.38</v>
      </c>
      <c r="Q1001" s="19" t="str">
        <f t="shared" si="15"/>
        <v>Dec-2023</v>
      </c>
      <c r="R1001" s="26">
        <f>DATE(YEAR(tblEnriched[[#This Row],[Date]]),MONTH(tblEnriched[[#This Row],[Date]]),1)</f>
        <v>45261</v>
      </c>
    </row>
    <row r="1002" spans="1:18">
      <c r="A1002" t="s">
        <v>3629</v>
      </c>
      <c r="B1002" s="10">
        <v>45098</v>
      </c>
      <c r="C1002" t="s">
        <v>3630</v>
      </c>
      <c r="D1002" t="s">
        <v>54</v>
      </c>
      <c r="E1002">
        <v>5</v>
      </c>
      <c r="F1002" s="4">
        <v>260.93</v>
      </c>
      <c r="G1002" t="s">
        <v>33</v>
      </c>
      <c r="H1002" t="s">
        <v>56</v>
      </c>
      <c r="I1002">
        <v>9</v>
      </c>
      <c r="J1002" t="s">
        <v>27</v>
      </c>
      <c r="K1002" t="s">
        <v>44</v>
      </c>
      <c r="L1002" s="4">
        <v>1304.6500000000001</v>
      </c>
      <c r="M1002" t="str">
        <f>VLOOKUP(D1002,tblProduct[],2,FALSE)</f>
        <v>Electronics</v>
      </c>
      <c r="N1002" t="str">
        <f>VLOOKUP(D1002,tblProduct[],3,FALSE)</f>
        <v>Medium</v>
      </c>
      <c r="O1002">
        <f>VLOOKUP(D1002,tblProduct[],4,FALSE)</f>
        <v>80000</v>
      </c>
      <c r="P1002">
        <v>1304.6500000000001</v>
      </c>
      <c r="Q1002" s="19" t="str">
        <f t="shared" si="15"/>
        <v>Jun-2023</v>
      </c>
      <c r="R1002" s="26">
        <f>DATE(YEAR(tblEnriched[[#This Row],[Date]]),MONTH(tblEnriched[[#This Row],[Date]]),1)</f>
        <v>45078</v>
      </c>
    </row>
    <row r="1003" spans="1:18">
      <c r="A1003" t="s">
        <v>3633</v>
      </c>
      <c r="B1003" s="10">
        <v>45268</v>
      </c>
      <c r="C1003" t="s">
        <v>3634</v>
      </c>
      <c r="D1003" t="s">
        <v>54</v>
      </c>
      <c r="E1003">
        <v>2</v>
      </c>
      <c r="F1003" s="4">
        <v>253.68</v>
      </c>
      <c r="G1003" t="s">
        <v>66</v>
      </c>
      <c r="H1003" t="s">
        <v>25</v>
      </c>
      <c r="I1003">
        <v>6</v>
      </c>
      <c r="K1003" t="s">
        <v>35</v>
      </c>
      <c r="L1003" s="4">
        <v>507.36</v>
      </c>
      <c r="M1003" t="str">
        <f>VLOOKUP(D1003,tblProduct[],2,FALSE)</f>
        <v>Electronics</v>
      </c>
      <c r="N1003" t="str">
        <f>VLOOKUP(D1003,tblProduct[],3,FALSE)</f>
        <v>Medium</v>
      </c>
      <c r="O1003">
        <f>VLOOKUP(D1003,tblProduct[],4,FALSE)</f>
        <v>80000</v>
      </c>
      <c r="P1003">
        <v>507.36</v>
      </c>
      <c r="Q1003" s="19" t="str">
        <f t="shared" si="15"/>
        <v>Dec-2023</v>
      </c>
      <c r="R1003" s="26">
        <f>DATE(YEAR(tblEnriched[[#This Row],[Date]]),MONTH(tblEnriched[[#This Row],[Date]]),1)</f>
        <v>45261</v>
      </c>
    </row>
    <row r="1004" spans="1:18">
      <c r="A1004" t="s">
        <v>3636</v>
      </c>
      <c r="B1004" s="10">
        <v>45827</v>
      </c>
      <c r="C1004" t="s">
        <v>3637</v>
      </c>
      <c r="D1004" t="s">
        <v>38</v>
      </c>
      <c r="E1004">
        <v>4</v>
      </c>
      <c r="F1004" s="4">
        <v>699.88</v>
      </c>
      <c r="G1004" t="s">
        <v>71</v>
      </c>
      <c r="H1004" t="s">
        <v>95</v>
      </c>
      <c r="I1004">
        <v>5</v>
      </c>
      <c r="J1004" t="s">
        <v>87</v>
      </c>
      <c r="K1004" t="s">
        <v>35</v>
      </c>
      <c r="L1004" s="4">
        <v>2799.52</v>
      </c>
      <c r="M1004" t="str">
        <f>VLOOKUP(D1004,tblProduct[],2,FALSE)</f>
        <v>Electronics</v>
      </c>
      <c r="N1004" t="str">
        <f>VLOOKUP(D1004,tblProduct[],3,FALSE)</f>
        <v>Medium</v>
      </c>
      <c r="O1004">
        <f>VLOOKUP(D1004,tblProduct[],4,FALSE)</f>
        <v>100000</v>
      </c>
      <c r="P1004">
        <v>2799.52</v>
      </c>
      <c r="Q1004" s="19" t="str">
        <f t="shared" si="15"/>
        <v>Jun-2025</v>
      </c>
      <c r="R1004" s="26">
        <f>DATE(YEAR(tblEnriched[[#This Row],[Date]]),MONTH(tblEnriched[[#This Row],[Date]]),1)</f>
        <v>45809</v>
      </c>
    </row>
    <row r="1005" spans="1:18">
      <c r="A1005" t="s">
        <v>3639</v>
      </c>
      <c r="B1005" s="10">
        <v>44937</v>
      </c>
      <c r="C1005" t="s">
        <v>3640</v>
      </c>
      <c r="D1005" t="s">
        <v>54</v>
      </c>
      <c r="E1005">
        <v>5</v>
      </c>
      <c r="F1005" s="4">
        <v>319.97000000000003</v>
      </c>
      <c r="G1005" t="s">
        <v>71</v>
      </c>
      <c r="H1005" t="s">
        <v>25</v>
      </c>
      <c r="I1005">
        <v>7</v>
      </c>
      <c r="J1005" t="s">
        <v>27</v>
      </c>
      <c r="K1005" t="s">
        <v>82</v>
      </c>
      <c r="L1005" s="4">
        <v>1599.85</v>
      </c>
      <c r="M1005" t="str">
        <f>VLOOKUP(D1005,tblProduct[],2,FALSE)</f>
        <v>Electronics</v>
      </c>
      <c r="N1005" t="str">
        <f>VLOOKUP(D1005,tblProduct[],3,FALSE)</f>
        <v>Medium</v>
      </c>
      <c r="O1005">
        <f>VLOOKUP(D1005,tblProduct[],4,FALSE)</f>
        <v>80000</v>
      </c>
      <c r="P1005">
        <v>1599.85</v>
      </c>
      <c r="Q1005" s="19" t="str">
        <f t="shared" si="15"/>
        <v>Jan-2023</v>
      </c>
      <c r="R1005" s="26">
        <f>DATE(YEAR(tblEnriched[[#This Row],[Date]]),MONTH(tblEnriched[[#This Row],[Date]]),1)</f>
        <v>44927</v>
      </c>
    </row>
    <row r="1006" spans="1:18">
      <c r="A1006" t="s">
        <v>3642</v>
      </c>
      <c r="B1006" s="10">
        <v>45817</v>
      </c>
      <c r="C1006" t="s">
        <v>3643</v>
      </c>
      <c r="D1006" t="s">
        <v>47</v>
      </c>
      <c r="E1006">
        <v>4</v>
      </c>
      <c r="F1006" s="4">
        <v>246.91</v>
      </c>
      <c r="G1006" t="s">
        <v>33</v>
      </c>
      <c r="H1006" t="s">
        <v>95</v>
      </c>
      <c r="I1006">
        <v>8</v>
      </c>
      <c r="J1006" t="s">
        <v>27</v>
      </c>
      <c r="K1006" t="s">
        <v>35</v>
      </c>
      <c r="L1006" s="4">
        <v>987.64</v>
      </c>
      <c r="M1006" t="str">
        <f>VLOOKUP(D1006,tblProduct[],2,FALSE)</f>
        <v>Furniture</v>
      </c>
      <c r="N1006" t="str">
        <f>VLOOKUP(D1006,tblProduct[],3,FALSE)</f>
        <v>Medium</v>
      </c>
      <c r="O1006">
        <f>VLOOKUP(D1006,tblProduct[],4,FALSE)</f>
        <v>70000</v>
      </c>
      <c r="P1006">
        <v>987.64</v>
      </c>
      <c r="Q1006" s="19" t="str">
        <f t="shared" si="15"/>
        <v>Jun-2025</v>
      </c>
      <c r="R1006" s="26">
        <f>DATE(YEAR(tblEnriched[[#This Row],[Date]]),MONTH(tblEnriched[[#This Row],[Date]]),1)</f>
        <v>45809</v>
      </c>
    </row>
    <row r="1007" spans="1:18">
      <c r="A1007" t="s">
        <v>3645</v>
      </c>
      <c r="B1007" s="10">
        <v>44987</v>
      </c>
      <c r="C1007" t="s">
        <v>3646</v>
      </c>
      <c r="D1007" t="s">
        <v>54</v>
      </c>
      <c r="E1007">
        <v>3</v>
      </c>
      <c r="F1007" s="4">
        <v>392.85</v>
      </c>
      <c r="G1007" t="s">
        <v>40</v>
      </c>
      <c r="H1007" t="s">
        <v>49</v>
      </c>
      <c r="I1007">
        <v>6</v>
      </c>
      <c r="K1007" t="s">
        <v>82</v>
      </c>
      <c r="L1007" s="4">
        <v>1178.55</v>
      </c>
      <c r="M1007" t="str">
        <f>VLOOKUP(D1007,tblProduct[],2,FALSE)</f>
        <v>Electronics</v>
      </c>
      <c r="N1007" t="str">
        <f>VLOOKUP(D1007,tblProduct[],3,FALSE)</f>
        <v>Medium</v>
      </c>
      <c r="O1007">
        <f>VLOOKUP(D1007,tblProduct[],4,FALSE)</f>
        <v>80000</v>
      </c>
      <c r="P1007">
        <v>1178.55</v>
      </c>
      <c r="Q1007" s="19" t="str">
        <f t="shared" si="15"/>
        <v>Mar-2023</v>
      </c>
      <c r="R1007" s="26">
        <f>DATE(YEAR(tblEnriched[[#This Row],[Date]]),MONTH(tblEnriched[[#This Row],[Date]]),1)</f>
        <v>44986</v>
      </c>
    </row>
    <row r="1008" spans="1:18">
      <c r="A1008" t="s">
        <v>3648</v>
      </c>
      <c r="B1008" s="10">
        <v>45439</v>
      </c>
      <c r="C1008" t="s">
        <v>3649</v>
      </c>
      <c r="D1008" t="s">
        <v>38</v>
      </c>
      <c r="E1008">
        <v>5</v>
      </c>
      <c r="F1008" s="4">
        <v>420.98</v>
      </c>
      <c r="G1008" t="s">
        <v>71</v>
      </c>
      <c r="H1008" t="s">
        <v>56</v>
      </c>
      <c r="I1008">
        <v>7</v>
      </c>
      <c r="J1008" t="s">
        <v>27</v>
      </c>
      <c r="K1008" t="s">
        <v>51</v>
      </c>
      <c r="L1008" s="4">
        <v>2104.9</v>
      </c>
      <c r="M1008" t="str">
        <f>VLOOKUP(D1008,tblProduct[],2,FALSE)</f>
        <v>Electronics</v>
      </c>
      <c r="N1008" t="str">
        <f>VLOOKUP(D1008,tblProduct[],3,FALSE)</f>
        <v>Medium</v>
      </c>
      <c r="O1008">
        <f>VLOOKUP(D1008,tblProduct[],4,FALSE)</f>
        <v>100000</v>
      </c>
      <c r="P1008">
        <v>2104.9</v>
      </c>
      <c r="Q1008" s="19" t="str">
        <f t="shared" si="15"/>
        <v>May-2024</v>
      </c>
      <c r="R1008" s="26">
        <f>DATE(YEAR(tblEnriched[[#This Row],[Date]]),MONTH(tblEnriched[[#This Row],[Date]]),1)</f>
        <v>45413</v>
      </c>
    </row>
    <row r="1009" spans="1:18">
      <c r="A1009" t="s">
        <v>3651</v>
      </c>
      <c r="B1009" s="10">
        <v>45371</v>
      </c>
      <c r="C1009" t="s">
        <v>1874</v>
      </c>
      <c r="D1009" t="s">
        <v>22</v>
      </c>
      <c r="E1009">
        <v>2</v>
      </c>
      <c r="F1009" s="4">
        <v>73.260000000000005</v>
      </c>
      <c r="G1009" t="s">
        <v>71</v>
      </c>
      <c r="H1009" t="s">
        <v>95</v>
      </c>
      <c r="I1009">
        <v>4</v>
      </c>
      <c r="J1009" t="s">
        <v>87</v>
      </c>
      <c r="K1009" t="s">
        <v>51</v>
      </c>
      <c r="L1009" s="4">
        <v>146.52000000000001</v>
      </c>
      <c r="M1009" t="str">
        <f>VLOOKUP(D1009,tblProduct[],2,FALSE)</f>
        <v>Electronics</v>
      </c>
      <c r="N1009" t="str">
        <f>VLOOKUP(D1009,tblProduct[],3,FALSE)</f>
        <v>Medium</v>
      </c>
      <c r="O1009">
        <f>VLOOKUP(D1009,tblProduct[],4,FALSE)</f>
        <v>90000</v>
      </c>
      <c r="P1009">
        <v>146.52000000000001</v>
      </c>
      <c r="Q1009" s="19" t="str">
        <f t="shared" si="15"/>
        <v>Mar-2024</v>
      </c>
      <c r="R1009" s="26">
        <f>DATE(YEAR(tblEnriched[[#This Row],[Date]]),MONTH(tblEnriched[[#This Row],[Date]]),1)</f>
        <v>45352</v>
      </c>
    </row>
    <row r="1010" spans="1:18">
      <c r="A1010" t="s">
        <v>3653</v>
      </c>
      <c r="B1010" s="10">
        <v>44939</v>
      </c>
      <c r="C1010" t="s">
        <v>3654</v>
      </c>
      <c r="D1010" t="s">
        <v>22</v>
      </c>
      <c r="E1010">
        <v>3</v>
      </c>
      <c r="F1010" s="4">
        <v>410.88</v>
      </c>
      <c r="G1010" t="s">
        <v>71</v>
      </c>
      <c r="H1010" t="s">
        <v>56</v>
      </c>
      <c r="I1010">
        <v>8</v>
      </c>
      <c r="J1010" t="s">
        <v>43</v>
      </c>
      <c r="K1010" t="s">
        <v>28</v>
      </c>
      <c r="L1010" s="4">
        <v>1232.6400000000001</v>
      </c>
      <c r="M1010" t="str">
        <f>VLOOKUP(D1010,tblProduct[],2,FALSE)</f>
        <v>Electronics</v>
      </c>
      <c r="N1010" t="str">
        <f>VLOOKUP(D1010,tblProduct[],3,FALSE)</f>
        <v>Medium</v>
      </c>
      <c r="O1010">
        <f>VLOOKUP(D1010,tblProduct[],4,FALSE)</f>
        <v>90000</v>
      </c>
      <c r="P1010">
        <v>1232.6400000000001</v>
      </c>
      <c r="Q1010" s="19" t="str">
        <f t="shared" si="15"/>
        <v>Jan-2023</v>
      </c>
      <c r="R1010" s="26">
        <f>DATE(YEAR(tblEnriched[[#This Row],[Date]]),MONTH(tblEnriched[[#This Row],[Date]]),1)</f>
        <v>44927</v>
      </c>
    </row>
    <row r="1011" spans="1:18">
      <c r="A1011" t="s">
        <v>3656</v>
      </c>
      <c r="B1011" s="10">
        <v>45171</v>
      </c>
      <c r="C1011" t="s">
        <v>3657</v>
      </c>
      <c r="D1011" t="s">
        <v>38</v>
      </c>
      <c r="E1011">
        <v>2</v>
      </c>
      <c r="F1011" s="4">
        <v>176.46</v>
      </c>
      <c r="G1011" t="s">
        <v>40</v>
      </c>
      <c r="H1011" t="s">
        <v>56</v>
      </c>
      <c r="I1011">
        <v>2</v>
      </c>
      <c r="J1011" t="s">
        <v>43</v>
      </c>
      <c r="K1011" t="s">
        <v>44</v>
      </c>
      <c r="L1011" s="4">
        <v>352.92</v>
      </c>
      <c r="M1011" t="str">
        <f>VLOOKUP(D1011,tblProduct[],2,FALSE)</f>
        <v>Electronics</v>
      </c>
      <c r="N1011" t="str">
        <f>VLOOKUP(D1011,tblProduct[],3,FALSE)</f>
        <v>Medium</v>
      </c>
      <c r="O1011">
        <f>VLOOKUP(D1011,tblProduct[],4,FALSE)</f>
        <v>100000</v>
      </c>
      <c r="P1011">
        <v>352.92</v>
      </c>
      <c r="Q1011" s="19" t="str">
        <f t="shared" si="15"/>
        <v>Sep-2023</v>
      </c>
      <c r="R1011" s="26">
        <f>DATE(YEAR(tblEnriched[[#This Row],[Date]]),MONTH(tblEnriched[[#This Row],[Date]]),1)</f>
        <v>45170</v>
      </c>
    </row>
    <row r="1012" spans="1:18">
      <c r="A1012" t="s">
        <v>3659</v>
      </c>
      <c r="B1012" s="10">
        <v>45016</v>
      </c>
      <c r="C1012" t="s">
        <v>3660</v>
      </c>
      <c r="D1012" t="s">
        <v>22</v>
      </c>
      <c r="E1012">
        <v>3</v>
      </c>
      <c r="F1012" s="4">
        <v>659.57</v>
      </c>
      <c r="G1012" t="s">
        <v>40</v>
      </c>
      <c r="H1012" t="s">
        <v>41</v>
      </c>
      <c r="I1012">
        <v>6</v>
      </c>
      <c r="J1012" t="s">
        <v>27</v>
      </c>
      <c r="K1012" t="s">
        <v>44</v>
      </c>
      <c r="L1012" s="4">
        <v>1978.71</v>
      </c>
      <c r="M1012" t="str">
        <f>VLOOKUP(D1012,tblProduct[],2,FALSE)</f>
        <v>Electronics</v>
      </c>
      <c r="N1012" t="str">
        <f>VLOOKUP(D1012,tblProduct[],3,FALSE)</f>
        <v>Medium</v>
      </c>
      <c r="O1012">
        <f>VLOOKUP(D1012,tblProduct[],4,FALSE)</f>
        <v>90000</v>
      </c>
      <c r="P1012">
        <v>1978.71</v>
      </c>
      <c r="Q1012" s="19" t="str">
        <f t="shared" si="15"/>
        <v>Mar-2023</v>
      </c>
      <c r="R1012" s="26">
        <f>DATE(YEAR(tblEnriched[[#This Row],[Date]]),MONTH(tblEnriched[[#This Row],[Date]]),1)</f>
        <v>44986</v>
      </c>
    </row>
    <row r="1013" spans="1:18">
      <c r="A1013" t="s">
        <v>3662</v>
      </c>
      <c r="B1013" s="10">
        <v>45629</v>
      </c>
      <c r="C1013" t="s">
        <v>3663</v>
      </c>
      <c r="D1013" t="s">
        <v>31</v>
      </c>
      <c r="E1013">
        <v>2</v>
      </c>
      <c r="F1013" s="4">
        <v>478.36</v>
      </c>
      <c r="G1013" t="s">
        <v>33</v>
      </c>
      <c r="H1013" t="s">
        <v>25</v>
      </c>
      <c r="I1013">
        <v>3</v>
      </c>
      <c r="K1013" t="s">
        <v>82</v>
      </c>
      <c r="L1013" s="4">
        <v>956.72</v>
      </c>
      <c r="M1013" t="str">
        <f>VLOOKUP(D1013,tblProduct[],2,FALSE)</f>
        <v>Electronics</v>
      </c>
      <c r="N1013" t="str">
        <f>VLOOKUP(D1013,tblProduct[],3,FALSE)</f>
        <v>High</v>
      </c>
      <c r="O1013">
        <f>VLOOKUP(D1013,tblProduct[],4,FALSE)</f>
        <v>120000</v>
      </c>
      <c r="P1013">
        <v>956.72</v>
      </c>
      <c r="Q1013" s="19" t="str">
        <f t="shared" si="15"/>
        <v>Dec-2024</v>
      </c>
      <c r="R1013" s="26">
        <f>DATE(YEAR(tblEnriched[[#This Row],[Date]]),MONTH(tblEnriched[[#This Row],[Date]]),1)</f>
        <v>45627</v>
      </c>
    </row>
    <row r="1014" spans="1:18">
      <c r="A1014" t="s">
        <v>3665</v>
      </c>
      <c r="B1014" s="10">
        <v>45629</v>
      </c>
      <c r="C1014" t="s">
        <v>3666</v>
      </c>
      <c r="D1014" t="s">
        <v>54</v>
      </c>
      <c r="E1014">
        <v>4</v>
      </c>
      <c r="F1014" s="4">
        <v>30.05</v>
      </c>
      <c r="G1014" t="s">
        <v>33</v>
      </c>
      <c r="H1014" t="s">
        <v>49</v>
      </c>
      <c r="I1014">
        <v>6</v>
      </c>
      <c r="K1014" t="s">
        <v>51</v>
      </c>
      <c r="L1014" s="4">
        <v>120.2</v>
      </c>
      <c r="M1014" t="str">
        <f>VLOOKUP(D1014,tblProduct[],2,FALSE)</f>
        <v>Electronics</v>
      </c>
      <c r="N1014" t="str">
        <f>VLOOKUP(D1014,tblProduct[],3,FALSE)</f>
        <v>Medium</v>
      </c>
      <c r="O1014">
        <f>VLOOKUP(D1014,tblProduct[],4,FALSE)</f>
        <v>80000</v>
      </c>
      <c r="P1014">
        <v>120.2</v>
      </c>
      <c r="Q1014" s="19" t="str">
        <f t="shared" si="15"/>
        <v>Dec-2024</v>
      </c>
      <c r="R1014" s="26">
        <f>DATE(YEAR(tblEnriched[[#This Row],[Date]]),MONTH(tblEnriched[[#This Row],[Date]]),1)</f>
        <v>45627</v>
      </c>
    </row>
    <row r="1015" spans="1:18">
      <c r="A1015" t="s">
        <v>3668</v>
      </c>
      <c r="B1015" s="10">
        <v>45773</v>
      </c>
      <c r="C1015" t="s">
        <v>3669</v>
      </c>
      <c r="D1015" t="s">
        <v>64</v>
      </c>
      <c r="E1015">
        <v>4</v>
      </c>
      <c r="F1015" s="4">
        <v>300.56</v>
      </c>
      <c r="G1015" t="s">
        <v>71</v>
      </c>
      <c r="H1015" t="s">
        <v>41</v>
      </c>
      <c r="I1015">
        <v>9</v>
      </c>
      <c r="J1015" t="s">
        <v>43</v>
      </c>
      <c r="K1015" t="s">
        <v>51</v>
      </c>
      <c r="L1015" s="4">
        <v>1202.24</v>
      </c>
      <c r="M1015" t="str">
        <f>VLOOKUP(D1015,tblProduct[],2,FALSE)</f>
        <v>Electronics</v>
      </c>
      <c r="N1015" t="str">
        <f>VLOOKUP(D1015,tblProduct[],3,FALSE)</f>
        <v>High</v>
      </c>
      <c r="O1015">
        <f>VLOOKUP(D1015,tblProduct[],4,FALSE)</f>
        <v>150000</v>
      </c>
      <c r="P1015">
        <v>1202.24</v>
      </c>
      <c r="Q1015" s="19" t="str">
        <f t="shared" si="15"/>
        <v>Apr-2025</v>
      </c>
      <c r="R1015" s="26">
        <f>DATE(YEAR(tblEnriched[[#This Row],[Date]]),MONTH(tblEnriched[[#This Row],[Date]]),1)</f>
        <v>45748</v>
      </c>
    </row>
    <row r="1016" spans="1:18">
      <c r="A1016" t="s">
        <v>3671</v>
      </c>
      <c r="B1016" s="10">
        <v>45326</v>
      </c>
      <c r="C1016" t="s">
        <v>3672</v>
      </c>
      <c r="D1016" t="s">
        <v>38</v>
      </c>
      <c r="E1016">
        <v>5</v>
      </c>
      <c r="F1016" s="4">
        <v>226.45</v>
      </c>
      <c r="G1016" t="s">
        <v>24</v>
      </c>
      <c r="H1016" t="s">
        <v>49</v>
      </c>
      <c r="I1016">
        <v>6</v>
      </c>
      <c r="J1016" t="s">
        <v>43</v>
      </c>
      <c r="K1016" t="s">
        <v>44</v>
      </c>
      <c r="L1016" s="4">
        <v>1132.25</v>
      </c>
      <c r="M1016" t="str">
        <f>VLOOKUP(D1016,tblProduct[],2,FALSE)</f>
        <v>Electronics</v>
      </c>
      <c r="N1016" t="str">
        <f>VLOOKUP(D1016,tblProduct[],3,FALSE)</f>
        <v>Medium</v>
      </c>
      <c r="O1016">
        <f>VLOOKUP(D1016,tblProduct[],4,FALSE)</f>
        <v>100000</v>
      </c>
      <c r="P1016">
        <v>1132.25</v>
      </c>
      <c r="Q1016" s="19" t="str">
        <f t="shared" si="15"/>
        <v>Feb-2024</v>
      </c>
      <c r="R1016" s="26">
        <f>DATE(YEAR(tblEnriched[[#This Row],[Date]]),MONTH(tblEnriched[[#This Row],[Date]]),1)</f>
        <v>45323</v>
      </c>
    </row>
    <row r="1017" spans="1:18">
      <c r="A1017" t="s">
        <v>3674</v>
      </c>
      <c r="B1017" s="10">
        <v>45317</v>
      </c>
      <c r="C1017" t="s">
        <v>3675</v>
      </c>
      <c r="D1017" t="s">
        <v>54</v>
      </c>
      <c r="E1017">
        <v>2</v>
      </c>
      <c r="F1017" s="4">
        <v>349.4</v>
      </c>
      <c r="G1017" t="s">
        <v>33</v>
      </c>
      <c r="H1017" t="s">
        <v>25</v>
      </c>
      <c r="I1017">
        <v>2</v>
      </c>
      <c r="J1017" t="s">
        <v>27</v>
      </c>
      <c r="K1017" t="s">
        <v>28</v>
      </c>
      <c r="L1017" s="4">
        <v>698.8</v>
      </c>
      <c r="M1017" t="str">
        <f>VLOOKUP(D1017,tblProduct[],2,FALSE)</f>
        <v>Electronics</v>
      </c>
      <c r="N1017" t="str">
        <f>VLOOKUP(D1017,tblProduct[],3,FALSE)</f>
        <v>Medium</v>
      </c>
      <c r="O1017">
        <f>VLOOKUP(D1017,tblProduct[],4,FALSE)</f>
        <v>80000</v>
      </c>
      <c r="P1017">
        <v>698.8</v>
      </c>
      <c r="Q1017" s="19" t="str">
        <f t="shared" si="15"/>
        <v>Jan-2024</v>
      </c>
      <c r="R1017" s="26">
        <f>DATE(YEAR(tblEnriched[[#This Row],[Date]]),MONTH(tblEnriched[[#This Row],[Date]]),1)</f>
        <v>45292</v>
      </c>
    </row>
    <row r="1018" spans="1:18">
      <c r="A1018" t="s">
        <v>3677</v>
      </c>
      <c r="B1018" s="10">
        <v>45289</v>
      </c>
      <c r="C1018" t="s">
        <v>3678</v>
      </c>
      <c r="D1018" t="s">
        <v>38</v>
      </c>
      <c r="E1018">
        <v>5</v>
      </c>
      <c r="F1018" s="4">
        <v>268.77999999999997</v>
      </c>
      <c r="G1018" t="s">
        <v>24</v>
      </c>
      <c r="H1018" t="s">
        <v>56</v>
      </c>
      <c r="I1018">
        <v>7</v>
      </c>
      <c r="J1018" t="s">
        <v>87</v>
      </c>
      <c r="K1018" t="s">
        <v>44</v>
      </c>
      <c r="L1018" s="4">
        <v>1343.9</v>
      </c>
      <c r="M1018" t="str">
        <f>VLOOKUP(D1018,tblProduct[],2,FALSE)</f>
        <v>Electronics</v>
      </c>
      <c r="N1018" t="str">
        <f>VLOOKUP(D1018,tblProduct[],3,FALSE)</f>
        <v>Medium</v>
      </c>
      <c r="O1018">
        <f>VLOOKUP(D1018,tblProduct[],4,FALSE)</f>
        <v>100000</v>
      </c>
      <c r="P1018">
        <v>1343.9</v>
      </c>
      <c r="Q1018" s="19" t="str">
        <f t="shared" si="15"/>
        <v>Dec-2023</v>
      </c>
      <c r="R1018" s="26">
        <f>DATE(YEAR(tblEnriched[[#This Row],[Date]]),MONTH(tblEnriched[[#This Row],[Date]]),1)</f>
        <v>45261</v>
      </c>
    </row>
    <row r="1019" spans="1:18">
      <c r="A1019" t="s">
        <v>3681</v>
      </c>
      <c r="B1019" s="10">
        <v>45529</v>
      </c>
      <c r="C1019" t="s">
        <v>3682</v>
      </c>
      <c r="D1019" t="s">
        <v>47</v>
      </c>
      <c r="E1019">
        <v>2</v>
      </c>
      <c r="F1019" s="4">
        <v>680.85</v>
      </c>
      <c r="G1019" t="s">
        <v>66</v>
      </c>
      <c r="H1019" t="s">
        <v>56</v>
      </c>
      <c r="I1019">
        <v>6</v>
      </c>
      <c r="J1019" t="s">
        <v>43</v>
      </c>
      <c r="K1019" t="s">
        <v>35</v>
      </c>
      <c r="L1019" s="4">
        <v>1361.7</v>
      </c>
      <c r="M1019" t="str">
        <f>VLOOKUP(D1019,tblProduct[],2,FALSE)</f>
        <v>Furniture</v>
      </c>
      <c r="N1019" t="str">
        <f>VLOOKUP(D1019,tblProduct[],3,FALSE)</f>
        <v>Medium</v>
      </c>
      <c r="O1019">
        <f>VLOOKUP(D1019,tblProduct[],4,FALSE)</f>
        <v>70000</v>
      </c>
      <c r="P1019">
        <v>1361.7</v>
      </c>
      <c r="Q1019" s="19" t="str">
        <f t="shared" si="15"/>
        <v>Aug-2024</v>
      </c>
      <c r="R1019" s="26">
        <f>DATE(YEAR(tblEnriched[[#This Row],[Date]]),MONTH(tblEnriched[[#This Row],[Date]]),1)</f>
        <v>45505</v>
      </c>
    </row>
    <row r="1020" spans="1:18">
      <c r="A1020" t="s">
        <v>3685</v>
      </c>
      <c r="B1020" s="10">
        <v>45115</v>
      </c>
      <c r="C1020" t="s">
        <v>3686</v>
      </c>
      <c r="D1020" t="s">
        <v>64</v>
      </c>
      <c r="E1020">
        <v>3</v>
      </c>
      <c r="F1020" s="4">
        <v>182.48</v>
      </c>
      <c r="G1020" t="s">
        <v>71</v>
      </c>
      <c r="H1020" t="s">
        <v>56</v>
      </c>
      <c r="I1020">
        <v>3</v>
      </c>
      <c r="K1020" t="s">
        <v>28</v>
      </c>
      <c r="L1020" s="4">
        <v>547.43999999999994</v>
      </c>
      <c r="M1020" t="str">
        <f>VLOOKUP(D1020,tblProduct[],2,FALSE)</f>
        <v>Electronics</v>
      </c>
      <c r="N1020" t="str">
        <f>VLOOKUP(D1020,tblProduct[],3,FALSE)</f>
        <v>High</v>
      </c>
      <c r="O1020">
        <f>VLOOKUP(D1020,tblProduct[],4,FALSE)</f>
        <v>150000</v>
      </c>
      <c r="P1020">
        <v>547.43999999999994</v>
      </c>
      <c r="Q1020" s="19" t="str">
        <f t="shared" si="15"/>
        <v>Jul-2023</v>
      </c>
      <c r="R1020" s="26">
        <f>DATE(YEAR(tblEnriched[[#This Row],[Date]]),MONTH(tblEnriched[[#This Row],[Date]]),1)</f>
        <v>45108</v>
      </c>
    </row>
    <row r="1021" spans="1:18">
      <c r="A1021" t="s">
        <v>3689</v>
      </c>
      <c r="B1021" s="10">
        <v>45388</v>
      </c>
      <c r="C1021" t="s">
        <v>3690</v>
      </c>
      <c r="D1021" t="s">
        <v>79</v>
      </c>
      <c r="E1021">
        <v>1</v>
      </c>
      <c r="F1021" s="4">
        <v>277.08999999999997</v>
      </c>
      <c r="G1021" t="s">
        <v>71</v>
      </c>
      <c r="H1021" t="s">
        <v>49</v>
      </c>
      <c r="I1021">
        <v>2</v>
      </c>
      <c r="J1021" t="s">
        <v>27</v>
      </c>
      <c r="K1021" t="s">
        <v>35</v>
      </c>
      <c r="L1021" s="4">
        <v>277.08999999999997</v>
      </c>
      <c r="M1021" t="str">
        <f>VLOOKUP(D1021,tblProduct[],2,FALSE)</f>
        <v>Furniture</v>
      </c>
      <c r="N1021" t="str">
        <f>VLOOKUP(D1021,tblProduct[],3,FALSE)</f>
        <v>High</v>
      </c>
      <c r="O1021">
        <f>VLOOKUP(D1021,tblProduct[],4,FALSE)</f>
        <v>75000</v>
      </c>
      <c r="P1021">
        <v>277.08999999999997</v>
      </c>
      <c r="Q1021" s="19" t="str">
        <f t="shared" si="15"/>
        <v>Apr-2024</v>
      </c>
      <c r="R1021" s="26">
        <f>DATE(YEAR(tblEnriched[[#This Row],[Date]]),MONTH(tblEnriched[[#This Row],[Date]]),1)</f>
        <v>45383</v>
      </c>
    </row>
    <row r="1022" spans="1:18">
      <c r="A1022" t="s">
        <v>3692</v>
      </c>
      <c r="B1022" s="10">
        <v>45404</v>
      </c>
      <c r="C1022" t="s">
        <v>3693</v>
      </c>
      <c r="D1022" t="s">
        <v>38</v>
      </c>
      <c r="E1022">
        <v>2</v>
      </c>
      <c r="F1022" s="4">
        <v>26.5</v>
      </c>
      <c r="G1022" t="s">
        <v>33</v>
      </c>
      <c r="H1022" t="s">
        <v>56</v>
      </c>
      <c r="I1022">
        <v>3</v>
      </c>
      <c r="J1022" t="s">
        <v>27</v>
      </c>
      <c r="K1022" t="s">
        <v>28</v>
      </c>
      <c r="L1022" s="4">
        <v>53</v>
      </c>
      <c r="M1022" t="str">
        <f>VLOOKUP(D1022,tblProduct[],2,FALSE)</f>
        <v>Electronics</v>
      </c>
      <c r="N1022" t="str">
        <f>VLOOKUP(D1022,tblProduct[],3,FALSE)</f>
        <v>Medium</v>
      </c>
      <c r="O1022">
        <f>VLOOKUP(D1022,tblProduct[],4,FALSE)</f>
        <v>100000</v>
      </c>
      <c r="P1022">
        <v>53</v>
      </c>
      <c r="Q1022" s="19" t="str">
        <f t="shared" si="15"/>
        <v>Apr-2024</v>
      </c>
      <c r="R1022" s="26">
        <f>DATE(YEAR(tblEnriched[[#This Row],[Date]]),MONTH(tblEnriched[[#This Row],[Date]]),1)</f>
        <v>45383</v>
      </c>
    </row>
    <row r="1023" spans="1:18">
      <c r="A1023" t="s">
        <v>3695</v>
      </c>
      <c r="B1023" s="10">
        <v>45222</v>
      </c>
      <c r="C1023" t="s">
        <v>3696</v>
      </c>
      <c r="D1023" t="s">
        <v>31</v>
      </c>
      <c r="E1023">
        <v>3</v>
      </c>
      <c r="F1023" s="4">
        <v>315.27</v>
      </c>
      <c r="G1023" t="s">
        <v>40</v>
      </c>
      <c r="H1023" t="s">
        <v>41</v>
      </c>
      <c r="I1023">
        <v>4</v>
      </c>
      <c r="J1023" t="s">
        <v>27</v>
      </c>
      <c r="K1023" t="s">
        <v>44</v>
      </c>
      <c r="L1023" s="4">
        <v>945.81</v>
      </c>
      <c r="M1023" t="str">
        <f>VLOOKUP(D1023,tblProduct[],2,FALSE)</f>
        <v>Electronics</v>
      </c>
      <c r="N1023" t="str">
        <f>VLOOKUP(D1023,tblProduct[],3,FALSE)</f>
        <v>High</v>
      </c>
      <c r="O1023">
        <f>VLOOKUP(D1023,tblProduct[],4,FALSE)</f>
        <v>120000</v>
      </c>
      <c r="P1023">
        <v>945.81</v>
      </c>
      <c r="Q1023" s="19" t="str">
        <f t="shared" si="15"/>
        <v>Oct-2023</v>
      </c>
      <c r="R1023" s="26">
        <f>DATE(YEAR(tblEnriched[[#This Row],[Date]]),MONTH(tblEnriched[[#This Row],[Date]]),1)</f>
        <v>45200</v>
      </c>
    </row>
    <row r="1024" spans="1:18">
      <c r="A1024" t="s">
        <v>3698</v>
      </c>
      <c r="B1024" s="10">
        <v>45712</v>
      </c>
      <c r="C1024" t="s">
        <v>3699</v>
      </c>
      <c r="D1024" t="s">
        <v>38</v>
      </c>
      <c r="E1024">
        <v>3</v>
      </c>
      <c r="F1024" s="4">
        <v>450.98</v>
      </c>
      <c r="G1024" t="s">
        <v>40</v>
      </c>
      <c r="H1024" t="s">
        <v>25</v>
      </c>
      <c r="I1024">
        <v>8</v>
      </c>
      <c r="J1024" t="s">
        <v>27</v>
      </c>
      <c r="K1024" t="s">
        <v>35</v>
      </c>
      <c r="L1024" s="4">
        <v>1352.94</v>
      </c>
      <c r="M1024" t="str">
        <f>VLOOKUP(D1024,tblProduct[],2,FALSE)</f>
        <v>Electronics</v>
      </c>
      <c r="N1024" t="str">
        <f>VLOOKUP(D1024,tblProduct[],3,FALSE)</f>
        <v>Medium</v>
      </c>
      <c r="O1024">
        <f>VLOOKUP(D1024,tblProduct[],4,FALSE)</f>
        <v>100000</v>
      </c>
      <c r="P1024">
        <v>1352.94</v>
      </c>
      <c r="Q1024" s="19" t="str">
        <f t="shared" si="15"/>
        <v>Feb-2025</v>
      </c>
      <c r="R1024" s="26">
        <f>DATE(YEAR(tblEnriched[[#This Row],[Date]]),MONTH(tblEnriched[[#This Row],[Date]]),1)</f>
        <v>45689</v>
      </c>
    </row>
    <row r="1025" spans="1:18">
      <c r="A1025" t="s">
        <v>3701</v>
      </c>
      <c r="B1025" s="10">
        <v>45558</v>
      </c>
      <c r="C1025" t="s">
        <v>3702</v>
      </c>
      <c r="D1025" t="s">
        <v>64</v>
      </c>
      <c r="E1025">
        <v>5</v>
      </c>
      <c r="F1025" s="4">
        <v>233.67</v>
      </c>
      <c r="G1025" t="s">
        <v>71</v>
      </c>
      <c r="H1025" t="s">
        <v>25</v>
      </c>
      <c r="I1025">
        <v>10</v>
      </c>
      <c r="K1025" t="s">
        <v>35</v>
      </c>
      <c r="L1025" s="4">
        <v>1168.3499999999999</v>
      </c>
      <c r="M1025" t="str">
        <f>VLOOKUP(D1025,tblProduct[],2,FALSE)</f>
        <v>Electronics</v>
      </c>
      <c r="N1025" t="str">
        <f>VLOOKUP(D1025,tblProduct[],3,FALSE)</f>
        <v>High</v>
      </c>
      <c r="O1025">
        <f>VLOOKUP(D1025,tblProduct[],4,FALSE)</f>
        <v>150000</v>
      </c>
      <c r="P1025">
        <v>1168.3499999999999</v>
      </c>
      <c r="Q1025" s="19" t="str">
        <f t="shared" si="15"/>
        <v>Sep-2024</v>
      </c>
      <c r="R1025" s="26">
        <f>DATE(YEAR(tblEnriched[[#This Row],[Date]]),MONTH(tblEnriched[[#This Row],[Date]]),1)</f>
        <v>45536</v>
      </c>
    </row>
    <row r="1026" spans="1:18">
      <c r="A1026" t="s">
        <v>3704</v>
      </c>
      <c r="B1026" s="10">
        <v>45320</v>
      </c>
      <c r="C1026" t="s">
        <v>3705</v>
      </c>
      <c r="D1026" t="s">
        <v>47</v>
      </c>
      <c r="E1026">
        <v>3</v>
      </c>
      <c r="F1026" s="4">
        <v>367.75</v>
      </c>
      <c r="G1026" t="s">
        <v>71</v>
      </c>
      <c r="H1026" t="s">
        <v>95</v>
      </c>
      <c r="I1026">
        <v>7</v>
      </c>
      <c r="J1026" t="s">
        <v>43</v>
      </c>
      <c r="K1026" t="s">
        <v>51</v>
      </c>
      <c r="L1026" s="4">
        <v>1103.25</v>
      </c>
      <c r="M1026" t="str">
        <f>VLOOKUP(D1026,tblProduct[],2,FALSE)</f>
        <v>Furniture</v>
      </c>
      <c r="N1026" t="str">
        <f>VLOOKUP(D1026,tblProduct[],3,FALSE)</f>
        <v>Medium</v>
      </c>
      <c r="O1026">
        <f>VLOOKUP(D1026,tblProduct[],4,FALSE)</f>
        <v>70000</v>
      </c>
      <c r="P1026">
        <v>1103.25</v>
      </c>
      <c r="Q1026" s="19" t="str">
        <f t="shared" ref="Q1026:Q1089" si="16">TEXT(B1026,"mmm-yyyy")</f>
        <v>Jan-2024</v>
      </c>
      <c r="R1026" s="26">
        <f>DATE(YEAR(tblEnriched[[#This Row],[Date]]),MONTH(tblEnriched[[#This Row],[Date]]),1)</f>
        <v>45292</v>
      </c>
    </row>
    <row r="1027" spans="1:18">
      <c r="A1027" t="s">
        <v>3707</v>
      </c>
      <c r="B1027" s="10">
        <v>45794</v>
      </c>
      <c r="C1027" t="s">
        <v>3708</v>
      </c>
      <c r="D1027" t="s">
        <v>47</v>
      </c>
      <c r="E1027">
        <v>1</v>
      </c>
      <c r="F1027" s="4">
        <v>23.53</v>
      </c>
      <c r="G1027" t="s">
        <v>66</v>
      </c>
      <c r="H1027" t="s">
        <v>56</v>
      </c>
      <c r="I1027">
        <v>2</v>
      </c>
      <c r="J1027" t="s">
        <v>43</v>
      </c>
      <c r="K1027" t="s">
        <v>28</v>
      </c>
      <c r="L1027" s="4">
        <v>23.53</v>
      </c>
      <c r="M1027" t="str">
        <f>VLOOKUP(D1027,tblProduct[],2,FALSE)</f>
        <v>Furniture</v>
      </c>
      <c r="N1027" t="str">
        <f>VLOOKUP(D1027,tblProduct[],3,FALSE)</f>
        <v>Medium</v>
      </c>
      <c r="O1027">
        <f>VLOOKUP(D1027,tblProduct[],4,FALSE)</f>
        <v>70000</v>
      </c>
      <c r="P1027">
        <v>23.53</v>
      </c>
      <c r="Q1027" s="19" t="str">
        <f t="shared" si="16"/>
        <v>May-2025</v>
      </c>
      <c r="R1027" s="26">
        <f>DATE(YEAR(tblEnriched[[#This Row],[Date]]),MONTH(tblEnriched[[#This Row],[Date]]),1)</f>
        <v>45778</v>
      </c>
    </row>
    <row r="1028" spans="1:18">
      <c r="A1028" t="s">
        <v>3710</v>
      </c>
      <c r="B1028" s="10">
        <v>45047</v>
      </c>
      <c r="C1028" t="s">
        <v>3711</v>
      </c>
      <c r="D1028" t="s">
        <v>22</v>
      </c>
      <c r="E1028">
        <v>1</v>
      </c>
      <c r="F1028" s="4">
        <v>677.48</v>
      </c>
      <c r="G1028" t="s">
        <v>33</v>
      </c>
      <c r="H1028" t="s">
        <v>56</v>
      </c>
      <c r="I1028">
        <v>1</v>
      </c>
      <c r="J1028" t="s">
        <v>87</v>
      </c>
      <c r="K1028" t="s">
        <v>51</v>
      </c>
      <c r="L1028" s="4">
        <v>677.48</v>
      </c>
      <c r="M1028" t="str">
        <f>VLOOKUP(D1028,tblProduct[],2,FALSE)</f>
        <v>Electronics</v>
      </c>
      <c r="N1028" t="str">
        <f>VLOOKUP(D1028,tblProduct[],3,FALSE)</f>
        <v>Medium</v>
      </c>
      <c r="O1028">
        <f>VLOOKUP(D1028,tblProduct[],4,FALSE)</f>
        <v>90000</v>
      </c>
      <c r="P1028">
        <v>677.48</v>
      </c>
      <c r="Q1028" s="19" t="str">
        <f t="shared" si="16"/>
        <v>May-2023</v>
      </c>
      <c r="R1028" s="26">
        <f>DATE(YEAR(tblEnriched[[#This Row],[Date]]),MONTH(tblEnriched[[#This Row],[Date]]),1)</f>
        <v>45047</v>
      </c>
    </row>
    <row r="1029" spans="1:18">
      <c r="A1029" t="s">
        <v>3713</v>
      </c>
      <c r="B1029" s="10">
        <v>45433</v>
      </c>
      <c r="C1029" t="s">
        <v>3714</v>
      </c>
      <c r="D1029" t="s">
        <v>64</v>
      </c>
      <c r="E1029">
        <v>4</v>
      </c>
      <c r="F1029" s="4">
        <v>554.83000000000004</v>
      </c>
      <c r="G1029" t="s">
        <v>71</v>
      </c>
      <c r="H1029" t="s">
        <v>49</v>
      </c>
      <c r="I1029">
        <v>6</v>
      </c>
      <c r="K1029" t="s">
        <v>82</v>
      </c>
      <c r="L1029" s="4">
        <v>2219.3200000000002</v>
      </c>
      <c r="M1029" t="str">
        <f>VLOOKUP(D1029,tblProduct[],2,FALSE)</f>
        <v>Electronics</v>
      </c>
      <c r="N1029" t="str">
        <f>VLOOKUP(D1029,tblProduct[],3,FALSE)</f>
        <v>High</v>
      </c>
      <c r="O1029">
        <f>VLOOKUP(D1029,tblProduct[],4,FALSE)</f>
        <v>150000</v>
      </c>
      <c r="P1029">
        <v>2219.3200000000002</v>
      </c>
      <c r="Q1029" s="19" t="str">
        <f t="shared" si="16"/>
        <v>May-2024</v>
      </c>
      <c r="R1029" s="26">
        <f>DATE(YEAR(tblEnriched[[#This Row],[Date]]),MONTH(tblEnriched[[#This Row],[Date]]),1)</f>
        <v>45413</v>
      </c>
    </row>
    <row r="1030" spans="1:18">
      <c r="A1030" t="s">
        <v>3716</v>
      </c>
      <c r="B1030" s="10">
        <v>44974</v>
      </c>
      <c r="C1030" t="s">
        <v>3717</v>
      </c>
      <c r="D1030" t="s">
        <v>79</v>
      </c>
      <c r="E1030">
        <v>4</v>
      </c>
      <c r="F1030" s="4">
        <v>440.31</v>
      </c>
      <c r="G1030" t="s">
        <v>71</v>
      </c>
      <c r="H1030" t="s">
        <v>41</v>
      </c>
      <c r="I1030">
        <v>6</v>
      </c>
      <c r="K1030" t="s">
        <v>28</v>
      </c>
      <c r="L1030" s="4">
        <v>1761.24</v>
      </c>
      <c r="M1030" t="str">
        <f>VLOOKUP(D1030,tblProduct[],2,FALSE)</f>
        <v>Furniture</v>
      </c>
      <c r="N1030" t="str">
        <f>VLOOKUP(D1030,tblProduct[],3,FALSE)</f>
        <v>High</v>
      </c>
      <c r="O1030">
        <f>VLOOKUP(D1030,tblProduct[],4,FALSE)</f>
        <v>75000</v>
      </c>
      <c r="P1030">
        <v>1761.24</v>
      </c>
      <c r="Q1030" s="19" t="str">
        <f t="shared" si="16"/>
        <v>Feb-2023</v>
      </c>
      <c r="R1030" s="26">
        <f>DATE(YEAR(tblEnriched[[#This Row],[Date]]),MONTH(tblEnriched[[#This Row],[Date]]),1)</f>
        <v>44958</v>
      </c>
    </row>
    <row r="1031" spans="1:18">
      <c r="A1031" t="s">
        <v>3719</v>
      </c>
      <c r="B1031" s="10">
        <v>45717</v>
      </c>
      <c r="C1031" t="s">
        <v>3720</v>
      </c>
      <c r="D1031" t="s">
        <v>79</v>
      </c>
      <c r="E1031">
        <v>1</v>
      </c>
      <c r="F1031" s="4">
        <v>87.06</v>
      </c>
      <c r="G1031" t="s">
        <v>40</v>
      </c>
      <c r="H1031" t="s">
        <v>25</v>
      </c>
      <c r="I1031">
        <v>4</v>
      </c>
      <c r="J1031" t="s">
        <v>43</v>
      </c>
      <c r="K1031" t="s">
        <v>44</v>
      </c>
      <c r="L1031" s="4">
        <v>87.06</v>
      </c>
      <c r="M1031" t="str">
        <f>VLOOKUP(D1031,tblProduct[],2,FALSE)</f>
        <v>Furniture</v>
      </c>
      <c r="N1031" t="str">
        <f>VLOOKUP(D1031,tblProduct[],3,FALSE)</f>
        <v>High</v>
      </c>
      <c r="O1031">
        <f>VLOOKUP(D1031,tblProduct[],4,FALSE)</f>
        <v>75000</v>
      </c>
      <c r="P1031">
        <v>87.06</v>
      </c>
      <c r="Q1031" s="19" t="str">
        <f t="shared" si="16"/>
        <v>Mar-2025</v>
      </c>
      <c r="R1031" s="26">
        <f>DATE(YEAR(tblEnriched[[#This Row],[Date]]),MONTH(tblEnriched[[#This Row],[Date]]),1)</f>
        <v>45717</v>
      </c>
    </row>
    <row r="1032" spans="1:18">
      <c r="A1032" t="s">
        <v>3722</v>
      </c>
      <c r="B1032" s="10">
        <v>45201</v>
      </c>
      <c r="C1032" t="s">
        <v>3723</v>
      </c>
      <c r="D1032" t="s">
        <v>31</v>
      </c>
      <c r="E1032">
        <v>4</v>
      </c>
      <c r="F1032" s="4">
        <v>245.28</v>
      </c>
      <c r="G1032" t="s">
        <v>40</v>
      </c>
      <c r="H1032" t="s">
        <v>56</v>
      </c>
      <c r="I1032">
        <v>6</v>
      </c>
      <c r="J1032" t="s">
        <v>87</v>
      </c>
      <c r="K1032" t="s">
        <v>44</v>
      </c>
      <c r="L1032" s="4">
        <v>981.12</v>
      </c>
      <c r="M1032" t="str">
        <f>VLOOKUP(D1032,tblProduct[],2,FALSE)</f>
        <v>Electronics</v>
      </c>
      <c r="N1032" t="str">
        <f>VLOOKUP(D1032,tblProduct[],3,FALSE)</f>
        <v>High</v>
      </c>
      <c r="O1032">
        <f>VLOOKUP(D1032,tblProduct[],4,FALSE)</f>
        <v>120000</v>
      </c>
      <c r="P1032">
        <v>981.12</v>
      </c>
      <c r="Q1032" s="19" t="str">
        <f t="shared" si="16"/>
        <v>Oct-2023</v>
      </c>
      <c r="R1032" s="26">
        <f>DATE(YEAR(tblEnriched[[#This Row],[Date]]),MONTH(tblEnriched[[#This Row],[Date]]),1)</f>
        <v>45200</v>
      </c>
    </row>
    <row r="1033" spans="1:18">
      <c r="A1033" t="s">
        <v>3726</v>
      </c>
      <c r="B1033" s="10">
        <v>44985</v>
      </c>
      <c r="C1033" t="s">
        <v>3727</v>
      </c>
      <c r="D1033" t="s">
        <v>31</v>
      </c>
      <c r="E1033">
        <v>5</v>
      </c>
      <c r="F1033" s="4">
        <v>664.51</v>
      </c>
      <c r="G1033" t="s">
        <v>24</v>
      </c>
      <c r="H1033" t="s">
        <v>95</v>
      </c>
      <c r="I1033">
        <v>8</v>
      </c>
      <c r="J1033" t="s">
        <v>27</v>
      </c>
      <c r="K1033" t="s">
        <v>44</v>
      </c>
      <c r="L1033" s="4">
        <v>3322.55</v>
      </c>
      <c r="M1033" t="str">
        <f>VLOOKUP(D1033,tblProduct[],2,FALSE)</f>
        <v>Electronics</v>
      </c>
      <c r="N1033" t="str">
        <f>VLOOKUP(D1033,tblProduct[],3,FALSE)</f>
        <v>High</v>
      </c>
      <c r="O1033">
        <f>VLOOKUP(D1033,tblProduct[],4,FALSE)</f>
        <v>120000</v>
      </c>
      <c r="P1033">
        <v>3322.55</v>
      </c>
      <c r="Q1033" s="19" t="str">
        <f t="shared" si="16"/>
        <v>Feb-2023</v>
      </c>
      <c r="R1033" s="26">
        <f>DATE(YEAR(tblEnriched[[#This Row],[Date]]),MONTH(tblEnriched[[#This Row],[Date]]),1)</f>
        <v>44958</v>
      </c>
    </row>
    <row r="1034" spans="1:18">
      <c r="A1034" t="s">
        <v>3730</v>
      </c>
      <c r="B1034" s="10">
        <v>45036</v>
      </c>
      <c r="C1034" t="s">
        <v>3731</v>
      </c>
      <c r="D1034" t="s">
        <v>47</v>
      </c>
      <c r="E1034">
        <v>1</v>
      </c>
      <c r="F1034" s="4">
        <v>618.67999999999995</v>
      </c>
      <c r="G1034" t="s">
        <v>33</v>
      </c>
      <c r="H1034" t="s">
        <v>56</v>
      </c>
      <c r="I1034">
        <v>6</v>
      </c>
      <c r="J1034" t="s">
        <v>87</v>
      </c>
      <c r="K1034" t="s">
        <v>35</v>
      </c>
      <c r="L1034" s="4">
        <v>618.67999999999995</v>
      </c>
      <c r="M1034" t="str">
        <f>VLOOKUP(D1034,tblProduct[],2,FALSE)</f>
        <v>Furniture</v>
      </c>
      <c r="N1034" t="str">
        <f>VLOOKUP(D1034,tblProduct[],3,FALSE)</f>
        <v>Medium</v>
      </c>
      <c r="O1034">
        <f>VLOOKUP(D1034,tblProduct[],4,FALSE)</f>
        <v>70000</v>
      </c>
      <c r="P1034">
        <v>618.67999999999995</v>
      </c>
      <c r="Q1034" s="19" t="str">
        <f t="shared" si="16"/>
        <v>Apr-2023</v>
      </c>
      <c r="R1034" s="26">
        <f>DATE(YEAR(tblEnriched[[#This Row],[Date]]),MONTH(tblEnriched[[#This Row],[Date]]),1)</f>
        <v>45017</v>
      </c>
    </row>
    <row r="1035" spans="1:18">
      <c r="A1035" t="s">
        <v>3733</v>
      </c>
      <c r="B1035" s="10">
        <v>45650</v>
      </c>
      <c r="C1035" t="s">
        <v>3734</v>
      </c>
      <c r="D1035" t="s">
        <v>22</v>
      </c>
      <c r="E1035">
        <v>1</v>
      </c>
      <c r="F1035" s="4">
        <v>370.85</v>
      </c>
      <c r="G1035" t="s">
        <v>66</v>
      </c>
      <c r="H1035" t="s">
        <v>56</v>
      </c>
      <c r="I1035">
        <v>2</v>
      </c>
      <c r="J1035" t="s">
        <v>43</v>
      </c>
      <c r="K1035" t="s">
        <v>35</v>
      </c>
      <c r="L1035" s="4">
        <v>370.85</v>
      </c>
      <c r="M1035" t="str">
        <f>VLOOKUP(D1035,tblProduct[],2,FALSE)</f>
        <v>Electronics</v>
      </c>
      <c r="N1035" t="str">
        <f>VLOOKUP(D1035,tblProduct[],3,FALSE)</f>
        <v>Medium</v>
      </c>
      <c r="O1035">
        <f>VLOOKUP(D1035,tblProduct[],4,FALSE)</f>
        <v>90000</v>
      </c>
      <c r="P1035">
        <v>370.85</v>
      </c>
      <c r="Q1035" s="19" t="str">
        <f t="shared" si="16"/>
        <v>Dec-2024</v>
      </c>
      <c r="R1035" s="26">
        <f>DATE(YEAR(tblEnriched[[#This Row],[Date]]),MONTH(tblEnriched[[#This Row],[Date]]),1)</f>
        <v>45627</v>
      </c>
    </row>
    <row r="1036" spans="1:18">
      <c r="A1036" t="s">
        <v>3737</v>
      </c>
      <c r="B1036" s="10">
        <v>45459</v>
      </c>
      <c r="C1036" t="s">
        <v>3738</v>
      </c>
      <c r="D1036" t="s">
        <v>54</v>
      </c>
      <c r="E1036">
        <v>4</v>
      </c>
      <c r="F1036" s="4">
        <v>517.98</v>
      </c>
      <c r="G1036" t="s">
        <v>71</v>
      </c>
      <c r="H1036" t="s">
        <v>41</v>
      </c>
      <c r="I1036">
        <v>8</v>
      </c>
      <c r="J1036" t="s">
        <v>43</v>
      </c>
      <c r="K1036" t="s">
        <v>51</v>
      </c>
      <c r="L1036" s="4">
        <v>2071.92</v>
      </c>
      <c r="M1036" t="str">
        <f>VLOOKUP(D1036,tblProduct[],2,FALSE)</f>
        <v>Electronics</v>
      </c>
      <c r="N1036" t="str">
        <f>VLOOKUP(D1036,tblProduct[],3,FALSE)</f>
        <v>Medium</v>
      </c>
      <c r="O1036">
        <f>VLOOKUP(D1036,tblProduct[],4,FALSE)</f>
        <v>80000</v>
      </c>
      <c r="P1036">
        <v>2071.92</v>
      </c>
      <c r="Q1036" s="19" t="str">
        <f t="shared" si="16"/>
        <v>Jun-2024</v>
      </c>
      <c r="R1036" s="26">
        <f>DATE(YEAR(tblEnriched[[#This Row],[Date]]),MONTH(tblEnriched[[#This Row],[Date]]),1)</f>
        <v>45444</v>
      </c>
    </row>
    <row r="1037" spans="1:18">
      <c r="A1037" t="s">
        <v>3741</v>
      </c>
      <c r="B1037" s="10">
        <v>45242</v>
      </c>
      <c r="C1037" t="s">
        <v>3742</v>
      </c>
      <c r="D1037" t="s">
        <v>64</v>
      </c>
      <c r="E1037">
        <v>4</v>
      </c>
      <c r="F1037" s="4">
        <v>506.11</v>
      </c>
      <c r="G1037" t="s">
        <v>71</v>
      </c>
      <c r="H1037" t="s">
        <v>41</v>
      </c>
      <c r="I1037">
        <v>5</v>
      </c>
      <c r="K1037" t="s">
        <v>35</v>
      </c>
      <c r="L1037" s="4">
        <v>2024.44</v>
      </c>
      <c r="M1037" t="str">
        <f>VLOOKUP(D1037,tblProduct[],2,FALSE)</f>
        <v>Electronics</v>
      </c>
      <c r="N1037" t="str">
        <f>VLOOKUP(D1037,tblProduct[],3,FALSE)</f>
        <v>High</v>
      </c>
      <c r="O1037">
        <f>VLOOKUP(D1037,tblProduct[],4,FALSE)</f>
        <v>150000</v>
      </c>
      <c r="P1037">
        <v>2024.44</v>
      </c>
      <c r="Q1037" s="19" t="str">
        <f t="shared" si="16"/>
        <v>Nov-2023</v>
      </c>
      <c r="R1037" s="26">
        <f>DATE(YEAR(tblEnriched[[#This Row],[Date]]),MONTH(tblEnriched[[#This Row],[Date]]),1)</f>
        <v>45231</v>
      </c>
    </row>
    <row r="1038" spans="1:18">
      <c r="A1038" t="s">
        <v>3745</v>
      </c>
      <c r="B1038" s="10">
        <v>45443</v>
      </c>
      <c r="C1038" t="s">
        <v>3746</v>
      </c>
      <c r="D1038" t="s">
        <v>31</v>
      </c>
      <c r="E1038">
        <v>3</v>
      </c>
      <c r="F1038" s="4">
        <v>413.83</v>
      </c>
      <c r="G1038" t="s">
        <v>66</v>
      </c>
      <c r="H1038" t="s">
        <v>25</v>
      </c>
      <c r="I1038">
        <v>8</v>
      </c>
      <c r="J1038" t="s">
        <v>27</v>
      </c>
      <c r="K1038" t="s">
        <v>51</v>
      </c>
      <c r="L1038" s="4">
        <v>1241.49</v>
      </c>
      <c r="M1038" t="str">
        <f>VLOOKUP(D1038,tblProduct[],2,FALSE)</f>
        <v>Electronics</v>
      </c>
      <c r="N1038" t="str">
        <f>VLOOKUP(D1038,tblProduct[],3,FALSE)</f>
        <v>High</v>
      </c>
      <c r="O1038">
        <f>VLOOKUP(D1038,tblProduct[],4,FALSE)</f>
        <v>120000</v>
      </c>
      <c r="P1038">
        <v>1241.49</v>
      </c>
      <c r="Q1038" s="19" t="str">
        <f t="shared" si="16"/>
        <v>May-2024</v>
      </c>
      <c r="R1038" s="26">
        <f>DATE(YEAR(tblEnriched[[#This Row],[Date]]),MONTH(tblEnriched[[#This Row],[Date]]),1)</f>
        <v>45413</v>
      </c>
    </row>
    <row r="1039" spans="1:18">
      <c r="A1039" t="s">
        <v>3748</v>
      </c>
      <c r="B1039" s="10">
        <v>45273</v>
      </c>
      <c r="C1039" t="s">
        <v>3749</v>
      </c>
      <c r="D1039" t="s">
        <v>54</v>
      </c>
      <c r="E1039">
        <v>1</v>
      </c>
      <c r="F1039" s="4">
        <v>249.81</v>
      </c>
      <c r="G1039" t="s">
        <v>71</v>
      </c>
      <c r="H1039" t="s">
        <v>95</v>
      </c>
      <c r="I1039">
        <v>1</v>
      </c>
      <c r="J1039" t="s">
        <v>27</v>
      </c>
      <c r="K1039" t="s">
        <v>82</v>
      </c>
      <c r="L1039" s="4">
        <v>249.81</v>
      </c>
      <c r="M1039" t="str">
        <f>VLOOKUP(D1039,tblProduct[],2,FALSE)</f>
        <v>Electronics</v>
      </c>
      <c r="N1039" t="str">
        <f>VLOOKUP(D1039,tblProduct[],3,FALSE)</f>
        <v>Medium</v>
      </c>
      <c r="O1039">
        <f>VLOOKUP(D1039,tblProduct[],4,FALSE)</f>
        <v>80000</v>
      </c>
      <c r="P1039">
        <v>249.81</v>
      </c>
      <c r="Q1039" s="19" t="str">
        <f t="shared" si="16"/>
        <v>Dec-2023</v>
      </c>
      <c r="R1039" s="26">
        <f>DATE(YEAR(tblEnriched[[#This Row],[Date]]),MONTH(tblEnriched[[#This Row],[Date]]),1)</f>
        <v>45261</v>
      </c>
    </row>
    <row r="1040" spans="1:18">
      <c r="A1040" t="s">
        <v>3751</v>
      </c>
      <c r="B1040" s="10">
        <v>45731</v>
      </c>
      <c r="C1040" t="s">
        <v>3752</v>
      </c>
      <c r="D1040" t="s">
        <v>38</v>
      </c>
      <c r="E1040">
        <v>3</v>
      </c>
      <c r="F1040" s="4">
        <v>362.53</v>
      </c>
      <c r="G1040" t="s">
        <v>24</v>
      </c>
      <c r="H1040" t="s">
        <v>49</v>
      </c>
      <c r="I1040">
        <v>5</v>
      </c>
      <c r="K1040" t="s">
        <v>51</v>
      </c>
      <c r="L1040" s="4">
        <v>1087.5899999999999</v>
      </c>
      <c r="M1040" t="str">
        <f>VLOOKUP(D1040,tblProduct[],2,FALSE)</f>
        <v>Electronics</v>
      </c>
      <c r="N1040" t="str">
        <f>VLOOKUP(D1040,tblProduct[],3,FALSE)</f>
        <v>Medium</v>
      </c>
      <c r="O1040">
        <f>VLOOKUP(D1040,tblProduct[],4,FALSE)</f>
        <v>100000</v>
      </c>
      <c r="P1040">
        <v>1087.5899999999999</v>
      </c>
      <c r="Q1040" s="19" t="str">
        <f t="shared" si="16"/>
        <v>Mar-2025</v>
      </c>
      <c r="R1040" s="26">
        <f>DATE(YEAR(tblEnriched[[#This Row],[Date]]),MONTH(tblEnriched[[#This Row],[Date]]),1)</f>
        <v>45717</v>
      </c>
    </row>
    <row r="1041" spans="1:18">
      <c r="A1041" t="s">
        <v>3755</v>
      </c>
      <c r="B1041" s="10">
        <v>45836</v>
      </c>
      <c r="C1041" t="s">
        <v>3756</v>
      </c>
      <c r="D1041" t="s">
        <v>79</v>
      </c>
      <c r="E1041">
        <v>2</v>
      </c>
      <c r="F1041" s="4">
        <v>299.23</v>
      </c>
      <c r="G1041" t="s">
        <v>40</v>
      </c>
      <c r="H1041" t="s">
        <v>41</v>
      </c>
      <c r="I1041">
        <v>2</v>
      </c>
      <c r="J1041" t="s">
        <v>87</v>
      </c>
      <c r="K1041" t="s">
        <v>28</v>
      </c>
      <c r="L1041" s="4">
        <v>598.46</v>
      </c>
      <c r="M1041" t="str">
        <f>VLOOKUP(D1041,tblProduct[],2,FALSE)</f>
        <v>Furniture</v>
      </c>
      <c r="N1041" t="str">
        <f>VLOOKUP(D1041,tblProduct[],3,FALSE)</f>
        <v>High</v>
      </c>
      <c r="O1041">
        <f>VLOOKUP(D1041,tblProduct[],4,FALSE)</f>
        <v>75000</v>
      </c>
      <c r="P1041">
        <v>598.46</v>
      </c>
      <c r="Q1041" s="19" t="str">
        <f t="shared" si="16"/>
        <v>Jun-2025</v>
      </c>
      <c r="R1041" s="26">
        <f>DATE(YEAR(tblEnriched[[#This Row],[Date]]),MONTH(tblEnriched[[#This Row],[Date]]),1)</f>
        <v>45809</v>
      </c>
    </row>
    <row r="1042" spans="1:18">
      <c r="A1042" t="s">
        <v>3759</v>
      </c>
      <c r="B1042" s="10">
        <v>45245</v>
      </c>
      <c r="C1042" t="s">
        <v>3760</v>
      </c>
      <c r="D1042" t="s">
        <v>38</v>
      </c>
      <c r="E1042">
        <v>1</v>
      </c>
      <c r="F1042" s="4">
        <v>536.07000000000005</v>
      </c>
      <c r="G1042" t="s">
        <v>24</v>
      </c>
      <c r="H1042" t="s">
        <v>56</v>
      </c>
      <c r="I1042">
        <v>5</v>
      </c>
      <c r="J1042" t="s">
        <v>43</v>
      </c>
      <c r="K1042" t="s">
        <v>82</v>
      </c>
      <c r="L1042" s="4">
        <v>536.07000000000005</v>
      </c>
      <c r="M1042" t="str">
        <f>VLOOKUP(D1042,tblProduct[],2,FALSE)</f>
        <v>Electronics</v>
      </c>
      <c r="N1042" t="str">
        <f>VLOOKUP(D1042,tblProduct[],3,FALSE)</f>
        <v>Medium</v>
      </c>
      <c r="O1042">
        <f>VLOOKUP(D1042,tblProduct[],4,FALSE)</f>
        <v>100000</v>
      </c>
      <c r="P1042">
        <v>536.07000000000005</v>
      </c>
      <c r="Q1042" s="19" t="str">
        <f t="shared" si="16"/>
        <v>Nov-2023</v>
      </c>
      <c r="R1042" s="26">
        <f>DATE(YEAR(tblEnriched[[#This Row],[Date]]),MONTH(tblEnriched[[#This Row],[Date]]),1)</f>
        <v>45231</v>
      </c>
    </row>
    <row r="1043" spans="1:18">
      <c r="A1043" t="s">
        <v>3762</v>
      </c>
      <c r="B1043" s="10">
        <v>44968</v>
      </c>
      <c r="C1043" t="s">
        <v>3763</v>
      </c>
      <c r="D1043" t="s">
        <v>22</v>
      </c>
      <c r="E1043">
        <v>4</v>
      </c>
      <c r="F1043" s="4">
        <v>558.9</v>
      </c>
      <c r="G1043" t="s">
        <v>66</v>
      </c>
      <c r="H1043" t="s">
        <v>25</v>
      </c>
      <c r="I1043">
        <v>9</v>
      </c>
      <c r="J1043" t="s">
        <v>87</v>
      </c>
      <c r="K1043" t="s">
        <v>82</v>
      </c>
      <c r="L1043" s="4">
        <v>2235.6</v>
      </c>
      <c r="M1043" t="str">
        <f>VLOOKUP(D1043,tblProduct[],2,FALSE)</f>
        <v>Electronics</v>
      </c>
      <c r="N1043" t="str">
        <f>VLOOKUP(D1043,tblProduct[],3,FALSE)</f>
        <v>Medium</v>
      </c>
      <c r="O1043">
        <f>VLOOKUP(D1043,tblProduct[],4,FALSE)</f>
        <v>90000</v>
      </c>
      <c r="P1043">
        <v>2235.6</v>
      </c>
      <c r="Q1043" s="19" t="str">
        <f t="shared" si="16"/>
        <v>Feb-2023</v>
      </c>
      <c r="R1043" s="26">
        <f>DATE(YEAR(tblEnriched[[#This Row],[Date]]),MONTH(tblEnriched[[#This Row],[Date]]),1)</f>
        <v>44958</v>
      </c>
    </row>
    <row r="1044" spans="1:18">
      <c r="A1044" t="s">
        <v>3765</v>
      </c>
      <c r="B1044" s="10">
        <v>45635</v>
      </c>
      <c r="C1044" t="s">
        <v>3766</v>
      </c>
      <c r="D1044" t="s">
        <v>38</v>
      </c>
      <c r="E1044">
        <v>2</v>
      </c>
      <c r="F1044" s="4">
        <v>409.75</v>
      </c>
      <c r="G1044" t="s">
        <v>24</v>
      </c>
      <c r="H1044" t="s">
        <v>25</v>
      </c>
      <c r="I1044">
        <v>2</v>
      </c>
      <c r="J1044" t="s">
        <v>87</v>
      </c>
      <c r="K1044" t="s">
        <v>51</v>
      </c>
      <c r="L1044" s="4">
        <v>819.5</v>
      </c>
      <c r="M1044" t="str">
        <f>VLOOKUP(D1044,tblProduct[],2,FALSE)</f>
        <v>Electronics</v>
      </c>
      <c r="N1044" t="str">
        <f>VLOOKUP(D1044,tblProduct[],3,FALSE)</f>
        <v>Medium</v>
      </c>
      <c r="O1044">
        <f>VLOOKUP(D1044,tblProduct[],4,FALSE)</f>
        <v>100000</v>
      </c>
      <c r="P1044">
        <v>819.5</v>
      </c>
      <c r="Q1044" s="19" t="str">
        <f t="shared" si="16"/>
        <v>Dec-2024</v>
      </c>
      <c r="R1044" s="26">
        <f>DATE(YEAR(tblEnriched[[#This Row],[Date]]),MONTH(tblEnriched[[#This Row],[Date]]),1)</f>
        <v>45627</v>
      </c>
    </row>
    <row r="1045" spans="1:18">
      <c r="A1045" t="s">
        <v>3768</v>
      </c>
      <c r="B1045" s="10">
        <v>45668</v>
      </c>
      <c r="C1045" t="s">
        <v>3769</v>
      </c>
      <c r="D1045" t="s">
        <v>38</v>
      </c>
      <c r="E1045">
        <v>2</v>
      </c>
      <c r="F1045" s="4">
        <v>179.96</v>
      </c>
      <c r="G1045" t="s">
        <v>66</v>
      </c>
      <c r="H1045" t="s">
        <v>25</v>
      </c>
      <c r="I1045">
        <v>5</v>
      </c>
      <c r="K1045" t="s">
        <v>28</v>
      </c>
      <c r="L1045" s="4">
        <v>359.92</v>
      </c>
      <c r="M1045" t="str">
        <f>VLOOKUP(D1045,tblProduct[],2,FALSE)</f>
        <v>Electronics</v>
      </c>
      <c r="N1045" t="str">
        <f>VLOOKUP(D1045,tblProduct[],3,FALSE)</f>
        <v>Medium</v>
      </c>
      <c r="O1045">
        <f>VLOOKUP(D1045,tblProduct[],4,FALSE)</f>
        <v>100000</v>
      </c>
      <c r="P1045">
        <v>359.92</v>
      </c>
      <c r="Q1045" s="19" t="str">
        <f t="shared" si="16"/>
        <v>Jan-2025</v>
      </c>
      <c r="R1045" s="26">
        <f>DATE(YEAR(tblEnriched[[#This Row],[Date]]),MONTH(tblEnriched[[#This Row],[Date]]),1)</f>
        <v>45658</v>
      </c>
    </row>
    <row r="1046" spans="1:18">
      <c r="A1046" t="s">
        <v>3771</v>
      </c>
      <c r="B1046" s="10">
        <v>45830</v>
      </c>
      <c r="C1046" t="s">
        <v>3772</v>
      </c>
      <c r="D1046" t="s">
        <v>54</v>
      </c>
      <c r="E1046">
        <v>1</v>
      </c>
      <c r="F1046" s="4">
        <v>38.49</v>
      </c>
      <c r="G1046" t="s">
        <v>40</v>
      </c>
      <c r="H1046" t="s">
        <v>56</v>
      </c>
      <c r="I1046">
        <v>4</v>
      </c>
      <c r="J1046" t="s">
        <v>43</v>
      </c>
      <c r="K1046" t="s">
        <v>35</v>
      </c>
      <c r="L1046" s="4">
        <v>38.49</v>
      </c>
      <c r="M1046" t="str">
        <f>VLOOKUP(D1046,tblProduct[],2,FALSE)</f>
        <v>Electronics</v>
      </c>
      <c r="N1046" t="str">
        <f>VLOOKUP(D1046,tblProduct[],3,FALSE)</f>
        <v>Medium</v>
      </c>
      <c r="O1046">
        <f>VLOOKUP(D1046,tblProduct[],4,FALSE)</f>
        <v>80000</v>
      </c>
      <c r="P1046">
        <v>38.49</v>
      </c>
      <c r="Q1046" s="19" t="str">
        <f t="shared" si="16"/>
        <v>Jun-2025</v>
      </c>
      <c r="R1046" s="26">
        <f>DATE(YEAR(tblEnriched[[#This Row],[Date]]),MONTH(tblEnriched[[#This Row],[Date]]),1)</f>
        <v>45809</v>
      </c>
    </row>
    <row r="1047" spans="1:18">
      <c r="A1047" t="s">
        <v>3775</v>
      </c>
      <c r="B1047" s="10">
        <v>45555</v>
      </c>
      <c r="C1047" t="s">
        <v>3776</v>
      </c>
      <c r="D1047" t="s">
        <v>64</v>
      </c>
      <c r="E1047">
        <v>5</v>
      </c>
      <c r="F1047" s="4">
        <v>316.39999999999998</v>
      </c>
      <c r="G1047" t="s">
        <v>66</v>
      </c>
      <c r="H1047" t="s">
        <v>49</v>
      </c>
      <c r="I1047">
        <v>7</v>
      </c>
      <c r="K1047" t="s">
        <v>44</v>
      </c>
      <c r="L1047" s="4">
        <v>1582</v>
      </c>
      <c r="M1047" t="str">
        <f>VLOOKUP(D1047,tblProduct[],2,FALSE)</f>
        <v>Electronics</v>
      </c>
      <c r="N1047" t="str">
        <f>VLOOKUP(D1047,tblProduct[],3,FALSE)</f>
        <v>High</v>
      </c>
      <c r="O1047">
        <f>VLOOKUP(D1047,tblProduct[],4,FALSE)</f>
        <v>150000</v>
      </c>
      <c r="P1047">
        <v>1582</v>
      </c>
      <c r="Q1047" s="19" t="str">
        <f t="shared" si="16"/>
        <v>Sep-2024</v>
      </c>
      <c r="R1047" s="26">
        <f>DATE(YEAR(tblEnriched[[#This Row],[Date]]),MONTH(tblEnriched[[#This Row],[Date]]),1)</f>
        <v>45536</v>
      </c>
    </row>
    <row r="1048" spans="1:18">
      <c r="A1048" t="s">
        <v>3779</v>
      </c>
      <c r="B1048" s="10">
        <v>45572</v>
      </c>
      <c r="C1048" t="s">
        <v>3780</v>
      </c>
      <c r="D1048" t="s">
        <v>38</v>
      </c>
      <c r="E1048">
        <v>3</v>
      </c>
      <c r="F1048" s="4">
        <v>547.15</v>
      </c>
      <c r="G1048" t="s">
        <v>33</v>
      </c>
      <c r="H1048" t="s">
        <v>25</v>
      </c>
      <c r="I1048">
        <v>4</v>
      </c>
      <c r="J1048" t="s">
        <v>87</v>
      </c>
      <c r="K1048" t="s">
        <v>28</v>
      </c>
      <c r="L1048" s="4">
        <v>1641.45</v>
      </c>
      <c r="M1048" t="str">
        <f>VLOOKUP(D1048,tblProduct[],2,FALSE)</f>
        <v>Electronics</v>
      </c>
      <c r="N1048" t="str">
        <f>VLOOKUP(D1048,tblProduct[],3,FALSE)</f>
        <v>Medium</v>
      </c>
      <c r="O1048">
        <f>VLOOKUP(D1048,tblProduct[],4,FALSE)</f>
        <v>100000</v>
      </c>
      <c r="P1048">
        <v>1641.45</v>
      </c>
      <c r="Q1048" s="19" t="str">
        <f t="shared" si="16"/>
        <v>Oct-2024</v>
      </c>
      <c r="R1048" s="26">
        <f>DATE(YEAR(tblEnriched[[#This Row],[Date]]),MONTH(tblEnriched[[#This Row],[Date]]),1)</f>
        <v>45566</v>
      </c>
    </row>
    <row r="1049" spans="1:18">
      <c r="A1049" t="s">
        <v>3783</v>
      </c>
      <c r="B1049" s="10">
        <v>45100</v>
      </c>
      <c r="C1049" t="s">
        <v>3784</v>
      </c>
      <c r="D1049" t="s">
        <v>47</v>
      </c>
      <c r="E1049">
        <v>4</v>
      </c>
      <c r="F1049" s="4">
        <v>540.34</v>
      </c>
      <c r="G1049" t="s">
        <v>66</v>
      </c>
      <c r="H1049" t="s">
        <v>25</v>
      </c>
      <c r="I1049">
        <v>6</v>
      </c>
      <c r="J1049" t="s">
        <v>87</v>
      </c>
      <c r="K1049" t="s">
        <v>35</v>
      </c>
      <c r="L1049" s="4">
        <v>2161.36</v>
      </c>
      <c r="M1049" t="str">
        <f>VLOOKUP(D1049,tblProduct[],2,FALSE)</f>
        <v>Furniture</v>
      </c>
      <c r="N1049" t="str">
        <f>VLOOKUP(D1049,tblProduct[],3,FALSE)</f>
        <v>Medium</v>
      </c>
      <c r="O1049">
        <f>VLOOKUP(D1049,tblProduct[],4,FALSE)</f>
        <v>70000</v>
      </c>
      <c r="P1049">
        <v>2161.36</v>
      </c>
      <c r="Q1049" s="19" t="str">
        <f t="shared" si="16"/>
        <v>Jun-2023</v>
      </c>
      <c r="R1049" s="26">
        <f>DATE(YEAR(tblEnriched[[#This Row],[Date]]),MONTH(tblEnriched[[#This Row],[Date]]),1)</f>
        <v>45078</v>
      </c>
    </row>
    <row r="1050" spans="1:18">
      <c r="A1050" t="s">
        <v>3787</v>
      </c>
      <c r="B1050" s="10">
        <v>45544</v>
      </c>
      <c r="C1050" t="s">
        <v>3788</v>
      </c>
      <c r="D1050" t="s">
        <v>22</v>
      </c>
      <c r="E1050">
        <v>4</v>
      </c>
      <c r="F1050" s="4">
        <v>73.650000000000006</v>
      </c>
      <c r="G1050" t="s">
        <v>24</v>
      </c>
      <c r="H1050" t="s">
        <v>25</v>
      </c>
      <c r="I1050">
        <v>9</v>
      </c>
      <c r="K1050" t="s">
        <v>82</v>
      </c>
      <c r="L1050" s="4">
        <v>294.60000000000002</v>
      </c>
      <c r="M1050" t="str">
        <f>VLOOKUP(D1050,tblProduct[],2,FALSE)</f>
        <v>Electronics</v>
      </c>
      <c r="N1050" t="str">
        <f>VLOOKUP(D1050,tblProduct[],3,FALSE)</f>
        <v>Medium</v>
      </c>
      <c r="O1050">
        <f>VLOOKUP(D1050,tblProduct[],4,FALSE)</f>
        <v>90000</v>
      </c>
      <c r="P1050">
        <v>294.60000000000002</v>
      </c>
      <c r="Q1050" s="19" t="str">
        <f t="shared" si="16"/>
        <v>Sep-2024</v>
      </c>
      <c r="R1050" s="26">
        <f>DATE(YEAR(tblEnriched[[#This Row],[Date]]),MONTH(tblEnriched[[#This Row],[Date]]),1)</f>
        <v>45536</v>
      </c>
    </row>
    <row r="1051" spans="1:18">
      <c r="A1051" t="s">
        <v>3791</v>
      </c>
      <c r="B1051" s="10">
        <v>45491</v>
      </c>
      <c r="C1051" t="s">
        <v>3792</v>
      </c>
      <c r="D1051" t="s">
        <v>79</v>
      </c>
      <c r="E1051">
        <v>5</v>
      </c>
      <c r="F1051" s="4">
        <v>391.86</v>
      </c>
      <c r="G1051" t="s">
        <v>40</v>
      </c>
      <c r="H1051" t="s">
        <v>25</v>
      </c>
      <c r="I1051">
        <v>6</v>
      </c>
      <c r="K1051" t="s">
        <v>28</v>
      </c>
      <c r="L1051" s="4">
        <v>1959.3</v>
      </c>
      <c r="M1051" t="str">
        <f>VLOOKUP(D1051,tblProduct[],2,FALSE)</f>
        <v>Furniture</v>
      </c>
      <c r="N1051" t="str">
        <f>VLOOKUP(D1051,tblProduct[],3,FALSE)</f>
        <v>High</v>
      </c>
      <c r="O1051">
        <f>VLOOKUP(D1051,tblProduct[],4,FALSE)</f>
        <v>75000</v>
      </c>
      <c r="P1051">
        <v>1959.3</v>
      </c>
      <c r="Q1051" s="19" t="str">
        <f t="shared" si="16"/>
        <v>Jul-2024</v>
      </c>
      <c r="R1051" s="26">
        <f>DATE(YEAR(tblEnriched[[#This Row],[Date]]),MONTH(tblEnriched[[#This Row],[Date]]),1)</f>
        <v>45474</v>
      </c>
    </row>
    <row r="1052" spans="1:18">
      <c r="A1052" t="s">
        <v>3794</v>
      </c>
      <c r="B1052" s="10">
        <v>45158</v>
      </c>
      <c r="C1052" t="s">
        <v>3795</v>
      </c>
      <c r="D1052" t="s">
        <v>64</v>
      </c>
      <c r="E1052">
        <v>5</v>
      </c>
      <c r="F1052" s="4">
        <v>69.7</v>
      </c>
      <c r="G1052" t="s">
        <v>33</v>
      </c>
      <c r="H1052" t="s">
        <v>49</v>
      </c>
      <c r="I1052">
        <v>9</v>
      </c>
      <c r="K1052" t="s">
        <v>28</v>
      </c>
      <c r="L1052" s="4">
        <v>348.5</v>
      </c>
      <c r="M1052" t="str">
        <f>VLOOKUP(D1052,tblProduct[],2,FALSE)</f>
        <v>Electronics</v>
      </c>
      <c r="N1052" t="str">
        <f>VLOOKUP(D1052,tblProduct[],3,FALSE)</f>
        <v>High</v>
      </c>
      <c r="O1052">
        <f>VLOOKUP(D1052,tblProduct[],4,FALSE)</f>
        <v>150000</v>
      </c>
      <c r="P1052">
        <v>348.5</v>
      </c>
      <c r="Q1052" s="19" t="str">
        <f t="shared" si="16"/>
        <v>Aug-2023</v>
      </c>
      <c r="R1052" s="26">
        <f>DATE(YEAR(tblEnriched[[#This Row],[Date]]),MONTH(tblEnriched[[#This Row],[Date]]),1)</f>
        <v>45139</v>
      </c>
    </row>
    <row r="1053" spans="1:18">
      <c r="A1053" t="s">
        <v>3797</v>
      </c>
      <c r="B1053" s="10">
        <v>45721</v>
      </c>
      <c r="C1053" t="s">
        <v>3798</v>
      </c>
      <c r="D1053" t="s">
        <v>22</v>
      </c>
      <c r="E1053">
        <v>5</v>
      </c>
      <c r="F1053" s="4">
        <v>26.43</v>
      </c>
      <c r="G1053" t="s">
        <v>66</v>
      </c>
      <c r="H1053" t="s">
        <v>25</v>
      </c>
      <c r="I1053">
        <v>5</v>
      </c>
      <c r="J1053" t="s">
        <v>43</v>
      </c>
      <c r="K1053" t="s">
        <v>51</v>
      </c>
      <c r="L1053" s="4">
        <v>132.15</v>
      </c>
      <c r="M1053" t="str">
        <f>VLOOKUP(D1053,tblProduct[],2,FALSE)</f>
        <v>Electronics</v>
      </c>
      <c r="N1053" t="str">
        <f>VLOOKUP(D1053,tblProduct[],3,FALSE)</f>
        <v>Medium</v>
      </c>
      <c r="O1053">
        <f>VLOOKUP(D1053,tblProduct[],4,FALSE)</f>
        <v>90000</v>
      </c>
      <c r="P1053">
        <v>132.15</v>
      </c>
      <c r="Q1053" s="19" t="str">
        <f t="shared" si="16"/>
        <v>Mar-2025</v>
      </c>
      <c r="R1053" s="26">
        <f>DATE(YEAR(tblEnriched[[#This Row],[Date]]),MONTH(tblEnriched[[#This Row],[Date]]),1)</f>
        <v>45717</v>
      </c>
    </row>
    <row r="1054" spans="1:18">
      <c r="A1054" t="s">
        <v>3801</v>
      </c>
      <c r="B1054" s="10">
        <v>45180</v>
      </c>
      <c r="C1054" t="s">
        <v>3802</v>
      </c>
      <c r="D1054" t="s">
        <v>38</v>
      </c>
      <c r="E1054">
        <v>1</v>
      </c>
      <c r="F1054" s="4">
        <v>531.74</v>
      </c>
      <c r="G1054" t="s">
        <v>33</v>
      </c>
      <c r="H1054" t="s">
        <v>25</v>
      </c>
      <c r="I1054">
        <v>1</v>
      </c>
      <c r="J1054" t="s">
        <v>87</v>
      </c>
      <c r="K1054" t="s">
        <v>82</v>
      </c>
      <c r="L1054" s="4">
        <v>531.74</v>
      </c>
      <c r="M1054" t="str">
        <f>VLOOKUP(D1054,tblProduct[],2,FALSE)</f>
        <v>Electronics</v>
      </c>
      <c r="N1054" t="str">
        <f>VLOOKUP(D1054,tblProduct[],3,FALSE)</f>
        <v>Medium</v>
      </c>
      <c r="O1054">
        <f>VLOOKUP(D1054,tblProduct[],4,FALSE)</f>
        <v>100000</v>
      </c>
      <c r="P1054">
        <v>531.74</v>
      </c>
      <c r="Q1054" s="19" t="str">
        <f t="shared" si="16"/>
        <v>Sep-2023</v>
      </c>
      <c r="R1054" s="26">
        <f>DATE(YEAR(tblEnriched[[#This Row],[Date]]),MONTH(tblEnriched[[#This Row],[Date]]),1)</f>
        <v>45170</v>
      </c>
    </row>
    <row r="1055" spans="1:18">
      <c r="A1055" t="s">
        <v>3805</v>
      </c>
      <c r="B1055" s="10">
        <v>45550</v>
      </c>
      <c r="C1055" t="s">
        <v>3806</v>
      </c>
      <c r="D1055" t="s">
        <v>31</v>
      </c>
      <c r="E1055">
        <v>2</v>
      </c>
      <c r="F1055" s="4">
        <v>496.62</v>
      </c>
      <c r="G1055" t="s">
        <v>33</v>
      </c>
      <c r="H1055" t="s">
        <v>95</v>
      </c>
      <c r="I1055">
        <v>2</v>
      </c>
      <c r="J1055" t="s">
        <v>27</v>
      </c>
      <c r="K1055" t="s">
        <v>28</v>
      </c>
      <c r="L1055" s="4">
        <v>993.24</v>
      </c>
      <c r="M1055" t="str">
        <f>VLOOKUP(D1055,tblProduct[],2,FALSE)</f>
        <v>Electronics</v>
      </c>
      <c r="N1055" t="str">
        <f>VLOOKUP(D1055,tblProduct[],3,FALSE)</f>
        <v>High</v>
      </c>
      <c r="O1055">
        <f>VLOOKUP(D1055,tblProduct[],4,FALSE)</f>
        <v>120000</v>
      </c>
      <c r="P1055">
        <v>993.24</v>
      </c>
      <c r="Q1055" s="19" t="str">
        <f t="shared" si="16"/>
        <v>Sep-2024</v>
      </c>
      <c r="R1055" s="26">
        <f>DATE(YEAR(tblEnriched[[#This Row],[Date]]),MONTH(tblEnriched[[#This Row],[Date]]),1)</f>
        <v>45536</v>
      </c>
    </row>
    <row r="1056" spans="1:18">
      <c r="A1056" t="s">
        <v>3808</v>
      </c>
      <c r="B1056" s="10">
        <v>45259</v>
      </c>
      <c r="C1056" t="s">
        <v>3809</v>
      </c>
      <c r="D1056" t="s">
        <v>54</v>
      </c>
      <c r="E1056">
        <v>1</v>
      </c>
      <c r="F1056" s="4">
        <v>660.66</v>
      </c>
      <c r="G1056" t="s">
        <v>24</v>
      </c>
      <c r="H1056" t="s">
        <v>56</v>
      </c>
      <c r="I1056">
        <v>3</v>
      </c>
      <c r="J1056" t="s">
        <v>87</v>
      </c>
      <c r="K1056" t="s">
        <v>28</v>
      </c>
      <c r="L1056" s="4">
        <v>660.66</v>
      </c>
      <c r="M1056" t="str">
        <f>VLOOKUP(D1056,tblProduct[],2,FALSE)</f>
        <v>Electronics</v>
      </c>
      <c r="N1056" t="str">
        <f>VLOOKUP(D1056,tblProduct[],3,FALSE)</f>
        <v>Medium</v>
      </c>
      <c r="O1056">
        <f>VLOOKUP(D1056,tblProduct[],4,FALSE)</f>
        <v>80000</v>
      </c>
      <c r="P1056">
        <v>660.66</v>
      </c>
      <c r="Q1056" s="19" t="str">
        <f t="shared" si="16"/>
        <v>Nov-2023</v>
      </c>
      <c r="R1056" s="26">
        <f>DATE(YEAR(tblEnriched[[#This Row],[Date]]),MONTH(tblEnriched[[#This Row],[Date]]),1)</f>
        <v>45231</v>
      </c>
    </row>
    <row r="1057" spans="1:18">
      <c r="A1057" t="s">
        <v>3811</v>
      </c>
      <c r="B1057" s="10">
        <v>45222</v>
      </c>
      <c r="C1057" t="s">
        <v>3812</v>
      </c>
      <c r="D1057" t="s">
        <v>22</v>
      </c>
      <c r="E1057">
        <v>4</v>
      </c>
      <c r="F1057" s="4">
        <v>274.82</v>
      </c>
      <c r="G1057" t="s">
        <v>24</v>
      </c>
      <c r="H1057" t="s">
        <v>56</v>
      </c>
      <c r="I1057">
        <v>9</v>
      </c>
      <c r="J1057" t="s">
        <v>87</v>
      </c>
      <c r="K1057" t="s">
        <v>44</v>
      </c>
      <c r="L1057" s="4">
        <v>1099.28</v>
      </c>
      <c r="M1057" t="str">
        <f>VLOOKUP(D1057,tblProduct[],2,FALSE)</f>
        <v>Electronics</v>
      </c>
      <c r="N1057" t="str">
        <f>VLOOKUP(D1057,tblProduct[],3,FALSE)</f>
        <v>Medium</v>
      </c>
      <c r="O1057">
        <f>VLOOKUP(D1057,tblProduct[],4,FALSE)</f>
        <v>90000</v>
      </c>
      <c r="P1057">
        <v>1099.28</v>
      </c>
      <c r="Q1057" s="19" t="str">
        <f t="shared" si="16"/>
        <v>Oct-2023</v>
      </c>
      <c r="R1057" s="26">
        <f>DATE(YEAR(tblEnriched[[#This Row],[Date]]),MONTH(tblEnriched[[#This Row],[Date]]),1)</f>
        <v>45200</v>
      </c>
    </row>
    <row r="1058" spans="1:18">
      <c r="A1058" t="s">
        <v>3814</v>
      </c>
      <c r="B1058" s="10">
        <v>45457</v>
      </c>
      <c r="C1058" t="s">
        <v>3815</v>
      </c>
      <c r="D1058" t="s">
        <v>31</v>
      </c>
      <c r="E1058">
        <v>2</v>
      </c>
      <c r="F1058" s="4">
        <v>486.35</v>
      </c>
      <c r="G1058" t="s">
        <v>33</v>
      </c>
      <c r="H1058" t="s">
        <v>95</v>
      </c>
      <c r="I1058">
        <v>6</v>
      </c>
      <c r="J1058" t="s">
        <v>27</v>
      </c>
      <c r="K1058" t="s">
        <v>35</v>
      </c>
      <c r="L1058" s="4">
        <v>972.7</v>
      </c>
      <c r="M1058" t="str">
        <f>VLOOKUP(D1058,tblProduct[],2,FALSE)</f>
        <v>Electronics</v>
      </c>
      <c r="N1058" t="str">
        <f>VLOOKUP(D1058,tblProduct[],3,FALSE)</f>
        <v>High</v>
      </c>
      <c r="O1058">
        <f>VLOOKUP(D1058,tblProduct[],4,FALSE)</f>
        <v>120000</v>
      </c>
      <c r="P1058">
        <v>972.7</v>
      </c>
      <c r="Q1058" s="19" t="str">
        <f t="shared" si="16"/>
        <v>Jun-2024</v>
      </c>
      <c r="R1058" s="26">
        <f>DATE(YEAR(tblEnriched[[#This Row],[Date]]),MONTH(tblEnriched[[#This Row],[Date]]),1)</f>
        <v>45444</v>
      </c>
    </row>
    <row r="1059" spans="1:18">
      <c r="A1059" t="s">
        <v>3817</v>
      </c>
      <c r="B1059" s="10">
        <v>45559</v>
      </c>
      <c r="C1059" t="s">
        <v>3818</v>
      </c>
      <c r="D1059" t="s">
        <v>64</v>
      </c>
      <c r="E1059">
        <v>3</v>
      </c>
      <c r="F1059" s="4">
        <v>428.88</v>
      </c>
      <c r="G1059" t="s">
        <v>24</v>
      </c>
      <c r="H1059" t="s">
        <v>25</v>
      </c>
      <c r="I1059">
        <v>3</v>
      </c>
      <c r="J1059" t="s">
        <v>87</v>
      </c>
      <c r="K1059" t="s">
        <v>51</v>
      </c>
      <c r="L1059" s="4">
        <v>1286.6400000000001</v>
      </c>
      <c r="M1059" t="str">
        <f>VLOOKUP(D1059,tblProduct[],2,FALSE)</f>
        <v>Electronics</v>
      </c>
      <c r="N1059" t="str">
        <f>VLOOKUP(D1059,tblProduct[],3,FALSE)</f>
        <v>High</v>
      </c>
      <c r="O1059">
        <f>VLOOKUP(D1059,tblProduct[],4,FALSE)</f>
        <v>150000</v>
      </c>
      <c r="P1059">
        <v>1286.6400000000001</v>
      </c>
      <c r="Q1059" s="19" t="str">
        <f t="shared" si="16"/>
        <v>Sep-2024</v>
      </c>
      <c r="R1059" s="26">
        <f>DATE(YEAR(tblEnriched[[#This Row],[Date]]),MONTH(tblEnriched[[#This Row],[Date]]),1)</f>
        <v>45536</v>
      </c>
    </row>
    <row r="1060" spans="1:18">
      <c r="A1060" t="s">
        <v>3820</v>
      </c>
      <c r="B1060" s="10">
        <v>45177</v>
      </c>
      <c r="C1060" t="s">
        <v>3821</v>
      </c>
      <c r="D1060" t="s">
        <v>79</v>
      </c>
      <c r="E1060">
        <v>2</v>
      </c>
      <c r="F1060" s="4">
        <v>412.14</v>
      </c>
      <c r="G1060" t="s">
        <v>40</v>
      </c>
      <c r="H1060" t="s">
        <v>49</v>
      </c>
      <c r="I1060">
        <v>2</v>
      </c>
      <c r="J1060" t="s">
        <v>43</v>
      </c>
      <c r="K1060" t="s">
        <v>28</v>
      </c>
      <c r="L1060" s="4">
        <v>824.28</v>
      </c>
      <c r="M1060" t="str">
        <f>VLOOKUP(D1060,tblProduct[],2,FALSE)</f>
        <v>Furniture</v>
      </c>
      <c r="N1060" t="str">
        <f>VLOOKUP(D1060,tblProduct[],3,FALSE)</f>
        <v>High</v>
      </c>
      <c r="O1060">
        <f>VLOOKUP(D1060,tblProduct[],4,FALSE)</f>
        <v>75000</v>
      </c>
      <c r="P1060">
        <v>824.28</v>
      </c>
      <c r="Q1060" s="19" t="str">
        <f t="shared" si="16"/>
        <v>Sep-2023</v>
      </c>
      <c r="R1060" s="26">
        <f>DATE(YEAR(tblEnriched[[#This Row],[Date]]),MONTH(tblEnriched[[#This Row],[Date]]),1)</f>
        <v>45170</v>
      </c>
    </row>
    <row r="1061" spans="1:18">
      <c r="A1061" t="s">
        <v>3823</v>
      </c>
      <c r="B1061" s="10">
        <v>45557</v>
      </c>
      <c r="C1061" t="s">
        <v>3824</v>
      </c>
      <c r="D1061" t="s">
        <v>79</v>
      </c>
      <c r="E1061">
        <v>1</v>
      </c>
      <c r="F1061" s="4">
        <v>265.64</v>
      </c>
      <c r="G1061" t="s">
        <v>40</v>
      </c>
      <c r="H1061" t="s">
        <v>49</v>
      </c>
      <c r="I1061">
        <v>3</v>
      </c>
      <c r="J1061" t="s">
        <v>87</v>
      </c>
      <c r="K1061" t="s">
        <v>28</v>
      </c>
      <c r="L1061" s="4">
        <v>265.64</v>
      </c>
      <c r="M1061" t="str">
        <f>VLOOKUP(D1061,tblProduct[],2,FALSE)</f>
        <v>Furniture</v>
      </c>
      <c r="N1061" t="str">
        <f>VLOOKUP(D1061,tblProduct[],3,FALSE)</f>
        <v>High</v>
      </c>
      <c r="O1061">
        <f>VLOOKUP(D1061,tblProduct[],4,FALSE)</f>
        <v>75000</v>
      </c>
      <c r="P1061">
        <v>265.64</v>
      </c>
      <c r="Q1061" s="19" t="str">
        <f t="shared" si="16"/>
        <v>Sep-2024</v>
      </c>
      <c r="R1061" s="26">
        <f>DATE(YEAR(tblEnriched[[#This Row],[Date]]),MONTH(tblEnriched[[#This Row],[Date]]),1)</f>
        <v>45536</v>
      </c>
    </row>
    <row r="1062" spans="1:18">
      <c r="A1062" t="s">
        <v>3827</v>
      </c>
      <c r="B1062" s="10">
        <v>45419</v>
      </c>
      <c r="C1062" t="s">
        <v>3828</v>
      </c>
      <c r="D1062" t="s">
        <v>38</v>
      </c>
      <c r="E1062">
        <v>2</v>
      </c>
      <c r="F1062" s="4">
        <v>273.43</v>
      </c>
      <c r="G1062" t="s">
        <v>71</v>
      </c>
      <c r="H1062" t="s">
        <v>25</v>
      </c>
      <c r="I1062">
        <v>7</v>
      </c>
      <c r="J1062" t="s">
        <v>87</v>
      </c>
      <c r="K1062" t="s">
        <v>35</v>
      </c>
      <c r="L1062" s="4">
        <v>546.86</v>
      </c>
      <c r="M1062" t="str">
        <f>VLOOKUP(D1062,tblProduct[],2,FALSE)</f>
        <v>Electronics</v>
      </c>
      <c r="N1062" t="str">
        <f>VLOOKUP(D1062,tblProduct[],3,FALSE)</f>
        <v>Medium</v>
      </c>
      <c r="O1062">
        <f>VLOOKUP(D1062,tblProduct[],4,FALSE)</f>
        <v>100000</v>
      </c>
      <c r="P1062">
        <v>546.86</v>
      </c>
      <c r="Q1062" s="19" t="str">
        <f t="shared" si="16"/>
        <v>May-2024</v>
      </c>
      <c r="R1062" s="26">
        <f>DATE(YEAR(tblEnriched[[#This Row],[Date]]),MONTH(tblEnriched[[#This Row],[Date]]),1)</f>
        <v>45413</v>
      </c>
    </row>
    <row r="1063" spans="1:18">
      <c r="A1063" t="s">
        <v>3830</v>
      </c>
      <c r="B1063" s="10">
        <v>45686</v>
      </c>
      <c r="C1063" t="s">
        <v>3831</v>
      </c>
      <c r="D1063" t="s">
        <v>64</v>
      </c>
      <c r="E1063">
        <v>5</v>
      </c>
      <c r="F1063" s="4">
        <v>131.69999999999999</v>
      </c>
      <c r="G1063" t="s">
        <v>71</v>
      </c>
      <c r="H1063" t="s">
        <v>25</v>
      </c>
      <c r="I1063">
        <v>8</v>
      </c>
      <c r="J1063" t="s">
        <v>43</v>
      </c>
      <c r="K1063" t="s">
        <v>82</v>
      </c>
      <c r="L1063" s="4">
        <v>658.5</v>
      </c>
      <c r="M1063" t="str">
        <f>VLOOKUP(D1063,tblProduct[],2,FALSE)</f>
        <v>Electronics</v>
      </c>
      <c r="N1063" t="str">
        <f>VLOOKUP(D1063,tblProduct[],3,FALSE)</f>
        <v>High</v>
      </c>
      <c r="O1063">
        <f>VLOOKUP(D1063,tblProduct[],4,FALSE)</f>
        <v>150000</v>
      </c>
      <c r="P1063">
        <v>658.5</v>
      </c>
      <c r="Q1063" s="19" t="str">
        <f t="shared" si="16"/>
        <v>Jan-2025</v>
      </c>
      <c r="R1063" s="26">
        <f>DATE(YEAR(tblEnriched[[#This Row],[Date]]),MONTH(tblEnriched[[#This Row],[Date]]),1)</f>
        <v>45658</v>
      </c>
    </row>
    <row r="1064" spans="1:18">
      <c r="A1064" t="s">
        <v>3833</v>
      </c>
      <c r="B1064" s="10">
        <v>45161</v>
      </c>
      <c r="C1064" t="s">
        <v>3834</v>
      </c>
      <c r="D1064" t="s">
        <v>47</v>
      </c>
      <c r="E1064">
        <v>5</v>
      </c>
      <c r="F1064" s="4">
        <v>85.52</v>
      </c>
      <c r="G1064" t="s">
        <v>66</v>
      </c>
      <c r="H1064" t="s">
        <v>41</v>
      </c>
      <c r="I1064">
        <v>5</v>
      </c>
      <c r="K1064" t="s">
        <v>51</v>
      </c>
      <c r="L1064" s="4">
        <v>427.6</v>
      </c>
      <c r="M1064" t="str">
        <f>VLOOKUP(D1064,tblProduct[],2,FALSE)</f>
        <v>Furniture</v>
      </c>
      <c r="N1064" t="str">
        <f>VLOOKUP(D1064,tblProduct[],3,FALSE)</f>
        <v>Medium</v>
      </c>
      <c r="O1064">
        <f>VLOOKUP(D1064,tblProduct[],4,FALSE)</f>
        <v>70000</v>
      </c>
      <c r="P1064">
        <v>427.6</v>
      </c>
      <c r="Q1064" s="19" t="str">
        <f t="shared" si="16"/>
        <v>Aug-2023</v>
      </c>
      <c r="R1064" s="26">
        <f>DATE(YEAR(tblEnriched[[#This Row],[Date]]),MONTH(tblEnriched[[#This Row],[Date]]),1)</f>
        <v>45139</v>
      </c>
    </row>
    <row r="1065" spans="1:18">
      <c r="A1065" t="s">
        <v>3836</v>
      </c>
      <c r="B1065" s="10">
        <v>45462</v>
      </c>
      <c r="C1065" t="s">
        <v>3837</v>
      </c>
      <c r="D1065" t="s">
        <v>79</v>
      </c>
      <c r="E1065">
        <v>2</v>
      </c>
      <c r="F1065" s="4">
        <v>320.68</v>
      </c>
      <c r="G1065" t="s">
        <v>40</v>
      </c>
      <c r="H1065" t="s">
        <v>25</v>
      </c>
      <c r="I1065">
        <v>5</v>
      </c>
      <c r="J1065" t="s">
        <v>43</v>
      </c>
      <c r="K1065" t="s">
        <v>35</v>
      </c>
      <c r="L1065" s="4">
        <v>641.36</v>
      </c>
      <c r="M1065" t="str">
        <f>VLOOKUP(D1065,tblProduct[],2,FALSE)</f>
        <v>Furniture</v>
      </c>
      <c r="N1065" t="str">
        <f>VLOOKUP(D1065,tblProduct[],3,FALSE)</f>
        <v>High</v>
      </c>
      <c r="O1065">
        <f>VLOOKUP(D1065,tblProduct[],4,FALSE)</f>
        <v>75000</v>
      </c>
      <c r="P1065">
        <v>641.36</v>
      </c>
      <c r="Q1065" s="19" t="str">
        <f t="shared" si="16"/>
        <v>Jun-2024</v>
      </c>
      <c r="R1065" s="26">
        <f>DATE(YEAR(tblEnriched[[#This Row],[Date]]),MONTH(tblEnriched[[#This Row],[Date]]),1)</f>
        <v>45444</v>
      </c>
    </row>
    <row r="1066" spans="1:18">
      <c r="A1066" t="s">
        <v>3839</v>
      </c>
      <c r="B1066" s="10">
        <v>45700</v>
      </c>
      <c r="C1066" t="s">
        <v>3840</v>
      </c>
      <c r="D1066" t="s">
        <v>64</v>
      </c>
      <c r="E1066">
        <v>4</v>
      </c>
      <c r="F1066" s="4">
        <v>198.81</v>
      </c>
      <c r="G1066" t="s">
        <v>71</v>
      </c>
      <c r="H1066" t="s">
        <v>49</v>
      </c>
      <c r="I1066">
        <v>9</v>
      </c>
      <c r="J1066" t="s">
        <v>43</v>
      </c>
      <c r="K1066" t="s">
        <v>35</v>
      </c>
      <c r="L1066" s="4">
        <v>795.24</v>
      </c>
      <c r="M1066" t="str">
        <f>VLOOKUP(D1066,tblProduct[],2,FALSE)</f>
        <v>Electronics</v>
      </c>
      <c r="N1066" t="str">
        <f>VLOOKUP(D1066,tblProduct[],3,FALSE)</f>
        <v>High</v>
      </c>
      <c r="O1066">
        <f>VLOOKUP(D1066,tblProduct[],4,FALSE)</f>
        <v>150000</v>
      </c>
      <c r="P1066">
        <v>795.24</v>
      </c>
      <c r="Q1066" s="19" t="str">
        <f t="shared" si="16"/>
        <v>Feb-2025</v>
      </c>
      <c r="R1066" s="26">
        <f>DATE(YEAR(tblEnriched[[#This Row],[Date]]),MONTH(tblEnriched[[#This Row],[Date]]),1)</f>
        <v>45689</v>
      </c>
    </row>
    <row r="1067" spans="1:18">
      <c r="A1067" t="s">
        <v>3842</v>
      </c>
      <c r="B1067" s="10">
        <v>45229</v>
      </c>
      <c r="C1067" t="s">
        <v>3843</v>
      </c>
      <c r="D1067" t="s">
        <v>54</v>
      </c>
      <c r="E1067">
        <v>5</v>
      </c>
      <c r="F1067" s="4">
        <v>666.8</v>
      </c>
      <c r="G1067" t="s">
        <v>24</v>
      </c>
      <c r="H1067" t="s">
        <v>56</v>
      </c>
      <c r="I1067">
        <v>7</v>
      </c>
      <c r="J1067" t="s">
        <v>27</v>
      </c>
      <c r="K1067" t="s">
        <v>35</v>
      </c>
      <c r="L1067" s="4">
        <v>3334</v>
      </c>
      <c r="M1067" t="str">
        <f>VLOOKUP(D1067,tblProduct[],2,FALSE)</f>
        <v>Electronics</v>
      </c>
      <c r="N1067" t="str">
        <f>VLOOKUP(D1067,tblProduct[],3,FALSE)</f>
        <v>Medium</v>
      </c>
      <c r="O1067">
        <f>VLOOKUP(D1067,tblProduct[],4,FALSE)</f>
        <v>80000</v>
      </c>
      <c r="P1067">
        <v>3334</v>
      </c>
      <c r="Q1067" s="19" t="str">
        <f t="shared" si="16"/>
        <v>Oct-2023</v>
      </c>
      <c r="R1067" s="26">
        <f>DATE(YEAR(tblEnriched[[#This Row],[Date]]),MONTH(tblEnriched[[#This Row],[Date]]),1)</f>
        <v>45200</v>
      </c>
    </row>
    <row r="1068" spans="1:18">
      <c r="A1068" t="s">
        <v>3845</v>
      </c>
      <c r="B1068" s="10">
        <v>45280</v>
      </c>
      <c r="C1068" t="s">
        <v>3846</v>
      </c>
      <c r="D1068" t="s">
        <v>79</v>
      </c>
      <c r="E1068">
        <v>1</v>
      </c>
      <c r="F1068" s="4">
        <v>355.09</v>
      </c>
      <c r="G1068" t="s">
        <v>24</v>
      </c>
      <c r="H1068" t="s">
        <v>41</v>
      </c>
      <c r="I1068">
        <v>5</v>
      </c>
      <c r="J1068" t="s">
        <v>27</v>
      </c>
      <c r="K1068" t="s">
        <v>28</v>
      </c>
      <c r="L1068" s="4">
        <v>355.09</v>
      </c>
      <c r="M1068" t="str">
        <f>VLOOKUP(D1068,tblProduct[],2,FALSE)</f>
        <v>Furniture</v>
      </c>
      <c r="N1068" t="str">
        <f>VLOOKUP(D1068,tblProduct[],3,FALSE)</f>
        <v>High</v>
      </c>
      <c r="O1068">
        <f>VLOOKUP(D1068,tblProduct[],4,FALSE)</f>
        <v>75000</v>
      </c>
      <c r="P1068">
        <v>355.09</v>
      </c>
      <c r="Q1068" s="19" t="str">
        <f t="shared" si="16"/>
        <v>Dec-2023</v>
      </c>
      <c r="R1068" s="26">
        <f>DATE(YEAR(tblEnriched[[#This Row],[Date]]),MONTH(tblEnriched[[#This Row],[Date]]),1)</f>
        <v>45261</v>
      </c>
    </row>
    <row r="1069" spans="1:18">
      <c r="A1069" t="s">
        <v>3848</v>
      </c>
      <c r="B1069" s="10">
        <v>45083</v>
      </c>
      <c r="C1069" t="s">
        <v>3849</v>
      </c>
      <c r="D1069" t="s">
        <v>31</v>
      </c>
      <c r="E1069">
        <v>2</v>
      </c>
      <c r="F1069" s="4">
        <v>316.2</v>
      </c>
      <c r="G1069" t="s">
        <v>33</v>
      </c>
      <c r="H1069" t="s">
        <v>49</v>
      </c>
      <c r="I1069">
        <v>2</v>
      </c>
      <c r="K1069" t="s">
        <v>28</v>
      </c>
      <c r="L1069" s="4">
        <v>632.4</v>
      </c>
      <c r="M1069" t="str">
        <f>VLOOKUP(D1069,tblProduct[],2,FALSE)</f>
        <v>Electronics</v>
      </c>
      <c r="N1069" t="str">
        <f>VLOOKUP(D1069,tblProduct[],3,FALSE)</f>
        <v>High</v>
      </c>
      <c r="O1069">
        <f>VLOOKUP(D1069,tblProduct[],4,FALSE)</f>
        <v>120000</v>
      </c>
      <c r="P1069">
        <v>632.4</v>
      </c>
      <c r="Q1069" s="19" t="str">
        <f t="shared" si="16"/>
        <v>Jun-2023</v>
      </c>
      <c r="R1069" s="26">
        <f>DATE(YEAR(tblEnriched[[#This Row],[Date]]),MONTH(tblEnriched[[#This Row],[Date]]),1)</f>
        <v>45078</v>
      </c>
    </row>
    <row r="1070" spans="1:18">
      <c r="A1070" t="s">
        <v>3851</v>
      </c>
      <c r="B1070" s="10">
        <v>45507</v>
      </c>
      <c r="C1070" t="s">
        <v>3852</v>
      </c>
      <c r="D1070" t="s">
        <v>64</v>
      </c>
      <c r="E1070">
        <v>1</v>
      </c>
      <c r="F1070" s="4">
        <v>133.38999999999999</v>
      </c>
      <c r="G1070" t="s">
        <v>24</v>
      </c>
      <c r="H1070" t="s">
        <v>25</v>
      </c>
      <c r="I1070">
        <v>2</v>
      </c>
      <c r="J1070" t="s">
        <v>27</v>
      </c>
      <c r="K1070" t="s">
        <v>35</v>
      </c>
      <c r="L1070" s="4">
        <v>133.38999999999999</v>
      </c>
      <c r="M1070" t="str">
        <f>VLOOKUP(D1070,tblProduct[],2,FALSE)</f>
        <v>Electronics</v>
      </c>
      <c r="N1070" t="str">
        <f>VLOOKUP(D1070,tblProduct[],3,FALSE)</f>
        <v>High</v>
      </c>
      <c r="O1070">
        <f>VLOOKUP(D1070,tblProduct[],4,FALSE)</f>
        <v>150000</v>
      </c>
      <c r="P1070">
        <v>133.38999999999999</v>
      </c>
      <c r="Q1070" s="19" t="str">
        <f t="shared" si="16"/>
        <v>Aug-2024</v>
      </c>
      <c r="R1070" s="26">
        <f>DATE(YEAR(tblEnriched[[#This Row],[Date]]),MONTH(tblEnriched[[#This Row],[Date]]),1)</f>
        <v>45505</v>
      </c>
    </row>
    <row r="1071" spans="1:18">
      <c r="A1071" t="s">
        <v>3855</v>
      </c>
      <c r="B1071" s="10">
        <v>44982</v>
      </c>
      <c r="C1071" t="s">
        <v>3856</v>
      </c>
      <c r="D1071" t="s">
        <v>22</v>
      </c>
      <c r="E1071">
        <v>1</v>
      </c>
      <c r="F1071" s="4">
        <v>454.23</v>
      </c>
      <c r="G1071" t="s">
        <v>66</v>
      </c>
      <c r="H1071" t="s">
        <v>49</v>
      </c>
      <c r="I1071">
        <v>3</v>
      </c>
      <c r="K1071" t="s">
        <v>51</v>
      </c>
      <c r="L1071" s="4">
        <v>454.23</v>
      </c>
      <c r="M1071" t="str">
        <f>VLOOKUP(D1071,tblProduct[],2,FALSE)</f>
        <v>Electronics</v>
      </c>
      <c r="N1071" t="str">
        <f>VLOOKUP(D1071,tblProduct[],3,FALSE)</f>
        <v>Medium</v>
      </c>
      <c r="O1071">
        <f>VLOOKUP(D1071,tblProduct[],4,FALSE)</f>
        <v>90000</v>
      </c>
      <c r="P1071">
        <v>454.23</v>
      </c>
      <c r="Q1071" s="19" t="str">
        <f t="shared" si="16"/>
        <v>Feb-2023</v>
      </c>
      <c r="R1071" s="26">
        <f>DATE(YEAR(tblEnriched[[#This Row],[Date]]),MONTH(tblEnriched[[#This Row],[Date]]),1)</f>
        <v>44958</v>
      </c>
    </row>
    <row r="1072" spans="1:18">
      <c r="A1072" t="s">
        <v>3858</v>
      </c>
      <c r="B1072" s="10">
        <v>45541</v>
      </c>
      <c r="C1072" t="s">
        <v>3859</v>
      </c>
      <c r="D1072" t="s">
        <v>79</v>
      </c>
      <c r="E1072">
        <v>4</v>
      </c>
      <c r="F1072" s="4">
        <v>491.29</v>
      </c>
      <c r="G1072" t="s">
        <v>24</v>
      </c>
      <c r="H1072" t="s">
        <v>95</v>
      </c>
      <c r="I1072">
        <v>6</v>
      </c>
      <c r="K1072" t="s">
        <v>44</v>
      </c>
      <c r="L1072" s="4">
        <v>1965.16</v>
      </c>
      <c r="M1072" t="str">
        <f>VLOOKUP(D1072,tblProduct[],2,FALSE)</f>
        <v>Furniture</v>
      </c>
      <c r="N1072" t="str">
        <f>VLOOKUP(D1072,tblProduct[],3,FALSE)</f>
        <v>High</v>
      </c>
      <c r="O1072">
        <f>VLOOKUP(D1072,tblProduct[],4,FALSE)</f>
        <v>75000</v>
      </c>
      <c r="P1072">
        <v>1965.16</v>
      </c>
      <c r="Q1072" s="19" t="str">
        <f t="shared" si="16"/>
        <v>Sep-2024</v>
      </c>
      <c r="R1072" s="26">
        <f>DATE(YEAR(tblEnriched[[#This Row],[Date]]),MONTH(tblEnriched[[#This Row],[Date]]),1)</f>
        <v>45536</v>
      </c>
    </row>
    <row r="1073" spans="1:18">
      <c r="A1073" t="s">
        <v>3861</v>
      </c>
      <c r="B1073" s="10">
        <v>45832</v>
      </c>
      <c r="C1073" t="s">
        <v>3862</v>
      </c>
      <c r="D1073" t="s">
        <v>31</v>
      </c>
      <c r="E1073">
        <v>2</v>
      </c>
      <c r="F1073" s="4">
        <v>255.14</v>
      </c>
      <c r="G1073" t="s">
        <v>71</v>
      </c>
      <c r="H1073" t="s">
        <v>25</v>
      </c>
      <c r="I1073">
        <v>2</v>
      </c>
      <c r="K1073" t="s">
        <v>82</v>
      </c>
      <c r="L1073" s="4">
        <v>510.28</v>
      </c>
      <c r="M1073" t="str">
        <f>VLOOKUP(D1073,tblProduct[],2,FALSE)</f>
        <v>Electronics</v>
      </c>
      <c r="N1073" t="str">
        <f>VLOOKUP(D1073,tblProduct[],3,FALSE)</f>
        <v>High</v>
      </c>
      <c r="O1073">
        <f>VLOOKUP(D1073,tblProduct[],4,FALSE)</f>
        <v>120000</v>
      </c>
      <c r="P1073">
        <v>510.28</v>
      </c>
      <c r="Q1073" s="19" t="str">
        <f t="shared" si="16"/>
        <v>Jun-2025</v>
      </c>
      <c r="R1073" s="26">
        <f>DATE(YEAR(tblEnriched[[#This Row],[Date]]),MONTH(tblEnriched[[#This Row],[Date]]),1)</f>
        <v>45809</v>
      </c>
    </row>
    <row r="1074" spans="1:18">
      <c r="A1074" t="s">
        <v>3864</v>
      </c>
      <c r="B1074" s="10">
        <v>44983</v>
      </c>
      <c r="C1074" t="s">
        <v>3865</v>
      </c>
      <c r="D1074" t="s">
        <v>22</v>
      </c>
      <c r="E1074">
        <v>1</v>
      </c>
      <c r="F1074" s="4">
        <v>392.61</v>
      </c>
      <c r="G1074" t="s">
        <v>66</v>
      </c>
      <c r="H1074" t="s">
        <v>41</v>
      </c>
      <c r="I1074">
        <v>4</v>
      </c>
      <c r="J1074" t="s">
        <v>27</v>
      </c>
      <c r="K1074" t="s">
        <v>35</v>
      </c>
      <c r="L1074" s="4">
        <v>392.61</v>
      </c>
      <c r="M1074" t="str">
        <f>VLOOKUP(D1074,tblProduct[],2,FALSE)</f>
        <v>Electronics</v>
      </c>
      <c r="N1074" t="str">
        <f>VLOOKUP(D1074,tblProduct[],3,FALSE)</f>
        <v>Medium</v>
      </c>
      <c r="O1074">
        <f>VLOOKUP(D1074,tblProduct[],4,FALSE)</f>
        <v>90000</v>
      </c>
      <c r="P1074">
        <v>392.61</v>
      </c>
      <c r="Q1074" s="19" t="str">
        <f t="shared" si="16"/>
        <v>Feb-2023</v>
      </c>
      <c r="R1074" s="26">
        <f>DATE(YEAR(tblEnriched[[#This Row],[Date]]),MONTH(tblEnriched[[#This Row],[Date]]),1)</f>
        <v>44958</v>
      </c>
    </row>
    <row r="1075" spans="1:18">
      <c r="A1075" t="s">
        <v>3867</v>
      </c>
      <c r="B1075" s="10">
        <v>45576</v>
      </c>
      <c r="C1075" t="s">
        <v>3868</v>
      </c>
      <c r="D1075" t="s">
        <v>38</v>
      </c>
      <c r="E1075">
        <v>4</v>
      </c>
      <c r="F1075" s="4">
        <v>362.06</v>
      </c>
      <c r="G1075" t="s">
        <v>24</v>
      </c>
      <c r="H1075" t="s">
        <v>49</v>
      </c>
      <c r="I1075">
        <v>4</v>
      </c>
      <c r="K1075" t="s">
        <v>51</v>
      </c>
      <c r="L1075" s="4">
        <v>1448.24</v>
      </c>
      <c r="M1075" t="str">
        <f>VLOOKUP(D1075,tblProduct[],2,FALSE)</f>
        <v>Electronics</v>
      </c>
      <c r="N1075" t="str">
        <f>VLOOKUP(D1075,tblProduct[],3,FALSE)</f>
        <v>Medium</v>
      </c>
      <c r="O1075">
        <f>VLOOKUP(D1075,tblProduct[],4,FALSE)</f>
        <v>100000</v>
      </c>
      <c r="P1075">
        <v>1448.24</v>
      </c>
      <c r="Q1075" s="19" t="str">
        <f t="shared" si="16"/>
        <v>Oct-2024</v>
      </c>
      <c r="R1075" s="26">
        <f>DATE(YEAR(tblEnriched[[#This Row],[Date]]),MONTH(tblEnriched[[#This Row],[Date]]),1)</f>
        <v>45566</v>
      </c>
    </row>
    <row r="1076" spans="1:18">
      <c r="A1076" t="s">
        <v>3870</v>
      </c>
      <c r="B1076" s="10">
        <v>45422</v>
      </c>
      <c r="C1076" t="s">
        <v>3871</v>
      </c>
      <c r="D1076" t="s">
        <v>31</v>
      </c>
      <c r="E1076">
        <v>1</v>
      </c>
      <c r="F1076" s="4">
        <v>222.73</v>
      </c>
      <c r="G1076" t="s">
        <v>33</v>
      </c>
      <c r="H1076" t="s">
        <v>49</v>
      </c>
      <c r="I1076">
        <v>4</v>
      </c>
      <c r="K1076" t="s">
        <v>82</v>
      </c>
      <c r="L1076" s="4">
        <v>222.73</v>
      </c>
      <c r="M1076" t="str">
        <f>VLOOKUP(D1076,tblProduct[],2,FALSE)</f>
        <v>Electronics</v>
      </c>
      <c r="N1076" t="str">
        <f>VLOOKUP(D1076,tblProduct[],3,FALSE)</f>
        <v>High</v>
      </c>
      <c r="O1076">
        <f>VLOOKUP(D1076,tblProduct[],4,FALSE)</f>
        <v>120000</v>
      </c>
      <c r="P1076">
        <v>222.73</v>
      </c>
      <c r="Q1076" s="19" t="str">
        <f t="shared" si="16"/>
        <v>May-2024</v>
      </c>
      <c r="R1076" s="26">
        <f>DATE(YEAR(tblEnriched[[#This Row],[Date]]),MONTH(tblEnriched[[#This Row],[Date]]),1)</f>
        <v>45413</v>
      </c>
    </row>
    <row r="1077" spans="1:18">
      <c r="A1077" t="s">
        <v>3874</v>
      </c>
      <c r="B1077" s="10">
        <v>45535</v>
      </c>
      <c r="C1077" t="s">
        <v>3875</v>
      </c>
      <c r="D1077" t="s">
        <v>22</v>
      </c>
      <c r="E1077">
        <v>2</v>
      </c>
      <c r="F1077" s="4">
        <v>552.63</v>
      </c>
      <c r="G1077" t="s">
        <v>24</v>
      </c>
      <c r="H1077" t="s">
        <v>56</v>
      </c>
      <c r="I1077">
        <v>7</v>
      </c>
      <c r="J1077" t="s">
        <v>87</v>
      </c>
      <c r="K1077" t="s">
        <v>28</v>
      </c>
      <c r="L1077" s="4">
        <v>1105.26</v>
      </c>
      <c r="M1077" t="str">
        <f>VLOOKUP(D1077,tblProduct[],2,FALSE)</f>
        <v>Electronics</v>
      </c>
      <c r="N1077" t="str">
        <f>VLOOKUP(D1077,tblProduct[],3,FALSE)</f>
        <v>Medium</v>
      </c>
      <c r="O1077">
        <f>VLOOKUP(D1077,tblProduct[],4,FALSE)</f>
        <v>90000</v>
      </c>
      <c r="P1077">
        <v>1105.26</v>
      </c>
      <c r="Q1077" s="19" t="str">
        <f t="shared" si="16"/>
        <v>Aug-2024</v>
      </c>
      <c r="R1077" s="26">
        <f>DATE(YEAR(tblEnriched[[#This Row],[Date]]),MONTH(tblEnriched[[#This Row],[Date]]),1)</f>
        <v>45505</v>
      </c>
    </row>
    <row r="1078" spans="1:18">
      <c r="A1078" t="s">
        <v>3877</v>
      </c>
      <c r="B1078" s="10">
        <v>45054</v>
      </c>
      <c r="C1078" t="s">
        <v>3878</v>
      </c>
      <c r="D1078" t="s">
        <v>64</v>
      </c>
      <c r="E1078">
        <v>4</v>
      </c>
      <c r="F1078" s="4">
        <v>686.61</v>
      </c>
      <c r="G1078" t="s">
        <v>71</v>
      </c>
      <c r="H1078" t="s">
        <v>25</v>
      </c>
      <c r="I1078">
        <v>6</v>
      </c>
      <c r="K1078" t="s">
        <v>35</v>
      </c>
      <c r="L1078" s="4">
        <v>2746.44</v>
      </c>
      <c r="M1078" t="str">
        <f>VLOOKUP(D1078,tblProduct[],2,FALSE)</f>
        <v>Electronics</v>
      </c>
      <c r="N1078" t="str">
        <f>VLOOKUP(D1078,tblProduct[],3,FALSE)</f>
        <v>High</v>
      </c>
      <c r="O1078">
        <f>VLOOKUP(D1078,tblProduct[],4,FALSE)</f>
        <v>150000</v>
      </c>
      <c r="P1078">
        <v>2746.44</v>
      </c>
      <c r="Q1078" s="19" t="str">
        <f t="shared" si="16"/>
        <v>May-2023</v>
      </c>
      <c r="R1078" s="26">
        <f>DATE(YEAR(tblEnriched[[#This Row],[Date]]),MONTH(tblEnriched[[#This Row],[Date]]),1)</f>
        <v>45047</v>
      </c>
    </row>
    <row r="1079" spans="1:18">
      <c r="A1079" t="s">
        <v>3880</v>
      </c>
      <c r="B1079" s="10">
        <v>45723</v>
      </c>
      <c r="C1079" t="s">
        <v>3881</v>
      </c>
      <c r="D1079" t="s">
        <v>54</v>
      </c>
      <c r="E1079">
        <v>3</v>
      </c>
      <c r="F1079" s="4">
        <v>305.16000000000003</v>
      </c>
      <c r="G1079" t="s">
        <v>40</v>
      </c>
      <c r="H1079" t="s">
        <v>41</v>
      </c>
      <c r="I1079">
        <v>8</v>
      </c>
      <c r="J1079" t="s">
        <v>27</v>
      </c>
      <c r="K1079" t="s">
        <v>35</v>
      </c>
      <c r="L1079" s="4">
        <v>915.48</v>
      </c>
      <c r="M1079" t="str">
        <f>VLOOKUP(D1079,tblProduct[],2,FALSE)</f>
        <v>Electronics</v>
      </c>
      <c r="N1079" t="str">
        <f>VLOOKUP(D1079,tblProduct[],3,FALSE)</f>
        <v>Medium</v>
      </c>
      <c r="O1079">
        <f>VLOOKUP(D1079,tblProduct[],4,FALSE)</f>
        <v>80000</v>
      </c>
      <c r="P1079">
        <v>915.48</v>
      </c>
      <c r="Q1079" s="19" t="str">
        <f t="shared" si="16"/>
        <v>Mar-2025</v>
      </c>
      <c r="R1079" s="26">
        <f>DATE(YEAR(tblEnriched[[#This Row],[Date]]),MONTH(tblEnriched[[#This Row],[Date]]),1)</f>
        <v>45717</v>
      </c>
    </row>
    <row r="1080" spans="1:18">
      <c r="A1080" t="s">
        <v>3883</v>
      </c>
      <c r="B1080" s="10">
        <v>45003</v>
      </c>
      <c r="C1080" t="s">
        <v>3884</v>
      </c>
      <c r="D1080" t="s">
        <v>79</v>
      </c>
      <c r="E1080">
        <v>1</v>
      </c>
      <c r="F1080" s="4">
        <v>41.09</v>
      </c>
      <c r="G1080" t="s">
        <v>33</v>
      </c>
      <c r="H1080" t="s">
        <v>49</v>
      </c>
      <c r="I1080">
        <v>4</v>
      </c>
      <c r="J1080" t="s">
        <v>87</v>
      </c>
      <c r="K1080" t="s">
        <v>44</v>
      </c>
      <c r="L1080" s="4">
        <v>41.09</v>
      </c>
      <c r="M1080" t="str">
        <f>VLOOKUP(D1080,tblProduct[],2,FALSE)</f>
        <v>Furniture</v>
      </c>
      <c r="N1080" t="str">
        <f>VLOOKUP(D1080,tblProduct[],3,FALSE)</f>
        <v>High</v>
      </c>
      <c r="O1080">
        <f>VLOOKUP(D1080,tblProduct[],4,FALSE)</f>
        <v>75000</v>
      </c>
      <c r="P1080">
        <v>41.09</v>
      </c>
      <c r="Q1080" s="19" t="str">
        <f t="shared" si="16"/>
        <v>Mar-2023</v>
      </c>
      <c r="R1080" s="26">
        <f>DATE(YEAR(tblEnriched[[#This Row],[Date]]),MONTH(tblEnriched[[#This Row],[Date]]),1)</f>
        <v>44986</v>
      </c>
    </row>
    <row r="1081" spans="1:18">
      <c r="A1081" t="s">
        <v>3886</v>
      </c>
      <c r="B1081" s="10">
        <v>45463</v>
      </c>
      <c r="C1081" t="s">
        <v>3887</v>
      </c>
      <c r="D1081" t="s">
        <v>31</v>
      </c>
      <c r="E1081">
        <v>5</v>
      </c>
      <c r="F1081" s="4">
        <v>634</v>
      </c>
      <c r="G1081" t="s">
        <v>66</v>
      </c>
      <c r="H1081" t="s">
        <v>56</v>
      </c>
      <c r="I1081">
        <v>8</v>
      </c>
      <c r="K1081" t="s">
        <v>44</v>
      </c>
      <c r="L1081" s="4">
        <v>3170</v>
      </c>
      <c r="M1081" t="str">
        <f>VLOOKUP(D1081,tblProduct[],2,FALSE)</f>
        <v>Electronics</v>
      </c>
      <c r="N1081" t="str">
        <f>VLOOKUP(D1081,tblProduct[],3,FALSE)</f>
        <v>High</v>
      </c>
      <c r="O1081">
        <f>VLOOKUP(D1081,tblProduct[],4,FALSE)</f>
        <v>120000</v>
      </c>
      <c r="P1081">
        <v>3170</v>
      </c>
      <c r="Q1081" s="19" t="str">
        <f t="shared" si="16"/>
        <v>Jun-2024</v>
      </c>
      <c r="R1081" s="26">
        <f>DATE(YEAR(tblEnriched[[#This Row],[Date]]),MONTH(tblEnriched[[#This Row],[Date]]),1)</f>
        <v>45444</v>
      </c>
    </row>
    <row r="1082" spans="1:18">
      <c r="A1082" t="s">
        <v>3889</v>
      </c>
      <c r="B1082" s="10">
        <v>44946</v>
      </c>
      <c r="C1082" t="s">
        <v>3890</v>
      </c>
      <c r="D1082" t="s">
        <v>64</v>
      </c>
      <c r="E1082">
        <v>5</v>
      </c>
      <c r="F1082" s="4">
        <v>464.74</v>
      </c>
      <c r="G1082" t="s">
        <v>66</v>
      </c>
      <c r="H1082" t="s">
        <v>56</v>
      </c>
      <c r="I1082">
        <v>7</v>
      </c>
      <c r="K1082" t="s">
        <v>35</v>
      </c>
      <c r="L1082" s="4">
        <v>2323.6999999999998</v>
      </c>
      <c r="M1082" t="str">
        <f>VLOOKUP(D1082,tblProduct[],2,FALSE)</f>
        <v>Electronics</v>
      </c>
      <c r="N1082" t="str">
        <f>VLOOKUP(D1082,tblProduct[],3,FALSE)</f>
        <v>High</v>
      </c>
      <c r="O1082">
        <f>VLOOKUP(D1082,tblProduct[],4,FALSE)</f>
        <v>150000</v>
      </c>
      <c r="P1082">
        <v>2323.6999999999998</v>
      </c>
      <c r="Q1082" s="19" t="str">
        <f t="shared" si="16"/>
        <v>Jan-2023</v>
      </c>
      <c r="R1082" s="26">
        <f>DATE(YEAR(tblEnriched[[#This Row],[Date]]),MONTH(tblEnriched[[#This Row],[Date]]),1)</f>
        <v>44927</v>
      </c>
    </row>
    <row r="1083" spans="1:18">
      <c r="A1083" t="s">
        <v>3893</v>
      </c>
      <c r="B1083" s="10">
        <v>45037</v>
      </c>
      <c r="C1083" t="s">
        <v>3894</v>
      </c>
      <c r="D1083" t="s">
        <v>22</v>
      </c>
      <c r="E1083">
        <v>4</v>
      </c>
      <c r="F1083" s="4">
        <v>425.6</v>
      </c>
      <c r="G1083" t="s">
        <v>40</v>
      </c>
      <c r="H1083" t="s">
        <v>95</v>
      </c>
      <c r="I1083">
        <v>5</v>
      </c>
      <c r="J1083" t="s">
        <v>43</v>
      </c>
      <c r="K1083" t="s">
        <v>82</v>
      </c>
      <c r="L1083" s="4">
        <v>1702.4</v>
      </c>
      <c r="M1083" t="str">
        <f>VLOOKUP(D1083,tblProduct[],2,FALSE)</f>
        <v>Electronics</v>
      </c>
      <c r="N1083" t="str">
        <f>VLOOKUP(D1083,tblProduct[],3,FALSE)</f>
        <v>Medium</v>
      </c>
      <c r="O1083">
        <f>VLOOKUP(D1083,tblProduct[],4,FALSE)</f>
        <v>90000</v>
      </c>
      <c r="P1083">
        <v>1702.4</v>
      </c>
      <c r="Q1083" s="19" t="str">
        <f t="shared" si="16"/>
        <v>Apr-2023</v>
      </c>
      <c r="R1083" s="26">
        <f>DATE(YEAR(tblEnriched[[#This Row],[Date]]),MONTH(tblEnriched[[#This Row],[Date]]),1)</f>
        <v>45017</v>
      </c>
    </row>
    <row r="1084" spans="1:18">
      <c r="A1084" t="s">
        <v>3896</v>
      </c>
      <c r="B1084" s="10">
        <v>45205</v>
      </c>
      <c r="C1084" t="s">
        <v>3897</v>
      </c>
      <c r="D1084" t="s">
        <v>47</v>
      </c>
      <c r="E1084">
        <v>3</v>
      </c>
      <c r="F1084" s="4">
        <v>573.22</v>
      </c>
      <c r="G1084" t="s">
        <v>24</v>
      </c>
      <c r="H1084" t="s">
        <v>95</v>
      </c>
      <c r="I1084">
        <v>5</v>
      </c>
      <c r="J1084" t="s">
        <v>27</v>
      </c>
      <c r="K1084" t="s">
        <v>44</v>
      </c>
      <c r="L1084" s="4">
        <v>1719.66</v>
      </c>
      <c r="M1084" t="str">
        <f>VLOOKUP(D1084,tblProduct[],2,FALSE)</f>
        <v>Furniture</v>
      </c>
      <c r="N1084" t="str">
        <f>VLOOKUP(D1084,tblProduct[],3,FALSE)</f>
        <v>Medium</v>
      </c>
      <c r="O1084">
        <f>VLOOKUP(D1084,tblProduct[],4,FALSE)</f>
        <v>70000</v>
      </c>
      <c r="P1084">
        <v>1719.66</v>
      </c>
      <c r="Q1084" s="19" t="str">
        <f t="shared" si="16"/>
        <v>Oct-2023</v>
      </c>
      <c r="R1084" s="26">
        <f>DATE(YEAR(tblEnriched[[#This Row],[Date]]),MONTH(tblEnriched[[#This Row],[Date]]),1)</f>
        <v>45200</v>
      </c>
    </row>
    <row r="1085" spans="1:18">
      <c r="A1085" t="s">
        <v>3899</v>
      </c>
      <c r="B1085" s="10">
        <v>45482</v>
      </c>
      <c r="C1085" t="s">
        <v>3900</v>
      </c>
      <c r="D1085" t="s">
        <v>47</v>
      </c>
      <c r="E1085">
        <v>1</v>
      </c>
      <c r="F1085" s="4">
        <v>123.28</v>
      </c>
      <c r="G1085" t="s">
        <v>40</v>
      </c>
      <c r="H1085" t="s">
        <v>56</v>
      </c>
      <c r="I1085">
        <v>3</v>
      </c>
      <c r="J1085" t="s">
        <v>27</v>
      </c>
      <c r="K1085" t="s">
        <v>44</v>
      </c>
      <c r="L1085" s="4">
        <v>123.28</v>
      </c>
      <c r="M1085" t="str">
        <f>VLOOKUP(D1085,tblProduct[],2,FALSE)</f>
        <v>Furniture</v>
      </c>
      <c r="N1085" t="str">
        <f>VLOOKUP(D1085,tblProduct[],3,FALSE)</f>
        <v>Medium</v>
      </c>
      <c r="O1085">
        <f>VLOOKUP(D1085,tblProduct[],4,FALSE)</f>
        <v>70000</v>
      </c>
      <c r="P1085">
        <v>123.28</v>
      </c>
      <c r="Q1085" s="19" t="str">
        <f t="shared" si="16"/>
        <v>Jul-2024</v>
      </c>
      <c r="R1085" s="26">
        <f>DATE(YEAR(tblEnriched[[#This Row],[Date]]),MONTH(tblEnriched[[#This Row],[Date]]),1)</f>
        <v>45474</v>
      </c>
    </row>
    <row r="1086" spans="1:18">
      <c r="A1086" t="s">
        <v>3902</v>
      </c>
      <c r="B1086" s="10">
        <v>44934</v>
      </c>
      <c r="C1086" t="s">
        <v>3903</v>
      </c>
      <c r="D1086" t="s">
        <v>31</v>
      </c>
      <c r="E1086">
        <v>1</v>
      </c>
      <c r="F1086" s="4">
        <v>70.819999999999993</v>
      </c>
      <c r="G1086" t="s">
        <v>66</v>
      </c>
      <c r="H1086" t="s">
        <v>95</v>
      </c>
      <c r="I1086">
        <v>1</v>
      </c>
      <c r="J1086" t="s">
        <v>87</v>
      </c>
      <c r="K1086" t="s">
        <v>28</v>
      </c>
      <c r="L1086" s="4">
        <v>70.819999999999993</v>
      </c>
      <c r="M1086" t="str">
        <f>VLOOKUP(D1086,tblProduct[],2,FALSE)</f>
        <v>Electronics</v>
      </c>
      <c r="N1086" t="str">
        <f>VLOOKUP(D1086,tblProduct[],3,FALSE)</f>
        <v>High</v>
      </c>
      <c r="O1086">
        <f>VLOOKUP(D1086,tblProduct[],4,FALSE)</f>
        <v>120000</v>
      </c>
      <c r="P1086">
        <v>70.819999999999993</v>
      </c>
      <c r="Q1086" s="19" t="str">
        <f t="shared" si="16"/>
        <v>Jan-2023</v>
      </c>
      <c r="R1086" s="26">
        <f>DATE(YEAR(tblEnriched[[#This Row],[Date]]),MONTH(tblEnriched[[#This Row],[Date]]),1)</f>
        <v>44927</v>
      </c>
    </row>
    <row r="1087" spans="1:18">
      <c r="A1087" t="s">
        <v>3905</v>
      </c>
      <c r="B1087" s="10">
        <v>45067</v>
      </c>
      <c r="C1087" t="s">
        <v>3906</v>
      </c>
      <c r="D1087" t="s">
        <v>54</v>
      </c>
      <c r="E1087">
        <v>2</v>
      </c>
      <c r="F1087" s="4">
        <v>646.69000000000005</v>
      </c>
      <c r="G1087" t="s">
        <v>24</v>
      </c>
      <c r="H1087" t="s">
        <v>25</v>
      </c>
      <c r="I1087">
        <v>7</v>
      </c>
      <c r="J1087" t="s">
        <v>87</v>
      </c>
      <c r="K1087" t="s">
        <v>28</v>
      </c>
      <c r="L1087" s="4">
        <v>1293.3800000000001</v>
      </c>
      <c r="M1087" t="str">
        <f>VLOOKUP(D1087,tblProduct[],2,FALSE)</f>
        <v>Electronics</v>
      </c>
      <c r="N1087" t="str">
        <f>VLOOKUP(D1087,tblProduct[],3,FALSE)</f>
        <v>Medium</v>
      </c>
      <c r="O1087">
        <f>VLOOKUP(D1087,tblProduct[],4,FALSE)</f>
        <v>80000</v>
      </c>
      <c r="P1087">
        <v>1293.3800000000001</v>
      </c>
      <c r="Q1087" s="19" t="str">
        <f t="shared" si="16"/>
        <v>May-2023</v>
      </c>
      <c r="R1087" s="26">
        <f>DATE(YEAR(tblEnriched[[#This Row],[Date]]),MONTH(tblEnriched[[#This Row],[Date]]),1)</f>
        <v>45047</v>
      </c>
    </row>
    <row r="1088" spans="1:18">
      <c r="A1088" t="s">
        <v>3908</v>
      </c>
      <c r="B1088" s="10">
        <v>45283</v>
      </c>
      <c r="C1088" t="s">
        <v>3909</v>
      </c>
      <c r="D1088" t="s">
        <v>38</v>
      </c>
      <c r="E1088">
        <v>2</v>
      </c>
      <c r="F1088" s="4">
        <v>513.41999999999996</v>
      </c>
      <c r="G1088" t="s">
        <v>33</v>
      </c>
      <c r="H1088" t="s">
        <v>95</v>
      </c>
      <c r="I1088">
        <v>5</v>
      </c>
      <c r="J1088" t="s">
        <v>87</v>
      </c>
      <c r="K1088" t="s">
        <v>28</v>
      </c>
      <c r="L1088" s="4">
        <v>1026.8399999999999</v>
      </c>
      <c r="M1088" t="str">
        <f>VLOOKUP(D1088,tblProduct[],2,FALSE)</f>
        <v>Electronics</v>
      </c>
      <c r="N1088" t="str">
        <f>VLOOKUP(D1088,tblProduct[],3,FALSE)</f>
        <v>Medium</v>
      </c>
      <c r="O1088">
        <f>VLOOKUP(D1088,tblProduct[],4,FALSE)</f>
        <v>100000</v>
      </c>
      <c r="P1088">
        <v>1026.8399999999999</v>
      </c>
      <c r="Q1088" s="19" t="str">
        <f t="shared" si="16"/>
        <v>Dec-2023</v>
      </c>
      <c r="R1088" s="26">
        <f>DATE(YEAR(tblEnriched[[#This Row],[Date]]),MONTH(tblEnriched[[#This Row],[Date]]),1)</f>
        <v>45261</v>
      </c>
    </row>
    <row r="1089" spans="1:18">
      <c r="A1089" t="s">
        <v>3912</v>
      </c>
      <c r="B1089" s="10">
        <v>45739</v>
      </c>
      <c r="C1089" t="s">
        <v>3913</v>
      </c>
      <c r="D1089" t="s">
        <v>64</v>
      </c>
      <c r="E1089">
        <v>4</v>
      </c>
      <c r="F1089" s="4">
        <v>693.07</v>
      </c>
      <c r="G1089" t="s">
        <v>33</v>
      </c>
      <c r="H1089" t="s">
        <v>25</v>
      </c>
      <c r="I1089">
        <v>8</v>
      </c>
      <c r="J1089" t="s">
        <v>27</v>
      </c>
      <c r="K1089" t="s">
        <v>28</v>
      </c>
      <c r="L1089" s="4">
        <v>2772.28</v>
      </c>
      <c r="M1089" t="str">
        <f>VLOOKUP(D1089,tblProduct[],2,FALSE)</f>
        <v>Electronics</v>
      </c>
      <c r="N1089" t="str">
        <f>VLOOKUP(D1089,tblProduct[],3,FALSE)</f>
        <v>High</v>
      </c>
      <c r="O1089">
        <f>VLOOKUP(D1089,tblProduct[],4,FALSE)</f>
        <v>150000</v>
      </c>
      <c r="P1089">
        <v>2772.28</v>
      </c>
      <c r="Q1089" s="19" t="str">
        <f t="shared" si="16"/>
        <v>Mar-2025</v>
      </c>
      <c r="R1089" s="26">
        <f>DATE(YEAR(tblEnriched[[#This Row],[Date]]),MONTH(tblEnriched[[#This Row],[Date]]),1)</f>
        <v>45717</v>
      </c>
    </row>
    <row r="1090" spans="1:18">
      <c r="A1090" t="s">
        <v>3916</v>
      </c>
      <c r="B1090" s="10">
        <v>45260</v>
      </c>
      <c r="C1090" t="s">
        <v>3917</v>
      </c>
      <c r="D1090" t="s">
        <v>79</v>
      </c>
      <c r="E1090">
        <v>3</v>
      </c>
      <c r="F1090" s="4">
        <v>491.43</v>
      </c>
      <c r="G1090" t="s">
        <v>66</v>
      </c>
      <c r="H1090" t="s">
        <v>25</v>
      </c>
      <c r="I1090">
        <v>6</v>
      </c>
      <c r="J1090" t="s">
        <v>87</v>
      </c>
      <c r="K1090" t="s">
        <v>28</v>
      </c>
      <c r="L1090" s="4">
        <v>1474.29</v>
      </c>
      <c r="M1090" t="str">
        <f>VLOOKUP(D1090,tblProduct[],2,FALSE)</f>
        <v>Furniture</v>
      </c>
      <c r="N1090" t="str">
        <f>VLOOKUP(D1090,tblProduct[],3,FALSE)</f>
        <v>High</v>
      </c>
      <c r="O1090">
        <f>VLOOKUP(D1090,tblProduct[],4,FALSE)</f>
        <v>75000</v>
      </c>
      <c r="P1090">
        <v>1474.29</v>
      </c>
      <c r="Q1090" s="19" t="str">
        <f t="shared" ref="Q1090:Q1153" si="17">TEXT(B1090,"mmm-yyyy")</f>
        <v>Nov-2023</v>
      </c>
      <c r="R1090" s="26">
        <f>DATE(YEAR(tblEnriched[[#This Row],[Date]]),MONTH(tblEnriched[[#This Row],[Date]]),1)</f>
        <v>45231</v>
      </c>
    </row>
    <row r="1091" spans="1:18">
      <c r="A1091" t="s">
        <v>3920</v>
      </c>
      <c r="B1091" s="10">
        <v>45731</v>
      </c>
      <c r="C1091" t="s">
        <v>3921</v>
      </c>
      <c r="D1091" t="s">
        <v>38</v>
      </c>
      <c r="E1091">
        <v>2</v>
      </c>
      <c r="F1091" s="4">
        <v>599.74</v>
      </c>
      <c r="G1091" t="s">
        <v>66</v>
      </c>
      <c r="H1091" t="s">
        <v>25</v>
      </c>
      <c r="I1091">
        <v>2</v>
      </c>
      <c r="K1091" t="s">
        <v>28</v>
      </c>
      <c r="L1091" s="4">
        <v>1199.48</v>
      </c>
      <c r="M1091" t="str">
        <f>VLOOKUP(D1091,tblProduct[],2,FALSE)</f>
        <v>Electronics</v>
      </c>
      <c r="N1091" t="str">
        <f>VLOOKUP(D1091,tblProduct[],3,FALSE)</f>
        <v>Medium</v>
      </c>
      <c r="O1091">
        <f>VLOOKUP(D1091,tblProduct[],4,FALSE)</f>
        <v>100000</v>
      </c>
      <c r="P1091">
        <v>1199.48</v>
      </c>
      <c r="Q1091" s="19" t="str">
        <f t="shared" si="17"/>
        <v>Mar-2025</v>
      </c>
      <c r="R1091" s="26">
        <f>DATE(YEAR(tblEnriched[[#This Row],[Date]]),MONTH(tblEnriched[[#This Row],[Date]]),1)</f>
        <v>45717</v>
      </c>
    </row>
    <row r="1092" spans="1:18">
      <c r="A1092" t="s">
        <v>3923</v>
      </c>
      <c r="B1092" s="10">
        <v>44982</v>
      </c>
      <c r="C1092" t="s">
        <v>3924</v>
      </c>
      <c r="D1092" t="s">
        <v>22</v>
      </c>
      <c r="E1092">
        <v>2</v>
      </c>
      <c r="F1092" s="4">
        <v>650.25</v>
      </c>
      <c r="G1092" t="s">
        <v>66</v>
      </c>
      <c r="H1092" t="s">
        <v>49</v>
      </c>
      <c r="I1092">
        <v>6</v>
      </c>
      <c r="K1092" t="s">
        <v>28</v>
      </c>
      <c r="L1092" s="4">
        <v>1300.5</v>
      </c>
      <c r="M1092" t="str">
        <f>VLOOKUP(D1092,tblProduct[],2,FALSE)</f>
        <v>Electronics</v>
      </c>
      <c r="N1092" t="str">
        <f>VLOOKUP(D1092,tblProduct[],3,FALSE)</f>
        <v>Medium</v>
      </c>
      <c r="O1092">
        <f>VLOOKUP(D1092,tblProduct[],4,FALSE)</f>
        <v>90000</v>
      </c>
      <c r="P1092">
        <v>1300.5</v>
      </c>
      <c r="Q1092" s="19" t="str">
        <f t="shared" si="17"/>
        <v>Feb-2023</v>
      </c>
      <c r="R1092" s="26">
        <f>DATE(YEAR(tblEnriched[[#This Row],[Date]]),MONTH(tblEnriched[[#This Row],[Date]]),1)</f>
        <v>44958</v>
      </c>
    </row>
    <row r="1093" spans="1:18">
      <c r="A1093" t="s">
        <v>3926</v>
      </c>
      <c r="B1093" s="10">
        <v>45573</v>
      </c>
      <c r="C1093" t="s">
        <v>3927</v>
      </c>
      <c r="D1093" t="s">
        <v>64</v>
      </c>
      <c r="E1093">
        <v>3</v>
      </c>
      <c r="F1093" s="4">
        <v>209.48</v>
      </c>
      <c r="G1093" t="s">
        <v>24</v>
      </c>
      <c r="H1093" t="s">
        <v>95</v>
      </c>
      <c r="I1093">
        <v>4</v>
      </c>
      <c r="K1093" t="s">
        <v>44</v>
      </c>
      <c r="L1093" s="4">
        <v>628.43999999999994</v>
      </c>
      <c r="M1093" t="str">
        <f>VLOOKUP(D1093,tblProduct[],2,FALSE)</f>
        <v>Electronics</v>
      </c>
      <c r="N1093" t="str">
        <f>VLOOKUP(D1093,tblProduct[],3,FALSE)</f>
        <v>High</v>
      </c>
      <c r="O1093">
        <f>VLOOKUP(D1093,tblProduct[],4,FALSE)</f>
        <v>150000</v>
      </c>
      <c r="P1093">
        <v>628.43999999999994</v>
      </c>
      <c r="Q1093" s="19" t="str">
        <f t="shared" si="17"/>
        <v>Oct-2024</v>
      </c>
      <c r="R1093" s="26">
        <f>DATE(YEAR(tblEnriched[[#This Row],[Date]]),MONTH(tblEnriched[[#This Row],[Date]]),1)</f>
        <v>45566</v>
      </c>
    </row>
    <row r="1094" spans="1:18">
      <c r="A1094" t="s">
        <v>3929</v>
      </c>
      <c r="B1094" s="10">
        <v>45159</v>
      </c>
      <c r="C1094" t="s">
        <v>3930</v>
      </c>
      <c r="D1094" t="s">
        <v>64</v>
      </c>
      <c r="E1094">
        <v>5</v>
      </c>
      <c r="F1094" s="4">
        <v>209.2</v>
      </c>
      <c r="G1094" t="s">
        <v>24</v>
      </c>
      <c r="H1094" t="s">
        <v>56</v>
      </c>
      <c r="I1094">
        <v>6</v>
      </c>
      <c r="J1094" t="s">
        <v>87</v>
      </c>
      <c r="K1094" t="s">
        <v>44</v>
      </c>
      <c r="L1094" s="4">
        <v>1046</v>
      </c>
      <c r="M1094" t="str">
        <f>VLOOKUP(D1094,tblProduct[],2,FALSE)</f>
        <v>Electronics</v>
      </c>
      <c r="N1094" t="str">
        <f>VLOOKUP(D1094,tblProduct[],3,FALSE)</f>
        <v>High</v>
      </c>
      <c r="O1094">
        <f>VLOOKUP(D1094,tblProduct[],4,FALSE)</f>
        <v>150000</v>
      </c>
      <c r="P1094">
        <v>1046</v>
      </c>
      <c r="Q1094" s="19" t="str">
        <f t="shared" si="17"/>
        <v>Aug-2023</v>
      </c>
      <c r="R1094" s="26">
        <f>DATE(YEAR(tblEnriched[[#This Row],[Date]]),MONTH(tblEnriched[[#This Row],[Date]]),1)</f>
        <v>45139</v>
      </c>
    </row>
    <row r="1095" spans="1:18">
      <c r="A1095" t="s">
        <v>3932</v>
      </c>
      <c r="B1095" s="10">
        <v>45086</v>
      </c>
      <c r="C1095" t="s">
        <v>3933</v>
      </c>
      <c r="D1095" t="s">
        <v>31</v>
      </c>
      <c r="E1095">
        <v>4</v>
      </c>
      <c r="F1095" s="4">
        <v>197.36</v>
      </c>
      <c r="G1095" t="s">
        <v>66</v>
      </c>
      <c r="H1095" t="s">
        <v>49</v>
      </c>
      <c r="I1095">
        <v>9</v>
      </c>
      <c r="J1095" t="s">
        <v>43</v>
      </c>
      <c r="K1095" t="s">
        <v>28</v>
      </c>
      <c r="L1095" s="4">
        <v>789.44</v>
      </c>
      <c r="M1095" t="str">
        <f>VLOOKUP(D1095,tblProduct[],2,FALSE)</f>
        <v>Electronics</v>
      </c>
      <c r="N1095" t="str">
        <f>VLOOKUP(D1095,tblProduct[],3,FALSE)</f>
        <v>High</v>
      </c>
      <c r="O1095">
        <f>VLOOKUP(D1095,tblProduct[],4,FALSE)</f>
        <v>120000</v>
      </c>
      <c r="P1095">
        <v>789.44</v>
      </c>
      <c r="Q1095" s="19" t="str">
        <f t="shared" si="17"/>
        <v>Jun-2023</v>
      </c>
      <c r="R1095" s="26">
        <f>DATE(YEAR(tblEnriched[[#This Row],[Date]]),MONTH(tblEnriched[[#This Row],[Date]]),1)</f>
        <v>45078</v>
      </c>
    </row>
    <row r="1096" spans="1:18">
      <c r="A1096" t="s">
        <v>3936</v>
      </c>
      <c r="B1096" s="10">
        <v>45105</v>
      </c>
      <c r="C1096" t="s">
        <v>3937</v>
      </c>
      <c r="D1096" t="s">
        <v>54</v>
      </c>
      <c r="E1096">
        <v>4</v>
      </c>
      <c r="F1096" s="4">
        <v>648.91</v>
      </c>
      <c r="G1096" t="s">
        <v>40</v>
      </c>
      <c r="H1096" t="s">
        <v>25</v>
      </c>
      <c r="I1096">
        <v>6</v>
      </c>
      <c r="J1096" t="s">
        <v>27</v>
      </c>
      <c r="K1096" t="s">
        <v>28</v>
      </c>
      <c r="L1096" s="4">
        <v>2595.64</v>
      </c>
      <c r="M1096" t="str">
        <f>VLOOKUP(D1096,tblProduct[],2,FALSE)</f>
        <v>Electronics</v>
      </c>
      <c r="N1096" t="str">
        <f>VLOOKUP(D1096,tblProduct[],3,FALSE)</f>
        <v>Medium</v>
      </c>
      <c r="O1096">
        <f>VLOOKUP(D1096,tblProduct[],4,FALSE)</f>
        <v>80000</v>
      </c>
      <c r="P1096">
        <v>2595.64</v>
      </c>
      <c r="Q1096" s="19" t="str">
        <f t="shared" si="17"/>
        <v>Jun-2023</v>
      </c>
      <c r="R1096" s="26">
        <f>DATE(YEAR(tblEnriched[[#This Row],[Date]]),MONTH(tblEnriched[[#This Row],[Date]]),1)</f>
        <v>45078</v>
      </c>
    </row>
    <row r="1097" spans="1:18">
      <c r="A1097" t="s">
        <v>3940</v>
      </c>
      <c r="B1097" s="10">
        <v>45405</v>
      </c>
      <c r="C1097" t="s">
        <v>3941</v>
      </c>
      <c r="D1097" t="s">
        <v>31</v>
      </c>
      <c r="E1097">
        <v>2</v>
      </c>
      <c r="F1097" s="4">
        <v>441.54</v>
      </c>
      <c r="G1097" t="s">
        <v>33</v>
      </c>
      <c r="H1097" t="s">
        <v>56</v>
      </c>
      <c r="I1097">
        <v>2</v>
      </c>
      <c r="J1097" t="s">
        <v>27</v>
      </c>
      <c r="K1097" t="s">
        <v>44</v>
      </c>
      <c r="L1097" s="4">
        <v>883.08</v>
      </c>
      <c r="M1097" t="str">
        <f>VLOOKUP(D1097,tblProduct[],2,FALSE)</f>
        <v>Electronics</v>
      </c>
      <c r="N1097" t="str">
        <f>VLOOKUP(D1097,tblProduct[],3,FALSE)</f>
        <v>High</v>
      </c>
      <c r="O1097">
        <f>VLOOKUP(D1097,tblProduct[],4,FALSE)</f>
        <v>120000</v>
      </c>
      <c r="P1097">
        <v>883.08</v>
      </c>
      <c r="Q1097" s="19" t="str">
        <f t="shared" si="17"/>
        <v>Apr-2024</v>
      </c>
      <c r="R1097" s="26">
        <f>DATE(YEAR(tblEnriched[[#This Row],[Date]]),MONTH(tblEnriched[[#This Row],[Date]]),1)</f>
        <v>45383</v>
      </c>
    </row>
    <row r="1098" spans="1:18">
      <c r="A1098" t="s">
        <v>3944</v>
      </c>
      <c r="B1098" s="10">
        <v>45780</v>
      </c>
      <c r="C1098" t="s">
        <v>3945</v>
      </c>
      <c r="D1098" t="s">
        <v>38</v>
      </c>
      <c r="E1098">
        <v>2</v>
      </c>
      <c r="F1098" s="4">
        <v>464.92</v>
      </c>
      <c r="G1098" t="s">
        <v>24</v>
      </c>
      <c r="H1098" t="s">
        <v>49</v>
      </c>
      <c r="I1098">
        <v>2</v>
      </c>
      <c r="K1098" t="s">
        <v>51</v>
      </c>
      <c r="L1098" s="4">
        <v>929.84</v>
      </c>
      <c r="M1098" t="str">
        <f>VLOOKUP(D1098,tblProduct[],2,FALSE)</f>
        <v>Electronics</v>
      </c>
      <c r="N1098" t="str">
        <f>VLOOKUP(D1098,tblProduct[],3,FALSE)</f>
        <v>Medium</v>
      </c>
      <c r="O1098">
        <f>VLOOKUP(D1098,tblProduct[],4,FALSE)</f>
        <v>100000</v>
      </c>
      <c r="P1098">
        <v>929.84</v>
      </c>
      <c r="Q1098" s="19" t="str">
        <f t="shared" si="17"/>
        <v>May-2025</v>
      </c>
      <c r="R1098" s="26">
        <f>DATE(YEAR(tblEnriched[[#This Row],[Date]]),MONTH(tblEnriched[[#This Row],[Date]]),1)</f>
        <v>45778</v>
      </c>
    </row>
    <row r="1099" spans="1:18">
      <c r="A1099" t="s">
        <v>3948</v>
      </c>
      <c r="B1099" s="10">
        <v>45652</v>
      </c>
      <c r="C1099" t="s">
        <v>3949</v>
      </c>
      <c r="D1099" t="s">
        <v>22</v>
      </c>
      <c r="E1099">
        <v>5</v>
      </c>
      <c r="F1099" s="4">
        <v>506.45</v>
      </c>
      <c r="G1099" t="s">
        <v>66</v>
      </c>
      <c r="H1099" t="s">
        <v>25</v>
      </c>
      <c r="I1099">
        <v>7</v>
      </c>
      <c r="J1099" t="s">
        <v>87</v>
      </c>
      <c r="K1099" t="s">
        <v>82</v>
      </c>
      <c r="L1099" s="4">
        <v>2532.25</v>
      </c>
      <c r="M1099" t="str">
        <f>VLOOKUP(D1099,tblProduct[],2,FALSE)</f>
        <v>Electronics</v>
      </c>
      <c r="N1099" t="str">
        <f>VLOOKUP(D1099,tblProduct[],3,FALSE)</f>
        <v>Medium</v>
      </c>
      <c r="O1099">
        <f>VLOOKUP(D1099,tblProduct[],4,FALSE)</f>
        <v>90000</v>
      </c>
      <c r="P1099">
        <v>2532.25</v>
      </c>
      <c r="Q1099" s="19" t="str">
        <f t="shared" si="17"/>
        <v>Dec-2024</v>
      </c>
      <c r="R1099" s="26">
        <f>DATE(YEAR(tblEnriched[[#This Row],[Date]]),MONTH(tblEnriched[[#This Row],[Date]]),1)</f>
        <v>45627</v>
      </c>
    </row>
    <row r="1100" spans="1:18">
      <c r="A1100" t="s">
        <v>3952</v>
      </c>
      <c r="B1100" s="10">
        <v>45094</v>
      </c>
      <c r="C1100" t="s">
        <v>3953</v>
      </c>
      <c r="D1100" t="s">
        <v>22</v>
      </c>
      <c r="E1100">
        <v>4</v>
      </c>
      <c r="F1100" s="4">
        <v>255.86</v>
      </c>
      <c r="G1100" t="s">
        <v>40</v>
      </c>
      <c r="H1100" t="s">
        <v>56</v>
      </c>
      <c r="I1100">
        <v>7</v>
      </c>
      <c r="K1100" t="s">
        <v>44</v>
      </c>
      <c r="L1100" s="4">
        <v>1023.44</v>
      </c>
      <c r="M1100" t="str">
        <f>VLOOKUP(D1100,tblProduct[],2,FALSE)</f>
        <v>Electronics</v>
      </c>
      <c r="N1100" t="str">
        <f>VLOOKUP(D1100,tblProduct[],3,FALSE)</f>
        <v>Medium</v>
      </c>
      <c r="O1100">
        <f>VLOOKUP(D1100,tblProduct[],4,FALSE)</f>
        <v>90000</v>
      </c>
      <c r="P1100">
        <v>1023.44</v>
      </c>
      <c r="Q1100" s="19" t="str">
        <f t="shared" si="17"/>
        <v>Jun-2023</v>
      </c>
      <c r="R1100" s="26">
        <f>DATE(YEAR(tblEnriched[[#This Row],[Date]]),MONTH(tblEnriched[[#This Row],[Date]]),1)</f>
        <v>45078</v>
      </c>
    </row>
    <row r="1101" spans="1:18">
      <c r="A1101" t="s">
        <v>3956</v>
      </c>
      <c r="B1101" s="10">
        <v>45554</v>
      </c>
      <c r="C1101" t="s">
        <v>3957</v>
      </c>
      <c r="D1101" t="s">
        <v>64</v>
      </c>
      <c r="E1101">
        <v>2</v>
      </c>
      <c r="F1101" s="4">
        <v>125.23</v>
      </c>
      <c r="G1101" t="s">
        <v>71</v>
      </c>
      <c r="H1101" t="s">
        <v>41</v>
      </c>
      <c r="I1101">
        <v>3</v>
      </c>
      <c r="J1101" t="s">
        <v>43</v>
      </c>
      <c r="K1101" t="s">
        <v>44</v>
      </c>
      <c r="L1101" s="4">
        <v>250.46</v>
      </c>
      <c r="M1101" t="str">
        <f>VLOOKUP(D1101,tblProduct[],2,FALSE)</f>
        <v>Electronics</v>
      </c>
      <c r="N1101" t="str">
        <f>VLOOKUP(D1101,tblProduct[],3,FALSE)</f>
        <v>High</v>
      </c>
      <c r="O1101">
        <f>VLOOKUP(D1101,tblProduct[],4,FALSE)</f>
        <v>150000</v>
      </c>
      <c r="P1101">
        <v>250.46</v>
      </c>
      <c r="Q1101" s="19" t="str">
        <f t="shared" si="17"/>
        <v>Sep-2024</v>
      </c>
      <c r="R1101" s="26">
        <f>DATE(YEAR(tblEnriched[[#This Row],[Date]]),MONTH(tblEnriched[[#This Row],[Date]]),1)</f>
        <v>45536</v>
      </c>
    </row>
    <row r="1102" spans="1:18">
      <c r="A1102" t="s">
        <v>3959</v>
      </c>
      <c r="B1102" s="10">
        <v>45155</v>
      </c>
      <c r="C1102" t="s">
        <v>3960</v>
      </c>
      <c r="D1102" t="s">
        <v>64</v>
      </c>
      <c r="E1102">
        <v>5</v>
      </c>
      <c r="F1102" s="4">
        <v>38.11</v>
      </c>
      <c r="G1102" t="s">
        <v>24</v>
      </c>
      <c r="H1102" t="s">
        <v>41</v>
      </c>
      <c r="I1102">
        <v>6</v>
      </c>
      <c r="J1102" t="s">
        <v>87</v>
      </c>
      <c r="K1102" t="s">
        <v>28</v>
      </c>
      <c r="L1102" s="4">
        <v>190.55</v>
      </c>
      <c r="M1102" t="str">
        <f>VLOOKUP(D1102,tblProduct[],2,FALSE)</f>
        <v>Electronics</v>
      </c>
      <c r="N1102" t="str">
        <f>VLOOKUP(D1102,tblProduct[],3,FALSE)</f>
        <v>High</v>
      </c>
      <c r="O1102">
        <f>VLOOKUP(D1102,tblProduct[],4,FALSE)</f>
        <v>150000</v>
      </c>
      <c r="P1102">
        <v>190.55</v>
      </c>
      <c r="Q1102" s="19" t="str">
        <f t="shared" si="17"/>
        <v>Aug-2023</v>
      </c>
      <c r="R1102" s="26">
        <f>DATE(YEAR(tblEnriched[[#This Row],[Date]]),MONTH(tblEnriched[[#This Row],[Date]]),1)</f>
        <v>45139</v>
      </c>
    </row>
    <row r="1103" spans="1:18">
      <c r="A1103" t="s">
        <v>3963</v>
      </c>
      <c r="B1103" s="10">
        <v>45816</v>
      </c>
      <c r="C1103" t="s">
        <v>3964</v>
      </c>
      <c r="D1103" t="s">
        <v>22</v>
      </c>
      <c r="E1103">
        <v>3</v>
      </c>
      <c r="F1103" s="4">
        <v>161.97</v>
      </c>
      <c r="G1103" t="s">
        <v>71</v>
      </c>
      <c r="H1103" t="s">
        <v>95</v>
      </c>
      <c r="I1103">
        <v>4</v>
      </c>
      <c r="J1103" t="s">
        <v>27</v>
      </c>
      <c r="K1103" t="s">
        <v>44</v>
      </c>
      <c r="L1103" s="4">
        <v>485.91</v>
      </c>
      <c r="M1103" t="str">
        <f>VLOOKUP(D1103,tblProduct[],2,FALSE)</f>
        <v>Electronics</v>
      </c>
      <c r="N1103" t="str">
        <f>VLOOKUP(D1103,tblProduct[],3,FALSE)</f>
        <v>Medium</v>
      </c>
      <c r="O1103">
        <f>VLOOKUP(D1103,tblProduct[],4,FALSE)</f>
        <v>90000</v>
      </c>
      <c r="P1103">
        <v>485.91</v>
      </c>
      <c r="Q1103" s="19" t="str">
        <f t="shared" si="17"/>
        <v>Jun-2025</v>
      </c>
      <c r="R1103" s="26">
        <f>DATE(YEAR(tblEnriched[[#This Row],[Date]]),MONTH(tblEnriched[[#This Row],[Date]]),1)</f>
        <v>45809</v>
      </c>
    </row>
    <row r="1104" spans="1:18">
      <c r="A1104" t="s">
        <v>3966</v>
      </c>
      <c r="B1104" s="10">
        <v>45446</v>
      </c>
      <c r="C1104" t="s">
        <v>102</v>
      </c>
      <c r="D1104" t="s">
        <v>47</v>
      </c>
      <c r="E1104">
        <v>4</v>
      </c>
      <c r="F1104" s="4">
        <v>347.17</v>
      </c>
      <c r="G1104" t="s">
        <v>24</v>
      </c>
      <c r="H1104" t="s">
        <v>25</v>
      </c>
      <c r="I1104">
        <v>8</v>
      </c>
      <c r="K1104" t="s">
        <v>28</v>
      </c>
      <c r="L1104" s="4">
        <v>1388.68</v>
      </c>
      <c r="M1104" t="str">
        <f>VLOOKUP(D1104,tblProduct[],2,FALSE)</f>
        <v>Furniture</v>
      </c>
      <c r="N1104" t="str">
        <f>VLOOKUP(D1104,tblProduct[],3,FALSE)</f>
        <v>Medium</v>
      </c>
      <c r="O1104">
        <f>VLOOKUP(D1104,tblProduct[],4,FALSE)</f>
        <v>70000</v>
      </c>
      <c r="P1104">
        <v>1388.68</v>
      </c>
      <c r="Q1104" s="19" t="str">
        <f t="shared" si="17"/>
        <v>Jun-2024</v>
      </c>
      <c r="R1104" s="26">
        <f>DATE(YEAR(tblEnriched[[#This Row],[Date]]),MONTH(tblEnriched[[#This Row],[Date]]),1)</f>
        <v>45444</v>
      </c>
    </row>
    <row r="1105" spans="1:18">
      <c r="A1105" t="s">
        <v>3968</v>
      </c>
      <c r="B1105" s="10">
        <v>45040</v>
      </c>
      <c r="C1105" t="s">
        <v>3969</v>
      </c>
      <c r="D1105" t="s">
        <v>64</v>
      </c>
      <c r="E1105">
        <v>4</v>
      </c>
      <c r="F1105" s="4">
        <v>276.32</v>
      </c>
      <c r="G1105" t="s">
        <v>33</v>
      </c>
      <c r="H1105" t="s">
        <v>56</v>
      </c>
      <c r="I1105">
        <v>5</v>
      </c>
      <c r="K1105" t="s">
        <v>82</v>
      </c>
      <c r="L1105" s="4">
        <v>1105.28</v>
      </c>
      <c r="M1105" t="str">
        <f>VLOOKUP(D1105,tblProduct[],2,FALSE)</f>
        <v>Electronics</v>
      </c>
      <c r="N1105" t="str">
        <f>VLOOKUP(D1105,tblProduct[],3,FALSE)</f>
        <v>High</v>
      </c>
      <c r="O1105">
        <f>VLOOKUP(D1105,tblProduct[],4,FALSE)</f>
        <v>150000</v>
      </c>
      <c r="P1105">
        <v>1105.28</v>
      </c>
      <c r="Q1105" s="19" t="str">
        <f t="shared" si="17"/>
        <v>Apr-2023</v>
      </c>
      <c r="R1105" s="26">
        <f>DATE(YEAR(tblEnriched[[#This Row],[Date]]),MONTH(tblEnriched[[#This Row],[Date]]),1)</f>
        <v>45017</v>
      </c>
    </row>
    <row r="1106" spans="1:18">
      <c r="A1106" t="s">
        <v>3971</v>
      </c>
      <c r="B1106" s="10">
        <v>45498</v>
      </c>
      <c r="C1106" t="s">
        <v>3972</v>
      </c>
      <c r="D1106" t="s">
        <v>38</v>
      </c>
      <c r="E1106">
        <v>4</v>
      </c>
      <c r="F1106" s="4">
        <v>314.76</v>
      </c>
      <c r="G1106" t="s">
        <v>33</v>
      </c>
      <c r="H1106" t="s">
        <v>25</v>
      </c>
      <c r="I1106">
        <v>8</v>
      </c>
      <c r="K1106" t="s">
        <v>28</v>
      </c>
      <c r="L1106" s="4">
        <v>1259.04</v>
      </c>
      <c r="M1106" t="str">
        <f>VLOOKUP(D1106,tblProduct[],2,FALSE)</f>
        <v>Electronics</v>
      </c>
      <c r="N1106" t="str">
        <f>VLOOKUP(D1106,tblProduct[],3,FALSE)</f>
        <v>Medium</v>
      </c>
      <c r="O1106">
        <f>VLOOKUP(D1106,tblProduct[],4,FALSE)</f>
        <v>100000</v>
      </c>
      <c r="P1106">
        <v>1259.04</v>
      </c>
      <c r="Q1106" s="19" t="str">
        <f t="shared" si="17"/>
        <v>Jul-2024</v>
      </c>
      <c r="R1106" s="26">
        <f>DATE(YEAR(tblEnriched[[#This Row],[Date]]),MONTH(tblEnriched[[#This Row],[Date]]),1)</f>
        <v>45474</v>
      </c>
    </row>
    <row r="1107" spans="1:18">
      <c r="A1107" t="s">
        <v>3975</v>
      </c>
      <c r="B1107" s="10">
        <v>45299</v>
      </c>
      <c r="C1107" t="s">
        <v>3976</v>
      </c>
      <c r="D1107" t="s">
        <v>38</v>
      </c>
      <c r="E1107">
        <v>3</v>
      </c>
      <c r="F1107" s="4">
        <v>475.69</v>
      </c>
      <c r="G1107" t="s">
        <v>66</v>
      </c>
      <c r="H1107" t="s">
        <v>41</v>
      </c>
      <c r="I1107">
        <v>3</v>
      </c>
      <c r="J1107" t="s">
        <v>43</v>
      </c>
      <c r="K1107" t="s">
        <v>82</v>
      </c>
      <c r="L1107" s="4">
        <v>1427.07</v>
      </c>
      <c r="M1107" t="str">
        <f>VLOOKUP(D1107,tblProduct[],2,FALSE)</f>
        <v>Electronics</v>
      </c>
      <c r="N1107" t="str">
        <f>VLOOKUP(D1107,tblProduct[],3,FALSE)</f>
        <v>Medium</v>
      </c>
      <c r="O1107">
        <f>VLOOKUP(D1107,tblProduct[],4,FALSE)</f>
        <v>100000</v>
      </c>
      <c r="P1107">
        <v>1427.07</v>
      </c>
      <c r="Q1107" s="19" t="str">
        <f t="shared" si="17"/>
        <v>Jan-2024</v>
      </c>
      <c r="R1107" s="26">
        <f>DATE(YEAR(tblEnriched[[#This Row],[Date]]),MONTH(tblEnriched[[#This Row],[Date]]),1)</f>
        <v>45292</v>
      </c>
    </row>
    <row r="1108" spans="1:18">
      <c r="A1108" t="s">
        <v>3978</v>
      </c>
      <c r="B1108" s="10">
        <v>44997</v>
      </c>
      <c r="C1108" t="s">
        <v>3979</v>
      </c>
      <c r="D1108" t="s">
        <v>47</v>
      </c>
      <c r="E1108">
        <v>1</v>
      </c>
      <c r="F1108" s="4">
        <v>372.8</v>
      </c>
      <c r="G1108" t="s">
        <v>71</v>
      </c>
      <c r="H1108" t="s">
        <v>41</v>
      </c>
      <c r="I1108">
        <v>6</v>
      </c>
      <c r="J1108" t="s">
        <v>27</v>
      </c>
      <c r="K1108" t="s">
        <v>51</v>
      </c>
      <c r="L1108" s="4">
        <v>372.8</v>
      </c>
      <c r="M1108" t="str">
        <f>VLOOKUP(D1108,tblProduct[],2,FALSE)</f>
        <v>Furniture</v>
      </c>
      <c r="N1108" t="str">
        <f>VLOOKUP(D1108,tblProduct[],3,FALSE)</f>
        <v>Medium</v>
      </c>
      <c r="O1108">
        <f>VLOOKUP(D1108,tblProduct[],4,FALSE)</f>
        <v>70000</v>
      </c>
      <c r="P1108">
        <v>372.8</v>
      </c>
      <c r="Q1108" s="19" t="str">
        <f t="shared" si="17"/>
        <v>Mar-2023</v>
      </c>
      <c r="R1108" s="26">
        <f>DATE(YEAR(tblEnriched[[#This Row],[Date]]),MONTH(tblEnriched[[#This Row],[Date]]),1)</f>
        <v>44986</v>
      </c>
    </row>
    <row r="1109" spans="1:18">
      <c r="A1109" t="s">
        <v>3981</v>
      </c>
      <c r="B1109" s="10">
        <v>45838</v>
      </c>
      <c r="C1109" t="s">
        <v>3982</v>
      </c>
      <c r="D1109" t="s">
        <v>38</v>
      </c>
      <c r="E1109">
        <v>2</v>
      </c>
      <c r="F1109" s="4">
        <v>63.21</v>
      </c>
      <c r="G1109" t="s">
        <v>33</v>
      </c>
      <c r="H1109" t="s">
        <v>41</v>
      </c>
      <c r="I1109">
        <v>4</v>
      </c>
      <c r="J1109" t="s">
        <v>27</v>
      </c>
      <c r="K1109" t="s">
        <v>82</v>
      </c>
      <c r="L1109" s="4">
        <v>126.42</v>
      </c>
      <c r="M1109" t="str">
        <f>VLOOKUP(D1109,tblProduct[],2,FALSE)</f>
        <v>Electronics</v>
      </c>
      <c r="N1109" t="str">
        <f>VLOOKUP(D1109,tblProduct[],3,FALSE)</f>
        <v>Medium</v>
      </c>
      <c r="O1109">
        <f>VLOOKUP(D1109,tblProduct[],4,FALSE)</f>
        <v>100000</v>
      </c>
      <c r="P1109">
        <v>126.42</v>
      </c>
      <c r="Q1109" s="19" t="str">
        <f t="shared" si="17"/>
        <v>Jun-2025</v>
      </c>
      <c r="R1109" s="26">
        <f>DATE(YEAR(tblEnriched[[#This Row],[Date]]),MONTH(tblEnriched[[#This Row],[Date]]),1)</f>
        <v>45809</v>
      </c>
    </row>
    <row r="1110" spans="1:18">
      <c r="A1110" t="s">
        <v>3984</v>
      </c>
      <c r="B1110" s="10">
        <v>45005</v>
      </c>
      <c r="C1110" t="s">
        <v>3985</v>
      </c>
      <c r="D1110" t="s">
        <v>64</v>
      </c>
      <c r="E1110">
        <v>1</v>
      </c>
      <c r="F1110" s="4">
        <v>634.94000000000005</v>
      </c>
      <c r="G1110" t="s">
        <v>33</v>
      </c>
      <c r="H1110" t="s">
        <v>41</v>
      </c>
      <c r="I1110">
        <v>5</v>
      </c>
      <c r="J1110" t="s">
        <v>87</v>
      </c>
      <c r="K1110" t="s">
        <v>28</v>
      </c>
      <c r="L1110" s="4">
        <v>634.94000000000005</v>
      </c>
      <c r="M1110" t="str">
        <f>VLOOKUP(D1110,tblProduct[],2,FALSE)</f>
        <v>Electronics</v>
      </c>
      <c r="N1110" t="str">
        <f>VLOOKUP(D1110,tblProduct[],3,FALSE)</f>
        <v>High</v>
      </c>
      <c r="O1110">
        <f>VLOOKUP(D1110,tblProduct[],4,FALSE)</f>
        <v>150000</v>
      </c>
      <c r="P1110">
        <v>634.94000000000005</v>
      </c>
      <c r="Q1110" s="19" t="str">
        <f t="shared" si="17"/>
        <v>Mar-2023</v>
      </c>
      <c r="R1110" s="26">
        <f>DATE(YEAR(tblEnriched[[#This Row],[Date]]),MONTH(tblEnriched[[#This Row],[Date]]),1)</f>
        <v>44986</v>
      </c>
    </row>
    <row r="1111" spans="1:18">
      <c r="A1111" t="s">
        <v>3988</v>
      </c>
      <c r="B1111" s="10">
        <v>45390</v>
      </c>
      <c r="C1111" t="s">
        <v>3989</v>
      </c>
      <c r="D1111" t="s">
        <v>54</v>
      </c>
      <c r="E1111">
        <v>4</v>
      </c>
      <c r="F1111" s="4">
        <v>77.47</v>
      </c>
      <c r="G1111" t="s">
        <v>66</v>
      </c>
      <c r="H1111" t="s">
        <v>49</v>
      </c>
      <c r="I1111">
        <v>7</v>
      </c>
      <c r="J1111" t="s">
        <v>27</v>
      </c>
      <c r="K1111" t="s">
        <v>28</v>
      </c>
      <c r="L1111" s="4">
        <v>309.88</v>
      </c>
      <c r="M1111" t="str">
        <f>VLOOKUP(D1111,tblProduct[],2,FALSE)</f>
        <v>Electronics</v>
      </c>
      <c r="N1111" t="str">
        <f>VLOOKUP(D1111,tblProduct[],3,FALSE)</f>
        <v>Medium</v>
      </c>
      <c r="O1111">
        <f>VLOOKUP(D1111,tblProduct[],4,FALSE)</f>
        <v>80000</v>
      </c>
      <c r="P1111">
        <v>309.88</v>
      </c>
      <c r="Q1111" s="19" t="str">
        <f t="shared" si="17"/>
        <v>Apr-2024</v>
      </c>
      <c r="R1111" s="26">
        <f>DATE(YEAR(tblEnriched[[#This Row],[Date]]),MONTH(tblEnriched[[#This Row],[Date]]),1)</f>
        <v>45383</v>
      </c>
    </row>
    <row r="1112" spans="1:18">
      <c r="A1112" t="s">
        <v>3991</v>
      </c>
      <c r="B1112" s="10">
        <v>45347</v>
      </c>
      <c r="C1112" t="s">
        <v>3992</v>
      </c>
      <c r="D1112" t="s">
        <v>47</v>
      </c>
      <c r="E1112">
        <v>3</v>
      </c>
      <c r="F1112" s="4">
        <v>84.31</v>
      </c>
      <c r="G1112" t="s">
        <v>40</v>
      </c>
      <c r="H1112" t="s">
        <v>25</v>
      </c>
      <c r="I1112">
        <v>3</v>
      </c>
      <c r="J1112" t="s">
        <v>27</v>
      </c>
      <c r="K1112" t="s">
        <v>44</v>
      </c>
      <c r="L1112" s="4">
        <v>252.93</v>
      </c>
      <c r="M1112" t="str">
        <f>VLOOKUP(D1112,tblProduct[],2,FALSE)</f>
        <v>Furniture</v>
      </c>
      <c r="N1112" t="str">
        <f>VLOOKUP(D1112,tblProduct[],3,FALSE)</f>
        <v>Medium</v>
      </c>
      <c r="O1112">
        <f>VLOOKUP(D1112,tblProduct[],4,FALSE)</f>
        <v>70000</v>
      </c>
      <c r="P1112">
        <v>252.93</v>
      </c>
      <c r="Q1112" s="19" t="str">
        <f t="shared" si="17"/>
        <v>Feb-2024</v>
      </c>
      <c r="R1112" s="26">
        <f>DATE(YEAR(tblEnriched[[#This Row],[Date]]),MONTH(tblEnriched[[#This Row],[Date]]),1)</f>
        <v>45323</v>
      </c>
    </row>
    <row r="1113" spans="1:18">
      <c r="A1113" t="s">
        <v>3994</v>
      </c>
      <c r="B1113" s="10">
        <v>45052</v>
      </c>
      <c r="C1113" t="s">
        <v>3995</v>
      </c>
      <c r="D1113" t="s">
        <v>22</v>
      </c>
      <c r="E1113">
        <v>4</v>
      </c>
      <c r="F1113" s="4">
        <v>234.45</v>
      </c>
      <c r="G1113" t="s">
        <v>33</v>
      </c>
      <c r="H1113" t="s">
        <v>41</v>
      </c>
      <c r="I1113">
        <v>9</v>
      </c>
      <c r="J1113" t="s">
        <v>43</v>
      </c>
      <c r="K1113" t="s">
        <v>28</v>
      </c>
      <c r="L1113" s="4">
        <v>937.8</v>
      </c>
      <c r="M1113" t="str">
        <f>VLOOKUP(D1113,tblProduct[],2,FALSE)</f>
        <v>Electronics</v>
      </c>
      <c r="N1113" t="str">
        <f>VLOOKUP(D1113,tblProduct[],3,FALSE)</f>
        <v>Medium</v>
      </c>
      <c r="O1113">
        <f>VLOOKUP(D1113,tblProduct[],4,FALSE)</f>
        <v>90000</v>
      </c>
      <c r="P1113">
        <v>937.8</v>
      </c>
      <c r="Q1113" s="19" t="str">
        <f t="shared" si="17"/>
        <v>May-2023</v>
      </c>
      <c r="R1113" s="26">
        <f>DATE(YEAR(tblEnriched[[#This Row],[Date]]),MONTH(tblEnriched[[#This Row],[Date]]),1)</f>
        <v>45047</v>
      </c>
    </row>
    <row r="1114" spans="1:18">
      <c r="A1114" t="s">
        <v>3998</v>
      </c>
      <c r="B1114" s="10">
        <v>45212</v>
      </c>
      <c r="C1114" t="s">
        <v>3999</v>
      </c>
      <c r="D1114" t="s">
        <v>79</v>
      </c>
      <c r="E1114">
        <v>1</v>
      </c>
      <c r="F1114" s="4">
        <v>356.81</v>
      </c>
      <c r="G1114" t="s">
        <v>33</v>
      </c>
      <c r="H1114" t="s">
        <v>56</v>
      </c>
      <c r="I1114">
        <v>1</v>
      </c>
      <c r="J1114" t="s">
        <v>87</v>
      </c>
      <c r="K1114" t="s">
        <v>28</v>
      </c>
      <c r="L1114" s="4">
        <v>356.81</v>
      </c>
      <c r="M1114" t="str">
        <f>VLOOKUP(D1114,tblProduct[],2,FALSE)</f>
        <v>Furniture</v>
      </c>
      <c r="N1114" t="str">
        <f>VLOOKUP(D1114,tblProduct[],3,FALSE)</f>
        <v>High</v>
      </c>
      <c r="O1114">
        <f>VLOOKUP(D1114,tblProduct[],4,FALSE)</f>
        <v>75000</v>
      </c>
      <c r="P1114">
        <v>356.81</v>
      </c>
      <c r="Q1114" s="19" t="str">
        <f t="shared" si="17"/>
        <v>Oct-2023</v>
      </c>
      <c r="R1114" s="26">
        <f>DATE(YEAR(tblEnriched[[#This Row],[Date]]),MONTH(tblEnriched[[#This Row],[Date]]),1)</f>
        <v>45200</v>
      </c>
    </row>
    <row r="1115" spans="1:18">
      <c r="A1115" t="s">
        <v>4001</v>
      </c>
      <c r="B1115" s="10">
        <v>45004</v>
      </c>
      <c r="C1115" t="s">
        <v>4002</v>
      </c>
      <c r="D1115" t="s">
        <v>79</v>
      </c>
      <c r="E1115">
        <v>4</v>
      </c>
      <c r="F1115" s="4">
        <v>209.99</v>
      </c>
      <c r="G1115" t="s">
        <v>71</v>
      </c>
      <c r="H1115" t="s">
        <v>56</v>
      </c>
      <c r="I1115">
        <v>8</v>
      </c>
      <c r="K1115" t="s">
        <v>82</v>
      </c>
      <c r="L1115" s="4">
        <v>839.96</v>
      </c>
      <c r="M1115" t="str">
        <f>VLOOKUP(D1115,tblProduct[],2,FALSE)</f>
        <v>Furniture</v>
      </c>
      <c r="N1115" t="str">
        <f>VLOOKUP(D1115,tblProduct[],3,FALSE)</f>
        <v>High</v>
      </c>
      <c r="O1115">
        <f>VLOOKUP(D1115,tblProduct[],4,FALSE)</f>
        <v>75000</v>
      </c>
      <c r="P1115">
        <v>839.96</v>
      </c>
      <c r="Q1115" s="19" t="str">
        <f t="shared" si="17"/>
        <v>Mar-2023</v>
      </c>
      <c r="R1115" s="26">
        <f>DATE(YEAR(tblEnriched[[#This Row],[Date]]),MONTH(tblEnriched[[#This Row],[Date]]),1)</f>
        <v>44986</v>
      </c>
    </row>
    <row r="1116" spans="1:18">
      <c r="A1116" t="s">
        <v>4004</v>
      </c>
      <c r="B1116" s="10">
        <v>45001</v>
      </c>
      <c r="C1116" t="s">
        <v>4005</v>
      </c>
      <c r="D1116" t="s">
        <v>38</v>
      </c>
      <c r="E1116">
        <v>3</v>
      </c>
      <c r="F1116" s="4">
        <v>659.88</v>
      </c>
      <c r="G1116" t="s">
        <v>66</v>
      </c>
      <c r="H1116" t="s">
        <v>41</v>
      </c>
      <c r="I1116">
        <v>3</v>
      </c>
      <c r="K1116" t="s">
        <v>82</v>
      </c>
      <c r="L1116" s="4">
        <v>1979.64</v>
      </c>
      <c r="M1116" t="str">
        <f>VLOOKUP(D1116,tblProduct[],2,FALSE)</f>
        <v>Electronics</v>
      </c>
      <c r="N1116" t="str">
        <f>VLOOKUP(D1116,tblProduct[],3,FALSE)</f>
        <v>Medium</v>
      </c>
      <c r="O1116">
        <f>VLOOKUP(D1116,tblProduct[],4,FALSE)</f>
        <v>100000</v>
      </c>
      <c r="P1116">
        <v>1979.64</v>
      </c>
      <c r="Q1116" s="19" t="str">
        <f t="shared" si="17"/>
        <v>Mar-2023</v>
      </c>
      <c r="R1116" s="26">
        <f>DATE(YEAR(tblEnriched[[#This Row],[Date]]),MONTH(tblEnriched[[#This Row],[Date]]),1)</f>
        <v>44986</v>
      </c>
    </row>
    <row r="1117" spans="1:18">
      <c r="A1117" t="s">
        <v>4007</v>
      </c>
      <c r="B1117" s="10">
        <v>45828</v>
      </c>
      <c r="C1117" t="s">
        <v>4008</v>
      </c>
      <c r="D1117" t="s">
        <v>64</v>
      </c>
      <c r="E1117">
        <v>2</v>
      </c>
      <c r="F1117" s="4">
        <v>336.32</v>
      </c>
      <c r="G1117" t="s">
        <v>33</v>
      </c>
      <c r="H1117" t="s">
        <v>49</v>
      </c>
      <c r="I1117">
        <v>3</v>
      </c>
      <c r="K1117" t="s">
        <v>82</v>
      </c>
      <c r="L1117" s="4">
        <v>672.64</v>
      </c>
      <c r="M1117" t="str">
        <f>VLOOKUP(D1117,tblProduct[],2,FALSE)</f>
        <v>Electronics</v>
      </c>
      <c r="N1117" t="str">
        <f>VLOOKUP(D1117,tblProduct[],3,FALSE)</f>
        <v>High</v>
      </c>
      <c r="O1117">
        <f>VLOOKUP(D1117,tblProduct[],4,FALSE)</f>
        <v>150000</v>
      </c>
      <c r="P1117">
        <v>672.64</v>
      </c>
      <c r="Q1117" s="19" t="str">
        <f t="shared" si="17"/>
        <v>Jun-2025</v>
      </c>
      <c r="R1117" s="26">
        <f>DATE(YEAR(tblEnriched[[#This Row],[Date]]),MONTH(tblEnriched[[#This Row],[Date]]),1)</f>
        <v>45809</v>
      </c>
    </row>
    <row r="1118" spans="1:18">
      <c r="A1118" t="s">
        <v>4010</v>
      </c>
      <c r="B1118" s="10">
        <v>45213</v>
      </c>
      <c r="C1118" t="s">
        <v>4011</v>
      </c>
      <c r="D1118" t="s">
        <v>54</v>
      </c>
      <c r="E1118">
        <v>2</v>
      </c>
      <c r="F1118" s="4">
        <v>531.49</v>
      </c>
      <c r="G1118" t="s">
        <v>40</v>
      </c>
      <c r="H1118" t="s">
        <v>56</v>
      </c>
      <c r="I1118">
        <v>7</v>
      </c>
      <c r="J1118" t="s">
        <v>87</v>
      </c>
      <c r="K1118" t="s">
        <v>51</v>
      </c>
      <c r="L1118" s="4">
        <v>1062.98</v>
      </c>
      <c r="M1118" t="str">
        <f>VLOOKUP(D1118,tblProduct[],2,FALSE)</f>
        <v>Electronics</v>
      </c>
      <c r="N1118" t="str">
        <f>VLOOKUP(D1118,tblProduct[],3,FALSE)</f>
        <v>Medium</v>
      </c>
      <c r="O1118">
        <f>VLOOKUP(D1118,tblProduct[],4,FALSE)</f>
        <v>80000</v>
      </c>
      <c r="P1118">
        <v>1062.98</v>
      </c>
      <c r="Q1118" s="19" t="str">
        <f t="shared" si="17"/>
        <v>Oct-2023</v>
      </c>
      <c r="R1118" s="26">
        <f>DATE(YEAR(tblEnriched[[#This Row],[Date]]),MONTH(tblEnriched[[#This Row],[Date]]),1)</f>
        <v>45200</v>
      </c>
    </row>
    <row r="1119" spans="1:18">
      <c r="A1119" t="s">
        <v>4013</v>
      </c>
      <c r="B1119" s="10">
        <v>45432</v>
      </c>
      <c r="C1119" t="s">
        <v>4014</v>
      </c>
      <c r="D1119" t="s">
        <v>47</v>
      </c>
      <c r="E1119">
        <v>3</v>
      </c>
      <c r="F1119" s="4">
        <v>588.44000000000005</v>
      </c>
      <c r="G1119" t="s">
        <v>66</v>
      </c>
      <c r="H1119" t="s">
        <v>25</v>
      </c>
      <c r="I1119">
        <v>8</v>
      </c>
      <c r="J1119" t="s">
        <v>87</v>
      </c>
      <c r="K1119" t="s">
        <v>82</v>
      </c>
      <c r="L1119" s="4">
        <v>1765.32</v>
      </c>
      <c r="M1119" t="str">
        <f>VLOOKUP(D1119,tblProduct[],2,FALSE)</f>
        <v>Furniture</v>
      </c>
      <c r="N1119" t="str">
        <f>VLOOKUP(D1119,tblProduct[],3,FALSE)</f>
        <v>Medium</v>
      </c>
      <c r="O1119">
        <f>VLOOKUP(D1119,tblProduct[],4,FALSE)</f>
        <v>70000</v>
      </c>
      <c r="P1119">
        <v>1765.32</v>
      </c>
      <c r="Q1119" s="19" t="str">
        <f t="shared" si="17"/>
        <v>May-2024</v>
      </c>
      <c r="R1119" s="26">
        <f>DATE(YEAR(tblEnriched[[#This Row],[Date]]),MONTH(tblEnriched[[#This Row],[Date]]),1)</f>
        <v>45413</v>
      </c>
    </row>
    <row r="1120" spans="1:18">
      <c r="A1120" t="s">
        <v>4016</v>
      </c>
      <c r="B1120" s="10">
        <v>45436</v>
      </c>
      <c r="C1120" t="s">
        <v>4017</v>
      </c>
      <c r="D1120" t="s">
        <v>31</v>
      </c>
      <c r="E1120">
        <v>3</v>
      </c>
      <c r="F1120" s="4">
        <v>251.48</v>
      </c>
      <c r="G1120" t="s">
        <v>40</v>
      </c>
      <c r="H1120" t="s">
        <v>49</v>
      </c>
      <c r="I1120">
        <v>4</v>
      </c>
      <c r="K1120" t="s">
        <v>44</v>
      </c>
      <c r="L1120" s="4">
        <v>754.43999999999994</v>
      </c>
      <c r="M1120" t="str">
        <f>VLOOKUP(D1120,tblProduct[],2,FALSE)</f>
        <v>Electronics</v>
      </c>
      <c r="N1120" t="str">
        <f>VLOOKUP(D1120,tblProduct[],3,FALSE)</f>
        <v>High</v>
      </c>
      <c r="O1120">
        <f>VLOOKUP(D1120,tblProduct[],4,FALSE)</f>
        <v>120000</v>
      </c>
      <c r="P1120">
        <v>754.43999999999994</v>
      </c>
      <c r="Q1120" s="19" t="str">
        <f t="shared" si="17"/>
        <v>May-2024</v>
      </c>
      <c r="R1120" s="26">
        <f>DATE(YEAR(tblEnriched[[#This Row],[Date]]),MONTH(tblEnriched[[#This Row],[Date]]),1)</f>
        <v>45413</v>
      </c>
    </row>
    <row r="1121" spans="1:18">
      <c r="A1121" t="s">
        <v>4019</v>
      </c>
      <c r="B1121" s="10">
        <v>45620</v>
      </c>
      <c r="C1121" t="s">
        <v>4020</v>
      </c>
      <c r="D1121" t="s">
        <v>64</v>
      </c>
      <c r="E1121">
        <v>1</v>
      </c>
      <c r="F1121" s="4">
        <v>684.65</v>
      </c>
      <c r="G1121" t="s">
        <v>40</v>
      </c>
      <c r="H1121" t="s">
        <v>56</v>
      </c>
      <c r="I1121">
        <v>1</v>
      </c>
      <c r="J1121" t="s">
        <v>43</v>
      </c>
      <c r="K1121" t="s">
        <v>44</v>
      </c>
      <c r="L1121" s="4">
        <v>684.65</v>
      </c>
      <c r="M1121" t="str">
        <f>VLOOKUP(D1121,tblProduct[],2,FALSE)</f>
        <v>Electronics</v>
      </c>
      <c r="N1121" t="str">
        <f>VLOOKUP(D1121,tblProduct[],3,FALSE)</f>
        <v>High</v>
      </c>
      <c r="O1121">
        <f>VLOOKUP(D1121,tblProduct[],4,FALSE)</f>
        <v>150000</v>
      </c>
      <c r="P1121">
        <v>684.65</v>
      </c>
      <c r="Q1121" s="19" t="str">
        <f t="shared" si="17"/>
        <v>Nov-2024</v>
      </c>
      <c r="R1121" s="26">
        <f>DATE(YEAR(tblEnriched[[#This Row],[Date]]),MONTH(tblEnriched[[#This Row],[Date]]),1)</f>
        <v>45597</v>
      </c>
    </row>
    <row r="1122" spans="1:18">
      <c r="A1122" t="s">
        <v>4022</v>
      </c>
      <c r="B1122" s="10">
        <v>45787</v>
      </c>
      <c r="C1122" t="s">
        <v>4023</v>
      </c>
      <c r="D1122" t="s">
        <v>38</v>
      </c>
      <c r="E1122">
        <v>1</v>
      </c>
      <c r="F1122" s="4">
        <v>195.86</v>
      </c>
      <c r="G1122" t="s">
        <v>33</v>
      </c>
      <c r="H1122" t="s">
        <v>95</v>
      </c>
      <c r="I1122">
        <v>3</v>
      </c>
      <c r="K1122" t="s">
        <v>51</v>
      </c>
      <c r="L1122" s="4">
        <v>195.86</v>
      </c>
      <c r="M1122" t="str">
        <f>VLOOKUP(D1122,tblProduct[],2,FALSE)</f>
        <v>Electronics</v>
      </c>
      <c r="N1122" t="str">
        <f>VLOOKUP(D1122,tblProduct[],3,FALSE)</f>
        <v>Medium</v>
      </c>
      <c r="O1122">
        <f>VLOOKUP(D1122,tblProduct[],4,FALSE)</f>
        <v>100000</v>
      </c>
      <c r="P1122">
        <v>195.86</v>
      </c>
      <c r="Q1122" s="19" t="str">
        <f t="shared" si="17"/>
        <v>May-2025</v>
      </c>
      <c r="R1122" s="26">
        <f>DATE(YEAR(tblEnriched[[#This Row],[Date]]),MONTH(tblEnriched[[#This Row],[Date]]),1)</f>
        <v>45778</v>
      </c>
    </row>
    <row r="1123" spans="1:18">
      <c r="A1123" t="s">
        <v>4025</v>
      </c>
      <c r="B1123" s="10">
        <v>45074</v>
      </c>
      <c r="C1123" t="s">
        <v>4026</v>
      </c>
      <c r="D1123" t="s">
        <v>31</v>
      </c>
      <c r="E1123">
        <v>3</v>
      </c>
      <c r="F1123" s="4">
        <v>50.34</v>
      </c>
      <c r="G1123" t="s">
        <v>66</v>
      </c>
      <c r="H1123" t="s">
        <v>49</v>
      </c>
      <c r="I1123">
        <v>3</v>
      </c>
      <c r="J1123" t="s">
        <v>43</v>
      </c>
      <c r="K1123" t="s">
        <v>28</v>
      </c>
      <c r="L1123" s="4">
        <v>151.02000000000001</v>
      </c>
      <c r="M1123" t="str">
        <f>VLOOKUP(D1123,tblProduct[],2,FALSE)</f>
        <v>Electronics</v>
      </c>
      <c r="N1123" t="str">
        <f>VLOOKUP(D1123,tblProduct[],3,FALSE)</f>
        <v>High</v>
      </c>
      <c r="O1123">
        <f>VLOOKUP(D1123,tblProduct[],4,FALSE)</f>
        <v>120000</v>
      </c>
      <c r="P1123">
        <v>151.02000000000001</v>
      </c>
      <c r="Q1123" s="19" t="str">
        <f t="shared" si="17"/>
        <v>May-2023</v>
      </c>
      <c r="R1123" s="26">
        <f>DATE(YEAR(tblEnriched[[#This Row],[Date]]),MONTH(tblEnriched[[#This Row],[Date]]),1)</f>
        <v>45047</v>
      </c>
    </row>
    <row r="1124" spans="1:18">
      <c r="A1124" t="s">
        <v>4028</v>
      </c>
      <c r="B1124" s="10">
        <v>45084</v>
      </c>
      <c r="C1124" t="s">
        <v>1071</v>
      </c>
      <c r="D1124" t="s">
        <v>22</v>
      </c>
      <c r="E1124">
        <v>5</v>
      </c>
      <c r="F1124" s="4">
        <v>678.19</v>
      </c>
      <c r="G1124" t="s">
        <v>33</v>
      </c>
      <c r="H1124" t="s">
        <v>49</v>
      </c>
      <c r="I1124">
        <v>8</v>
      </c>
      <c r="K1124" t="s">
        <v>51</v>
      </c>
      <c r="L1124" s="4">
        <v>3390.95</v>
      </c>
      <c r="M1124" t="str">
        <f>VLOOKUP(D1124,tblProduct[],2,FALSE)</f>
        <v>Electronics</v>
      </c>
      <c r="N1124" t="str">
        <f>VLOOKUP(D1124,tblProduct[],3,FALSE)</f>
        <v>Medium</v>
      </c>
      <c r="O1124">
        <f>VLOOKUP(D1124,tblProduct[],4,FALSE)</f>
        <v>90000</v>
      </c>
      <c r="P1124">
        <v>3390.95</v>
      </c>
      <c r="Q1124" s="19" t="str">
        <f t="shared" si="17"/>
        <v>Jun-2023</v>
      </c>
      <c r="R1124" s="26">
        <f>DATE(YEAR(tblEnriched[[#This Row],[Date]]),MONTH(tblEnriched[[#This Row],[Date]]),1)</f>
        <v>45078</v>
      </c>
    </row>
    <row r="1125" spans="1:18">
      <c r="A1125" t="s">
        <v>4030</v>
      </c>
      <c r="B1125" s="10">
        <v>45030</v>
      </c>
      <c r="C1125" t="s">
        <v>4031</v>
      </c>
      <c r="D1125" t="s">
        <v>38</v>
      </c>
      <c r="E1125">
        <v>3</v>
      </c>
      <c r="F1125" s="4">
        <v>554.25</v>
      </c>
      <c r="G1125" t="s">
        <v>24</v>
      </c>
      <c r="H1125" t="s">
        <v>25</v>
      </c>
      <c r="I1125">
        <v>6</v>
      </c>
      <c r="J1125" t="s">
        <v>87</v>
      </c>
      <c r="K1125" t="s">
        <v>35</v>
      </c>
      <c r="L1125" s="4">
        <v>1662.75</v>
      </c>
      <c r="M1125" t="str">
        <f>VLOOKUP(D1125,tblProduct[],2,FALSE)</f>
        <v>Electronics</v>
      </c>
      <c r="N1125" t="str">
        <f>VLOOKUP(D1125,tblProduct[],3,FALSE)</f>
        <v>Medium</v>
      </c>
      <c r="O1125">
        <f>VLOOKUP(D1125,tblProduct[],4,FALSE)</f>
        <v>100000</v>
      </c>
      <c r="P1125">
        <v>1662.75</v>
      </c>
      <c r="Q1125" s="19" t="str">
        <f t="shared" si="17"/>
        <v>Apr-2023</v>
      </c>
      <c r="R1125" s="26">
        <f>DATE(YEAR(tblEnriched[[#This Row],[Date]]),MONTH(tblEnriched[[#This Row],[Date]]),1)</f>
        <v>45017</v>
      </c>
    </row>
    <row r="1126" spans="1:18">
      <c r="A1126" t="s">
        <v>4034</v>
      </c>
      <c r="B1126" s="10">
        <v>45055</v>
      </c>
      <c r="C1126" t="s">
        <v>4035</v>
      </c>
      <c r="D1126" t="s">
        <v>47</v>
      </c>
      <c r="E1126">
        <v>4</v>
      </c>
      <c r="F1126" s="4">
        <v>576.87</v>
      </c>
      <c r="G1126" t="s">
        <v>66</v>
      </c>
      <c r="H1126" t="s">
        <v>49</v>
      </c>
      <c r="I1126">
        <v>5</v>
      </c>
      <c r="K1126" t="s">
        <v>28</v>
      </c>
      <c r="L1126" s="4">
        <v>2307.48</v>
      </c>
      <c r="M1126" t="str">
        <f>VLOOKUP(D1126,tblProduct[],2,FALSE)</f>
        <v>Furniture</v>
      </c>
      <c r="N1126" t="str">
        <f>VLOOKUP(D1126,tblProduct[],3,FALSE)</f>
        <v>Medium</v>
      </c>
      <c r="O1126">
        <f>VLOOKUP(D1126,tblProduct[],4,FALSE)</f>
        <v>70000</v>
      </c>
      <c r="P1126">
        <v>2307.48</v>
      </c>
      <c r="Q1126" s="19" t="str">
        <f t="shared" si="17"/>
        <v>May-2023</v>
      </c>
      <c r="R1126" s="26">
        <f>DATE(YEAR(tblEnriched[[#This Row],[Date]]),MONTH(tblEnriched[[#This Row],[Date]]),1)</f>
        <v>45047</v>
      </c>
    </row>
    <row r="1127" spans="1:18">
      <c r="A1127" t="s">
        <v>4038</v>
      </c>
      <c r="B1127" s="10">
        <v>45215</v>
      </c>
      <c r="C1127" t="s">
        <v>4039</v>
      </c>
      <c r="D1127" t="s">
        <v>79</v>
      </c>
      <c r="E1127">
        <v>4</v>
      </c>
      <c r="F1127" s="4">
        <v>408.36</v>
      </c>
      <c r="G1127" t="s">
        <v>66</v>
      </c>
      <c r="H1127" t="s">
        <v>41</v>
      </c>
      <c r="I1127">
        <v>4</v>
      </c>
      <c r="J1127" t="s">
        <v>43</v>
      </c>
      <c r="K1127" t="s">
        <v>35</v>
      </c>
      <c r="L1127" s="4">
        <v>1633.44</v>
      </c>
      <c r="M1127" t="str">
        <f>VLOOKUP(D1127,tblProduct[],2,FALSE)</f>
        <v>Furniture</v>
      </c>
      <c r="N1127" t="str">
        <f>VLOOKUP(D1127,tblProduct[],3,FALSE)</f>
        <v>High</v>
      </c>
      <c r="O1127">
        <f>VLOOKUP(D1127,tblProduct[],4,FALSE)</f>
        <v>75000</v>
      </c>
      <c r="P1127">
        <v>1633.44</v>
      </c>
      <c r="Q1127" s="19" t="str">
        <f t="shared" si="17"/>
        <v>Oct-2023</v>
      </c>
      <c r="R1127" s="26">
        <f>DATE(YEAR(tblEnriched[[#This Row],[Date]]),MONTH(tblEnriched[[#This Row],[Date]]),1)</f>
        <v>45200</v>
      </c>
    </row>
    <row r="1128" spans="1:18">
      <c r="A1128" t="s">
        <v>4041</v>
      </c>
      <c r="B1128" s="10">
        <v>45495</v>
      </c>
      <c r="C1128" t="s">
        <v>4042</v>
      </c>
      <c r="D1128" t="s">
        <v>31</v>
      </c>
      <c r="E1128">
        <v>5</v>
      </c>
      <c r="F1128" s="4">
        <v>190.11</v>
      </c>
      <c r="G1128" t="s">
        <v>71</v>
      </c>
      <c r="H1128" t="s">
        <v>56</v>
      </c>
      <c r="I1128">
        <v>7</v>
      </c>
      <c r="J1128" t="s">
        <v>27</v>
      </c>
      <c r="K1128" t="s">
        <v>82</v>
      </c>
      <c r="L1128" s="4">
        <v>950.55000000000007</v>
      </c>
      <c r="M1128" t="str">
        <f>VLOOKUP(D1128,tblProduct[],2,FALSE)</f>
        <v>Electronics</v>
      </c>
      <c r="N1128" t="str">
        <f>VLOOKUP(D1128,tblProduct[],3,FALSE)</f>
        <v>High</v>
      </c>
      <c r="O1128">
        <f>VLOOKUP(D1128,tblProduct[],4,FALSE)</f>
        <v>120000</v>
      </c>
      <c r="P1128">
        <v>950.55000000000007</v>
      </c>
      <c r="Q1128" s="19" t="str">
        <f t="shared" si="17"/>
        <v>Jul-2024</v>
      </c>
      <c r="R1128" s="26">
        <f>DATE(YEAR(tblEnriched[[#This Row],[Date]]),MONTH(tblEnriched[[#This Row],[Date]]),1)</f>
        <v>45474</v>
      </c>
    </row>
    <row r="1129" spans="1:18">
      <c r="A1129" t="s">
        <v>4045</v>
      </c>
      <c r="B1129" s="10">
        <v>45731</v>
      </c>
      <c r="C1129" t="s">
        <v>4046</v>
      </c>
      <c r="D1129" t="s">
        <v>54</v>
      </c>
      <c r="E1129">
        <v>3</v>
      </c>
      <c r="F1129" s="4">
        <v>602.75</v>
      </c>
      <c r="G1129" t="s">
        <v>40</v>
      </c>
      <c r="H1129" t="s">
        <v>25</v>
      </c>
      <c r="I1129">
        <v>6</v>
      </c>
      <c r="J1129" t="s">
        <v>27</v>
      </c>
      <c r="K1129" t="s">
        <v>44</v>
      </c>
      <c r="L1129" s="4">
        <v>1808.25</v>
      </c>
      <c r="M1129" t="str">
        <f>VLOOKUP(D1129,tblProduct[],2,FALSE)</f>
        <v>Electronics</v>
      </c>
      <c r="N1129" t="str">
        <f>VLOOKUP(D1129,tblProduct[],3,FALSE)</f>
        <v>Medium</v>
      </c>
      <c r="O1129">
        <f>VLOOKUP(D1129,tblProduct[],4,FALSE)</f>
        <v>80000</v>
      </c>
      <c r="P1129">
        <v>1808.25</v>
      </c>
      <c r="Q1129" s="19" t="str">
        <f t="shared" si="17"/>
        <v>Mar-2025</v>
      </c>
      <c r="R1129" s="26">
        <f>DATE(YEAR(tblEnriched[[#This Row],[Date]]),MONTH(tblEnriched[[#This Row],[Date]]),1)</f>
        <v>45717</v>
      </c>
    </row>
    <row r="1130" spans="1:18">
      <c r="A1130" t="s">
        <v>4048</v>
      </c>
      <c r="B1130" s="10">
        <v>45155</v>
      </c>
      <c r="C1130" t="s">
        <v>4049</v>
      </c>
      <c r="D1130" t="s">
        <v>22</v>
      </c>
      <c r="E1130">
        <v>3</v>
      </c>
      <c r="F1130" s="4">
        <v>646.79</v>
      </c>
      <c r="G1130" t="s">
        <v>71</v>
      </c>
      <c r="H1130" t="s">
        <v>41</v>
      </c>
      <c r="I1130">
        <v>5</v>
      </c>
      <c r="J1130" t="s">
        <v>87</v>
      </c>
      <c r="K1130" t="s">
        <v>82</v>
      </c>
      <c r="L1130" s="4">
        <v>1940.37</v>
      </c>
      <c r="M1130" t="str">
        <f>VLOOKUP(D1130,tblProduct[],2,FALSE)</f>
        <v>Electronics</v>
      </c>
      <c r="N1130" t="str">
        <f>VLOOKUP(D1130,tblProduct[],3,FALSE)</f>
        <v>Medium</v>
      </c>
      <c r="O1130">
        <f>VLOOKUP(D1130,tblProduct[],4,FALSE)</f>
        <v>90000</v>
      </c>
      <c r="P1130">
        <v>1940.37</v>
      </c>
      <c r="Q1130" s="19" t="str">
        <f t="shared" si="17"/>
        <v>Aug-2023</v>
      </c>
      <c r="R1130" s="26">
        <f>DATE(YEAR(tblEnriched[[#This Row],[Date]]),MONTH(tblEnriched[[#This Row],[Date]]),1)</f>
        <v>45139</v>
      </c>
    </row>
    <row r="1131" spans="1:18">
      <c r="A1131" t="s">
        <v>4051</v>
      </c>
      <c r="B1131" s="10">
        <v>45088</v>
      </c>
      <c r="C1131" t="s">
        <v>4052</v>
      </c>
      <c r="D1131" t="s">
        <v>47</v>
      </c>
      <c r="E1131">
        <v>4</v>
      </c>
      <c r="F1131" s="4">
        <v>418.71</v>
      </c>
      <c r="G1131" t="s">
        <v>71</v>
      </c>
      <c r="H1131" t="s">
        <v>95</v>
      </c>
      <c r="I1131">
        <v>8</v>
      </c>
      <c r="J1131" t="s">
        <v>43</v>
      </c>
      <c r="K1131" t="s">
        <v>28</v>
      </c>
      <c r="L1131" s="4">
        <v>1674.84</v>
      </c>
      <c r="M1131" t="str">
        <f>VLOOKUP(D1131,tblProduct[],2,FALSE)</f>
        <v>Furniture</v>
      </c>
      <c r="N1131" t="str">
        <f>VLOOKUP(D1131,tblProduct[],3,FALSE)</f>
        <v>Medium</v>
      </c>
      <c r="O1131">
        <f>VLOOKUP(D1131,tblProduct[],4,FALSE)</f>
        <v>70000</v>
      </c>
      <c r="P1131">
        <v>1674.84</v>
      </c>
      <c r="Q1131" s="19" t="str">
        <f t="shared" si="17"/>
        <v>Jun-2023</v>
      </c>
      <c r="R1131" s="26">
        <f>DATE(YEAR(tblEnriched[[#This Row],[Date]]),MONTH(tblEnriched[[#This Row],[Date]]),1)</f>
        <v>45078</v>
      </c>
    </row>
    <row r="1132" spans="1:18">
      <c r="A1132" t="s">
        <v>4054</v>
      </c>
      <c r="B1132" s="10">
        <v>45704</v>
      </c>
      <c r="C1132" t="s">
        <v>4055</v>
      </c>
      <c r="D1132" t="s">
        <v>64</v>
      </c>
      <c r="E1132">
        <v>2</v>
      </c>
      <c r="F1132" s="4">
        <v>323.45</v>
      </c>
      <c r="G1132" t="s">
        <v>40</v>
      </c>
      <c r="H1132" t="s">
        <v>49</v>
      </c>
      <c r="I1132">
        <v>5</v>
      </c>
      <c r="J1132" t="s">
        <v>43</v>
      </c>
      <c r="K1132" t="s">
        <v>28</v>
      </c>
      <c r="L1132" s="4">
        <v>646.9</v>
      </c>
      <c r="M1132" t="str">
        <f>VLOOKUP(D1132,tblProduct[],2,FALSE)</f>
        <v>Electronics</v>
      </c>
      <c r="N1132" t="str">
        <f>VLOOKUP(D1132,tblProduct[],3,FALSE)</f>
        <v>High</v>
      </c>
      <c r="O1132">
        <f>VLOOKUP(D1132,tblProduct[],4,FALSE)</f>
        <v>150000</v>
      </c>
      <c r="P1132">
        <v>646.9</v>
      </c>
      <c r="Q1132" s="19" t="str">
        <f t="shared" si="17"/>
        <v>Feb-2025</v>
      </c>
      <c r="R1132" s="26">
        <f>DATE(YEAR(tblEnriched[[#This Row],[Date]]),MONTH(tblEnriched[[#This Row],[Date]]),1)</f>
        <v>45689</v>
      </c>
    </row>
    <row r="1133" spans="1:18">
      <c r="A1133" t="s">
        <v>4057</v>
      </c>
      <c r="B1133" s="10">
        <v>45491</v>
      </c>
      <c r="C1133" t="s">
        <v>4058</v>
      </c>
      <c r="D1133" t="s">
        <v>31</v>
      </c>
      <c r="E1133">
        <v>1</v>
      </c>
      <c r="F1133" s="4">
        <v>694.5</v>
      </c>
      <c r="G1133" t="s">
        <v>40</v>
      </c>
      <c r="H1133" t="s">
        <v>95</v>
      </c>
      <c r="I1133">
        <v>3</v>
      </c>
      <c r="J1133" t="s">
        <v>87</v>
      </c>
      <c r="K1133" t="s">
        <v>51</v>
      </c>
      <c r="L1133" s="4">
        <v>694.5</v>
      </c>
      <c r="M1133" t="str">
        <f>VLOOKUP(D1133,tblProduct[],2,FALSE)</f>
        <v>Electronics</v>
      </c>
      <c r="N1133" t="str">
        <f>VLOOKUP(D1133,tblProduct[],3,FALSE)</f>
        <v>High</v>
      </c>
      <c r="O1133">
        <f>VLOOKUP(D1133,tblProduct[],4,FALSE)</f>
        <v>120000</v>
      </c>
      <c r="P1133">
        <v>694.5</v>
      </c>
      <c r="Q1133" s="19" t="str">
        <f t="shared" si="17"/>
        <v>Jul-2024</v>
      </c>
      <c r="R1133" s="26">
        <f>DATE(YEAR(tblEnriched[[#This Row],[Date]]),MONTH(tblEnriched[[#This Row],[Date]]),1)</f>
        <v>45474</v>
      </c>
    </row>
    <row r="1134" spans="1:18">
      <c r="A1134" t="s">
        <v>4060</v>
      </c>
      <c r="B1134" s="10">
        <v>45628</v>
      </c>
      <c r="C1134" t="s">
        <v>4061</v>
      </c>
      <c r="D1134" t="s">
        <v>47</v>
      </c>
      <c r="E1134">
        <v>2</v>
      </c>
      <c r="F1134" s="4">
        <v>337.32</v>
      </c>
      <c r="G1134" t="s">
        <v>40</v>
      </c>
      <c r="H1134" t="s">
        <v>41</v>
      </c>
      <c r="I1134">
        <v>4</v>
      </c>
      <c r="J1134" t="s">
        <v>27</v>
      </c>
      <c r="K1134" t="s">
        <v>44</v>
      </c>
      <c r="L1134" s="4">
        <v>674.64</v>
      </c>
      <c r="M1134" t="str">
        <f>VLOOKUP(D1134,tblProduct[],2,FALSE)</f>
        <v>Furniture</v>
      </c>
      <c r="N1134" t="str">
        <f>VLOOKUP(D1134,tblProduct[],3,FALSE)</f>
        <v>Medium</v>
      </c>
      <c r="O1134">
        <f>VLOOKUP(D1134,tblProduct[],4,FALSE)</f>
        <v>70000</v>
      </c>
      <c r="P1134">
        <v>674.64</v>
      </c>
      <c r="Q1134" s="19" t="str">
        <f t="shared" si="17"/>
        <v>Dec-2024</v>
      </c>
      <c r="R1134" s="26">
        <f>DATE(YEAR(tblEnriched[[#This Row],[Date]]),MONTH(tblEnriched[[#This Row],[Date]]),1)</f>
        <v>45627</v>
      </c>
    </row>
    <row r="1135" spans="1:18">
      <c r="A1135" t="s">
        <v>4063</v>
      </c>
      <c r="B1135" s="10">
        <v>45391</v>
      </c>
      <c r="C1135" t="s">
        <v>4064</v>
      </c>
      <c r="D1135" t="s">
        <v>54</v>
      </c>
      <c r="E1135">
        <v>2</v>
      </c>
      <c r="F1135" s="4">
        <v>467.91</v>
      </c>
      <c r="G1135" t="s">
        <v>66</v>
      </c>
      <c r="H1135" t="s">
        <v>49</v>
      </c>
      <c r="I1135">
        <v>5</v>
      </c>
      <c r="J1135" t="s">
        <v>87</v>
      </c>
      <c r="K1135" t="s">
        <v>51</v>
      </c>
      <c r="L1135" s="4">
        <v>935.82</v>
      </c>
      <c r="M1135" t="str">
        <f>VLOOKUP(D1135,tblProduct[],2,FALSE)</f>
        <v>Electronics</v>
      </c>
      <c r="N1135" t="str">
        <f>VLOOKUP(D1135,tblProduct[],3,FALSE)</f>
        <v>Medium</v>
      </c>
      <c r="O1135">
        <f>VLOOKUP(D1135,tblProduct[],4,FALSE)</f>
        <v>80000</v>
      </c>
      <c r="P1135">
        <v>935.82</v>
      </c>
      <c r="Q1135" s="19" t="str">
        <f t="shared" si="17"/>
        <v>Apr-2024</v>
      </c>
      <c r="R1135" s="26">
        <f>DATE(YEAR(tblEnriched[[#This Row],[Date]]),MONTH(tblEnriched[[#This Row],[Date]]),1)</f>
        <v>45383</v>
      </c>
    </row>
    <row r="1136" spans="1:18">
      <c r="A1136" t="s">
        <v>4066</v>
      </c>
      <c r="B1136" s="10">
        <v>45451</v>
      </c>
      <c r="C1136" t="s">
        <v>4067</v>
      </c>
      <c r="D1136" t="s">
        <v>79</v>
      </c>
      <c r="E1136">
        <v>4</v>
      </c>
      <c r="F1136" s="4">
        <v>38.28</v>
      </c>
      <c r="G1136" t="s">
        <v>24</v>
      </c>
      <c r="H1136" t="s">
        <v>41</v>
      </c>
      <c r="I1136">
        <v>4</v>
      </c>
      <c r="J1136" t="s">
        <v>87</v>
      </c>
      <c r="K1136" t="s">
        <v>51</v>
      </c>
      <c r="L1136" s="4">
        <v>153.12</v>
      </c>
      <c r="M1136" t="str">
        <f>VLOOKUP(D1136,tblProduct[],2,FALSE)</f>
        <v>Furniture</v>
      </c>
      <c r="N1136" t="str">
        <f>VLOOKUP(D1136,tblProduct[],3,FALSE)</f>
        <v>High</v>
      </c>
      <c r="O1136">
        <f>VLOOKUP(D1136,tblProduct[],4,FALSE)</f>
        <v>75000</v>
      </c>
      <c r="P1136">
        <v>153.12</v>
      </c>
      <c r="Q1136" s="19" t="str">
        <f t="shared" si="17"/>
        <v>Jun-2024</v>
      </c>
      <c r="R1136" s="26">
        <f>DATE(YEAR(tblEnriched[[#This Row],[Date]]),MONTH(tblEnriched[[#This Row],[Date]]),1)</f>
        <v>45444</v>
      </c>
    </row>
    <row r="1137" spans="1:18">
      <c r="A1137" t="s">
        <v>4070</v>
      </c>
      <c r="B1137" s="10">
        <v>45288</v>
      </c>
      <c r="C1137" t="s">
        <v>4071</v>
      </c>
      <c r="D1137" t="s">
        <v>54</v>
      </c>
      <c r="E1137">
        <v>2</v>
      </c>
      <c r="F1137" s="4">
        <v>73.41</v>
      </c>
      <c r="G1137" t="s">
        <v>33</v>
      </c>
      <c r="H1137" t="s">
        <v>25</v>
      </c>
      <c r="I1137">
        <v>2</v>
      </c>
      <c r="J1137" t="s">
        <v>27</v>
      </c>
      <c r="K1137" t="s">
        <v>82</v>
      </c>
      <c r="L1137" s="4">
        <v>146.82</v>
      </c>
      <c r="M1137" t="str">
        <f>VLOOKUP(D1137,tblProduct[],2,FALSE)</f>
        <v>Electronics</v>
      </c>
      <c r="N1137" t="str">
        <f>VLOOKUP(D1137,tblProduct[],3,FALSE)</f>
        <v>Medium</v>
      </c>
      <c r="O1137">
        <f>VLOOKUP(D1137,tblProduct[],4,FALSE)</f>
        <v>80000</v>
      </c>
      <c r="P1137">
        <v>146.82</v>
      </c>
      <c r="Q1137" s="19" t="str">
        <f t="shared" si="17"/>
        <v>Dec-2023</v>
      </c>
      <c r="R1137" s="26">
        <f>DATE(YEAR(tblEnriched[[#This Row],[Date]]),MONTH(tblEnriched[[#This Row],[Date]]),1)</f>
        <v>45261</v>
      </c>
    </row>
    <row r="1138" spans="1:18">
      <c r="A1138" t="s">
        <v>4073</v>
      </c>
      <c r="B1138" s="10">
        <v>45193</v>
      </c>
      <c r="C1138" t="s">
        <v>4074</v>
      </c>
      <c r="D1138" t="s">
        <v>38</v>
      </c>
      <c r="E1138">
        <v>3</v>
      </c>
      <c r="F1138" s="4">
        <v>668.33</v>
      </c>
      <c r="G1138" t="s">
        <v>66</v>
      </c>
      <c r="H1138" t="s">
        <v>95</v>
      </c>
      <c r="I1138">
        <v>4</v>
      </c>
      <c r="J1138" t="s">
        <v>87</v>
      </c>
      <c r="K1138" t="s">
        <v>51</v>
      </c>
      <c r="L1138" s="4">
        <v>2004.99</v>
      </c>
      <c r="M1138" t="str">
        <f>VLOOKUP(D1138,tblProduct[],2,FALSE)</f>
        <v>Electronics</v>
      </c>
      <c r="N1138" t="str">
        <f>VLOOKUP(D1138,tblProduct[],3,FALSE)</f>
        <v>Medium</v>
      </c>
      <c r="O1138">
        <f>VLOOKUP(D1138,tblProduct[],4,FALSE)</f>
        <v>100000</v>
      </c>
      <c r="P1138">
        <v>2004.99</v>
      </c>
      <c r="Q1138" s="19" t="str">
        <f t="shared" si="17"/>
        <v>Sep-2023</v>
      </c>
      <c r="R1138" s="26">
        <f>DATE(YEAR(tblEnriched[[#This Row],[Date]]),MONTH(tblEnriched[[#This Row],[Date]]),1)</f>
        <v>45170</v>
      </c>
    </row>
    <row r="1139" spans="1:18">
      <c r="A1139" t="s">
        <v>4076</v>
      </c>
      <c r="B1139" s="10">
        <v>45502</v>
      </c>
      <c r="C1139" t="s">
        <v>4077</v>
      </c>
      <c r="D1139" t="s">
        <v>54</v>
      </c>
      <c r="E1139">
        <v>4</v>
      </c>
      <c r="F1139" s="4">
        <v>410.21</v>
      </c>
      <c r="G1139" t="s">
        <v>71</v>
      </c>
      <c r="H1139" t="s">
        <v>95</v>
      </c>
      <c r="I1139">
        <v>5</v>
      </c>
      <c r="J1139" t="s">
        <v>87</v>
      </c>
      <c r="K1139" t="s">
        <v>28</v>
      </c>
      <c r="L1139" s="4">
        <v>1640.84</v>
      </c>
      <c r="M1139" t="str">
        <f>VLOOKUP(D1139,tblProduct[],2,FALSE)</f>
        <v>Electronics</v>
      </c>
      <c r="N1139" t="str">
        <f>VLOOKUP(D1139,tblProduct[],3,FALSE)</f>
        <v>Medium</v>
      </c>
      <c r="O1139">
        <f>VLOOKUP(D1139,tblProduct[],4,FALSE)</f>
        <v>80000</v>
      </c>
      <c r="P1139">
        <v>1640.84</v>
      </c>
      <c r="Q1139" s="19" t="str">
        <f t="shared" si="17"/>
        <v>Jul-2024</v>
      </c>
      <c r="R1139" s="26">
        <f>DATE(YEAR(tblEnriched[[#This Row],[Date]]),MONTH(tblEnriched[[#This Row],[Date]]),1)</f>
        <v>45474</v>
      </c>
    </row>
    <row r="1140" spans="1:18">
      <c r="A1140" t="s">
        <v>4080</v>
      </c>
      <c r="B1140" s="10">
        <v>45278</v>
      </c>
      <c r="C1140" t="s">
        <v>4081</v>
      </c>
      <c r="D1140" t="s">
        <v>79</v>
      </c>
      <c r="E1140">
        <v>4</v>
      </c>
      <c r="F1140" s="4">
        <v>294.41000000000003</v>
      </c>
      <c r="G1140" t="s">
        <v>24</v>
      </c>
      <c r="H1140" t="s">
        <v>95</v>
      </c>
      <c r="I1140">
        <v>4</v>
      </c>
      <c r="K1140" t="s">
        <v>28</v>
      </c>
      <c r="L1140" s="4">
        <v>1177.6400000000001</v>
      </c>
      <c r="M1140" t="str">
        <f>VLOOKUP(D1140,tblProduct[],2,FALSE)</f>
        <v>Furniture</v>
      </c>
      <c r="N1140" t="str">
        <f>VLOOKUP(D1140,tblProduct[],3,FALSE)</f>
        <v>High</v>
      </c>
      <c r="O1140">
        <f>VLOOKUP(D1140,tblProduct[],4,FALSE)</f>
        <v>75000</v>
      </c>
      <c r="P1140">
        <v>1177.6400000000001</v>
      </c>
      <c r="Q1140" s="19" t="str">
        <f t="shared" si="17"/>
        <v>Dec-2023</v>
      </c>
      <c r="R1140" s="26">
        <f>DATE(YEAR(tblEnriched[[#This Row],[Date]]),MONTH(tblEnriched[[#This Row],[Date]]),1)</f>
        <v>45261</v>
      </c>
    </row>
    <row r="1141" spans="1:18">
      <c r="A1141" t="s">
        <v>4083</v>
      </c>
      <c r="B1141" s="10">
        <v>45717</v>
      </c>
      <c r="C1141" t="s">
        <v>3795</v>
      </c>
      <c r="D1141" t="s">
        <v>47</v>
      </c>
      <c r="E1141">
        <v>3</v>
      </c>
      <c r="F1141" s="4">
        <v>501.82</v>
      </c>
      <c r="G1141" t="s">
        <v>66</v>
      </c>
      <c r="H1141" t="s">
        <v>41</v>
      </c>
      <c r="I1141">
        <v>4</v>
      </c>
      <c r="J1141" t="s">
        <v>43</v>
      </c>
      <c r="K1141" t="s">
        <v>44</v>
      </c>
      <c r="L1141" s="4">
        <v>1505.46</v>
      </c>
      <c r="M1141" t="str">
        <f>VLOOKUP(D1141,tblProduct[],2,FALSE)</f>
        <v>Furniture</v>
      </c>
      <c r="N1141" t="str">
        <f>VLOOKUP(D1141,tblProduct[],3,FALSE)</f>
        <v>Medium</v>
      </c>
      <c r="O1141">
        <f>VLOOKUP(D1141,tblProduct[],4,FALSE)</f>
        <v>70000</v>
      </c>
      <c r="P1141">
        <v>1505.46</v>
      </c>
      <c r="Q1141" s="19" t="str">
        <f t="shared" si="17"/>
        <v>Mar-2025</v>
      </c>
      <c r="R1141" s="26">
        <f>DATE(YEAR(tblEnriched[[#This Row],[Date]]),MONTH(tblEnriched[[#This Row],[Date]]),1)</f>
        <v>45717</v>
      </c>
    </row>
    <row r="1142" spans="1:18">
      <c r="A1142" t="s">
        <v>4085</v>
      </c>
      <c r="B1142" s="10">
        <v>45467</v>
      </c>
      <c r="C1142" t="s">
        <v>4086</v>
      </c>
      <c r="D1142" t="s">
        <v>54</v>
      </c>
      <c r="E1142">
        <v>2</v>
      </c>
      <c r="F1142" s="4">
        <v>552.83000000000004</v>
      </c>
      <c r="G1142" t="s">
        <v>40</v>
      </c>
      <c r="H1142" t="s">
        <v>41</v>
      </c>
      <c r="I1142">
        <v>3</v>
      </c>
      <c r="K1142" t="s">
        <v>35</v>
      </c>
      <c r="L1142" s="4">
        <v>1105.6600000000001</v>
      </c>
      <c r="M1142" t="str">
        <f>VLOOKUP(D1142,tblProduct[],2,FALSE)</f>
        <v>Electronics</v>
      </c>
      <c r="N1142" t="str">
        <f>VLOOKUP(D1142,tblProduct[],3,FALSE)</f>
        <v>Medium</v>
      </c>
      <c r="O1142">
        <f>VLOOKUP(D1142,tblProduct[],4,FALSE)</f>
        <v>80000</v>
      </c>
      <c r="P1142">
        <v>1105.6600000000001</v>
      </c>
      <c r="Q1142" s="19" t="str">
        <f t="shared" si="17"/>
        <v>Jun-2024</v>
      </c>
      <c r="R1142" s="26">
        <f>DATE(YEAR(tblEnriched[[#This Row],[Date]]),MONTH(tblEnriched[[#This Row],[Date]]),1)</f>
        <v>45444</v>
      </c>
    </row>
    <row r="1143" spans="1:18">
      <c r="A1143" t="s">
        <v>4088</v>
      </c>
      <c r="B1143" s="10">
        <v>45704</v>
      </c>
      <c r="C1143" t="s">
        <v>4089</v>
      </c>
      <c r="D1143" t="s">
        <v>47</v>
      </c>
      <c r="E1143">
        <v>3</v>
      </c>
      <c r="F1143" s="4">
        <v>498.66</v>
      </c>
      <c r="G1143" t="s">
        <v>71</v>
      </c>
      <c r="H1143" t="s">
        <v>41</v>
      </c>
      <c r="I1143">
        <v>6</v>
      </c>
      <c r="K1143" t="s">
        <v>44</v>
      </c>
      <c r="L1143" s="4">
        <v>1495.98</v>
      </c>
      <c r="M1143" t="str">
        <f>VLOOKUP(D1143,tblProduct[],2,FALSE)</f>
        <v>Furniture</v>
      </c>
      <c r="N1143" t="str">
        <f>VLOOKUP(D1143,tblProduct[],3,FALSE)</f>
        <v>Medium</v>
      </c>
      <c r="O1143">
        <f>VLOOKUP(D1143,tblProduct[],4,FALSE)</f>
        <v>70000</v>
      </c>
      <c r="P1143">
        <v>1495.98</v>
      </c>
      <c r="Q1143" s="19" t="str">
        <f t="shared" si="17"/>
        <v>Feb-2025</v>
      </c>
      <c r="R1143" s="26">
        <f>DATE(YEAR(tblEnriched[[#This Row],[Date]]),MONTH(tblEnriched[[#This Row],[Date]]),1)</f>
        <v>45689</v>
      </c>
    </row>
    <row r="1144" spans="1:18">
      <c r="A1144" t="s">
        <v>4091</v>
      </c>
      <c r="B1144" s="10">
        <v>45527</v>
      </c>
      <c r="C1144" t="s">
        <v>4092</v>
      </c>
      <c r="D1144" t="s">
        <v>31</v>
      </c>
      <c r="E1144">
        <v>4</v>
      </c>
      <c r="F1144" s="4">
        <v>695.1</v>
      </c>
      <c r="G1144" t="s">
        <v>24</v>
      </c>
      <c r="H1144" t="s">
        <v>49</v>
      </c>
      <c r="I1144">
        <v>8</v>
      </c>
      <c r="K1144" t="s">
        <v>44</v>
      </c>
      <c r="L1144" s="4">
        <v>2780.4</v>
      </c>
      <c r="M1144" t="str">
        <f>VLOOKUP(D1144,tblProduct[],2,FALSE)</f>
        <v>Electronics</v>
      </c>
      <c r="N1144" t="str">
        <f>VLOOKUP(D1144,tblProduct[],3,FALSE)</f>
        <v>High</v>
      </c>
      <c r="O1144">
        <f>VLOOKUP(D1144,tblProduct[],4,FALSE)</f>
        <v>120000</v>
      </c>
      <c r="P1144">
        <v>2780.4</v>
      </c>
      <c r="Q1144" s="19" t="str">
        <f t="shared" si="17"/>
        <v>Aug-2024</v>
      </c>
      <c r="R1144" s="26">
        <f>DATE(YEAR(tblEnriched[[#This Row],[Date]]),MONTH(tblEnriched[[#This Row],[Date]]),1)</f>
        <v>45505</v>
      </c>
    </row>
    <row r="1145" spans="1:18">
      <c r="A1145" t="s">
        <v>4095</v>
      </c>
      <c r="B1145" s="10">
        <v>45019</v>
      </c>
      <c r="C1145" t="s">
        <v>4096</v>
      </c>
      <c r="D1145" t="s">
        <v>47</v>
      </c>
      <c r="E1145">
        <v>1</v>
      </c>
      <c r="F1145" s="4">
        <v>381.61</v>
      </c>
      <c r="G1145" t="s">
        <v>24</v>
      </c>
      <c r="H1145" t="s">
        <v>95</v>
      </c>
      <c r="I1145">
        <v>5</v>
      </c>
      <c r="K1145" t="s">
        <v>44</v>
      </c>
      <c r="L1145" s="4">
        <v>381.61</v>
      </c>
      <c r="M1145" t="str">
        <f>VLOOKUP(D1145,tblProduct[],2,FALSE)</f>
        <v>Furniture</v>
      </c>
      <c r="N1145" t="str">
        <f>VLOOKUP(D1145,tblProduct[],3,FALSE)</f>
        <v>Medium</v>
      </c>
      <c r="O1145">
        <f>VLOOKUP(D1145,tblProduct[],4,FALSE)</f>
        <v>70000</v>
      </c>
      <c r="P1145">
        <v>381.61</v>
      </c>
      <c r="Q1145" s="19" t="str">
        <f t="shared" si="17"/>
        <v>Apr-2023</v>
      </c>
      <c r="R1145" s="26">
        <f>DATE(YEAR(tblEnriched[[#This Row],[Date]]),MONTH(tblEnriched[[#This Row],[Date]]),1)</f>
        <v>45017</v>
      </c>
    </row>
    <row r="1146" spans="1:18">
      <c r="A1146" t="s">
        <v>4099</v>
      </c>
      <c r="B1146" s="10">
        <v>44973</v>
      </c>
      <c r="C1146" t="s">
        <v>4100</v>
      </c>
      <c r="D1146" t="s">
        <v>79</v>
      </c>
      <c r="E1146">
        <v>5</v>
      </c>
      <c r="F1146" s="4">
        <v>507.94</v>
      </c>
      <c r="G1146" t="s">
        <v>33</v>
      </c>
      <c r="H1146" t="s">
        <v>41</v>
      </c>
      <c r="I1146">
        <v>9</v>
      </c>
      <c r="K1146" t="s">
        <v>51</v>
      </c>
      <c r="L1146" s="4">
        <v>2539.6999999999998</v>
      </c>
      <c r="M1146" t="str">
        <f>VLOOKUP(D1146,tblProduct[],2,FALSE)</f>
        <v>Furniture</v>
      </c>
      <c r="N1146" t="str">
        <f>VLOOKUP(D1146,tblProduct[],3,FALSE)</f>
        <v>High</v>
      </c>
      <c r="O1146">
        <f>VLOOKUP(D1146,tblProduct[],4,FALSE)</f>
        <v>75000</v>
      </c>
      <c r="P1146">
        <v>2539.6999999999998</v>
      </c>
      <c r="Q1146" s="19" t="str">
        <f t="shared" si="17"/>
        <v>Feb-2023</v>
      </c>
      <c r="R1146" s="26">
        <f>DATE(YEAR(tblEnriched[[#This Row],[Date]]),MONTH(tblEnriched[[#This Row],[Date]]),1)</f>
        <v>44958</v>
      </c>
    </row>
    <row r="1147" spans="1:18">
      <c r="A1147" t="s">
        <v>4103</v>
      </c>
      <c r="B1147" s="10">
        <v>45789</v>
      </c>
      <c r="C1147" t="s">
        <v>4104</v>
      </c>
      <c r="D1147" t="s">
        <v>79</v>
      </c>
      <c r="E1147">
        <v>3</v>
      </c>
      <c r="F1147" s="4">
        <v>571.53</v>
      </c>
      <c r="G1147" t="s">
        <v>24</v>
      </c>
      <c r="H1147" t="s">
        <v>56</v>
      </c>
      <c r="I1147">
        <v>6</v>
      </c>
      <c r="J1147" t="s">
        <v>43</v>
      </c>
      <c r="K1147" t="s">
        <v>51</v>
      </c>
      <c r="L1147" s="4">
        <v>1714.59</v>
      </c>
      <c r="M1147" t="str">
        <f>VLOOKUP(D1147,tblProduct[],2,FALSE)</f>
        <v>Furniture</v>
      </c>
      <c r="N1147" t="str">
        <f>VLOOKUP(D1147,tblProduct[],3,FALSE)</f>
        <v>High</v>
      </c>
      <c r="O1147">
        <f>VLOOKUP(D1147,tblProduct[],4,FALSE)</f>
        <v>75000</v>
      </c>
      <c r="P1147">
        <v>1714.59</v>
      </c>
      <c r="Q1147" s="19" t="str">
        <f t="shared" si="17"/>
        <v>May-2025</v>
      </c>
      <c r="R1147" s="26">
        <f>DATE(YEAR(tblEnriched[[#This Row],[Date]]),MONTH(tblEnriched[[#This Row],[Date]]),1)</f>
        <v>45778</v>
      </c>
    </row>
    <row r="1148" spans="1:18">
      <c r="A1148" t="s">
        <v>4106</v>
      </c>
      <c r="B1148" s="10">
        <v>45568</v>
      </c>
      <c r="C1148" t="s">
        <v>4107</v>
      </c>
      <c r="D1148" t="s">
        <v>22</v>
      </c>
      <c r="E1148">
        <v>5</v>
      </c>
      <c r="F1148" s="4">
        <v>421.44</v>
      </c>
      <c r="G1148" t="s">
        <v>71</v>
      </c>
      <c r="H1148" t="s">
        <v>95</v>
      </c>
      <c r="I1148">
        <v>5</v>
      </c>
      <c r="J1148" t="s">
        <v>27</v>
      </c>
      <c r="K1148" t="s">
        <v>28</v>
      </c>
      <c r="L1148" s="4">
        <v>2107.1999999999998</v>
      </c>
      <c r="M1148" t="str">
        <f>VLOOKUP(D1148,tblProduct[],2,FALSE)</f>
        <v>Electronics</v>
      </c>
      <c r="N1148" t="str">
        <f>VLOOKUP(D1148,tblProduct[],3,FALSE)</f>
        <v>Medium</v>
      </c>
      <c r="O1148">
        <f>VLOOKUP(D1148,tblProduct[],4,FALSE)</f>
        <v>90000</v>
      </c>
      <c r="P1148">
        <v>2107.1999999999998</v>
      </c>
      <c r="Q1148" s="19" t="str">
        <f t="shared" si="17"/>
        <v>Oct-2024</v>
      </c>
      <c r="R1148" s="26">
        <f>DATE(YEAR(tblEnriched[[#This Row],[Date]]),MONTH(tblEnriched[[#This Row],[Date]]),1)</f>
        <v>45566</v>
      </c>
    </row>
    <row r="1149" spans="1:18">
      <c r="A1149" t="s">
        <v>4109</v>
      </c>
      <c r="B1149" s="10">
        <v>45659</v>
      </c>
      <c r="C1149" t="s">
        <v>4110</v>
      </c>
      <c r="D1149" t="s">
        <v>47</v>
      </c>
      <c r="E1149">
        <v>2</v>
      </c>
      <c r="F1149" s="4">
        <v>588.29999999999995</v>
      </c>
      <c r="G1149" t="s">
        <v>33</v>
      </c>
      <c r="H1149" t="s">
        <v>95</v>
      </c>
      <c r="I1149">
        <v>2</v>
      </c>
      <c r="J1149" t="s">
        <v>43</v>
      </c>
      <c r="K1149" t="s">
        <v>44</v>
      </c>
      <c r="L1149" s="4">
        <v>1176.5999999999999</v>
      </c>
      <c r="M1149" t="str">
        <f>VLOOKUP(D1149,tblProduct[],2,FALSE)</f>
        <v>Furniture</v>
      </c>
      <c r="N1149" t="str">
        <f>VLOOKUP(D1149,tblProduct[],3,FALSE)</f>
        <v>Medium</v>
      </c>
      <c r="O1149">
        <f>VLOOKUP(D1149,tblProduct[],4,FALSE)</f>
        <v>70000</v>
      </c>
      <c r="P1149">
        <v>1176.5999999999999</v>
      </c>
      <c r="Q1149" s="19" t="str">
        <f t="shared" si="17"/>
        <v>Jan-2025</v>
      </c>
      <c r="R1149" s="26">
        <f>DATE(YEAR(tblEnriched[[#This Row],[Date]]),MONTH(tblEnriched[[#This Row],[Date]]),1)</f>
        <v>45658</v>
      </c>
    </row>
    <row r="1150" spans="1:18">
      <c r="A1150" t="s">
        <v>4113</v>
      </c>
      <c r="B1150" s="10">
        <v>45468</v>
      </c>
      <c r="C1150" t="s">
        <v>4114</v>
      </c>
      <c r="D1150" t="s">
        <v>31</v>
      </c>
      <c r="E1150">
        <v>1</v>
      </c>
      <c r="F1150" s="4">
        <v>355.15</v>
      </c>
      <c r="G1150" t="s">
        <v>71</v>
      </c>
      <c r="H1150" t="s">
        <v>49</v>
      </c>
      <c r="I1150">
        <v>2</v>
      </c>
      <c r="J1150" t="s">
        <v>27</v>
      </c>
      <c r="K1150" t="s">
        <v>44</v>
      </c>
      <c r="L1150" s="4">
        <v>355.15</v>
      </c>
      <c r="M1150" t="str">
        <f>VLOOKUP(D1150,tblProduct[],2,FALSE)</f>
        <v>Electronics</v>
      </c>
      <c r="N1150" t="str">
        <f>VLOOKUP(D1150,tblProduct[],3,FALSE)</f>
        <v>High</v>
      </c>
      <c r="O1150">
        <f>VLOOKUP(D1150,tblProduct[],4,FALSE)</f>
        <v>120000</v>
      </c>
      <c r="P1150">
        <v>355.15</v>
      </c>
      <c r="Q1150" s="19" t="str">
        <f t="shared" si="17"/>
        <v>Jun-2024</v>
      </c>
      <c r="R1150" s="26">
        <f>DATE(YEAR(tblEnriched[[#This Row],[Date]]),MONTH(tblEnriched[[#This Row],[Date]]),1)</f>
        <v>45444</v>
      </c>
    </row>
    <row r="1151" spans="1:18">
      <c r="A1151" t="s">
        <v>4117</v>
      </c>
      <c r="B1151" s="10">
        <v>45498</v>
      </c>
      <c r="C1151" t="s">
        <v>4118</v>
      </c>
      <c r="D1151" t="s">
        <v>47</v>
      </c>
      <c r="E1151">
        <v>2</v>
      </c>
      <c r="F1151" s="4">
        <v>695.29</v>
      </c>
      <c r="G1151" t="s">
        <v>40</v>
      </c>
      <c r="H1151" t="s">
        <v>95</v>
      </c>
      <c r="I1151">
        <v>6</v>
      </c>
      <c r="J1151" t="s">
        <v>43</v>
      </c>
      <c r="K1151" t="s">
        <v>28</v>
      </c>
      <c r="L1151" s="4">
        <v>1390.58</v>
      </c>
      <c r="M1151" t="str">
        <f>VLOOKUP(D1151,tblProduct[],2,FALSE)</f>
        <v>Furniture</v>
      </c>
      <c r="N1151" t="str">
        <f>VLOOKUP(D1151,tblProduct[],3,FALSE)</f>
        <v>Medium</v>
      </c>
      <c r="O1151">
        <f>VLOOKUP(D1151,tblProduct[],4,FALSE)</f>
        <v>70000</v>
      </c>
      <c r="P1151">
        <v>1390.58</v>
      </c>
      <c r="Q1151" s="19" t="str">
        <f t="shared" si="17"/>
        <v>Jul-2024</v>
      </c>
      <c r="R1151" s="26">
        <f>DATE(YEAR(tblEnriched[[#This Row],[Date]]),MONTH(tblEnriched[[#This Row],[Date]]),1)</f>
        <v>45474</v>
      </c>
    </row>
    <row r="1152" spans="1:18">
      <c r="A1152" t="s">
        <v>4121</v>
      </c>
      <c r="B1152" s="10">
        <v>44977</v>
      </c>
      <c r="C1152" t="s">
        <v>4122</v>
      </c>
      <c r="D1152" t="s">
        <v>79</v>
      </c>
      <c r="E1152">
        <v>4</v>
      </c>
      <c r="F1152" s="4">
        <v>302.64999999999998</v>
      </c>
      <c r="G1152" t="s">
        <v>40</v>
      </c>
      <c r="H1152" t="s">
        <v>41</v>
      </c>
      <c r="I1152">
        <v>8</v>
      </c>
      <c r="J1152" t="s">
        <v>27</v>
      </c>
      <c r="K1152" t="s">
        <v>35</v>
      </c>
      <c r="L1152" s="4">
        <v>1210.5999999999999</v>
      </c>
      <c r="M1152" t="str">
        <f>VLOOKUP(D1152,tblProduct[],2,FALSE)</f>
        <v>Furniture</v>
      </c>
      <c r="N1152" t="str">
        <f>VLOOKUP(D1152,tblProduct[],3,FALSE)</f>
        <v>High</v>
      </c>
      <c r="O1152">
        <f>VLOOKUP(D1152,tblProduct[],4,FALSE)</f>
        <v>75000</v>
      </c>
      <c r="P1152">
        <v>1210.5999999999999</v>
      </c>
      <c r="Q1152" s="19" t="str">
        <f t="shared" si="17"/>
        <v>Feb-2023</v>
      </c>
      <c r="R1152" s="26">
        <f>DATE(YEAR(tblEnriched[[#This Row],[Date]]),MONTH(tblEnriched[[#This Row],[Date]]),1)</f>
        <v>44958</v>
      </c>
    </row>
    <row r="1153" spans="1:18">
      <c r="A1153" t="s">
        <v>4124</v>
      </c>
      <c r="B1153" s="10">
        <v>44955</v>
      </c>
      <c r="C1153" t="s">
        <v>4125</v>
      </c>
      <c r="D1153" t="s">
        <v>47</v>
      </c>
      <c r="E1153">
        <v>2</v>
      </c>
      <c r="F1153" s="4">
        <v>608.04</v>
      </c>
      <c r="G1153" t="s">
        <v>71</v>
      </c>
      <c r="H1153" t="s">
        <v>41</v>
      </c>
      <c r="I1153">
        <v>4</v>
      </c>
      <c r="K1153" t="s">
        <v>82</v>
      </c>
      <c r="L1153" s="4">
        <v>1216.08</v>
      </c>
      <c r="M1153" t="str">
        <f>VLOOKUP(D1153,tblProduct[],2,FALSE)</f>
        <v>Furniture</v>
      </c>
      <c r="N1153" t="str">
        <f>VLOOKUP(D1153,tblProduct[],3,FALSE)</f>
        <v>Medium</v>
      </c>
      <c r="O1153">
        <f>VLOOKUP(D1153,tblProduct[],4,FALSE)</f>
        <v>70000</v>
      </c>
      <c r="P1153">
        <v>1216.08</v>
      </c>
      <c r="Q1153" s="19" t="str">
        <f t="shared" si="17"/>
        <v>Jan-2023</v>
      </c>
      <c r="R1153" s="26">
        <f>DATE(YEAR(tblEnriched[[#This Row],[Date]]),MONTH(tblEnriched[[#This Row],[Date]]),1)</f>
        <v>44927</v>
      </c>
    </row>
    <row r="1154" spans="1:18">
      <c r="A1154" t="s">
        <v>4128</v>
      </c>
      <c r="B1154" s="10">
        <v>45239</v>
      </c>
      <c r="C1154" t="s">
        <v>4129</v>
      </c>
      <c r="D1154" t="s">
        <v>38</v>
      </c>
      <c r="E1154">
        <v>2</v>
      </c>
      <c r="F1154" s="4">
        <v>344.18</v>
      </c>
      <c r="G1154" t="s">
        <v>40</v>
      </c>
      <c r="H1154" t="s">
        <v>25</v>
      </c>
      <c r="I1154">
        <v>7</v>
      </c>
      <c r="K1154" t="s">
        <v>35</v>
      </c>
      <c r="L1154" s="4">
        <v>688.36</v>
      </c>
      <c r="M1154" t="str">
        <f>VLOOKUP(D1154,tblProduct[],2,FALSE)</f>
        <v>Electronics</v>
      </c>
      <c r="N1154" t="str">
        <f>VLOOKUP(D1154,tblProduct[],3,FALSE)</f>
        <v>Medium</v>
      </c>
      <c r="O1154">
        <f>VLOOKUP(D1154,tblProduct[],4,FALSE)</f>
        <v>100000</v>
      </c>
      <c r="P1154">
        <v>688.36</v>
      </c>
      <c r="Q1154" s="19" t="str">
        <f t="shared" ref="Q1154:Q1201" si="18">TEXT(B1154,"mmm-yyyy")</f>
        <v>Nov-2023</v>
      </c>
      <c r="R1154" s="26">
        <f>DATE(YEAR(tblEnriched[[#This Row],[Date]]),MONTH(tblEnriched[[#This Row],[Date]]),1)</f>
        <v>45231</v>
      </c>
    </row>
    <row r="1155" spans="1:18">
      <c r="A1155" t="s">
        <v>4131</v>
      </c>
      <c r="B1155" s="10">
        <v>45642</v>
      </c>
      <c r="C1155" t="s">
        <v>4132</v>
      </c>
      <c r="D1155" t="s">
        <v>22</v>
      </c>
      <c r="E1155">
        <v>4</v>
      </c>
      <c r="F1155" s="4">
        <v>696.71</v>
      </c>
      <c r="G1155" t="s">
        <v>24</v>
      </c>
      <c r="H1155" t="s">
        <v>25</v>
      </c>
      <c r="I1155">
        <v>4</v>
      </c>
      <c r="K1155" t="s">
        <v>28</v>
      </c>
      <c r="L1155" s="4">
        <v>2786.84</v>
      </c>
      <c r="M1155" t="str">
        <f>VLOOKUP(D1155,tblProduct[],2,FALSE)</f>
        <v>Electronics</v>
      </c>
      <c r="N1155" t="str">
        <f>VLOOKUP(D1155,tblProduct[],3,FALSE)</f>
        <v>Medium</v>
      </c>
      <c r="O1155">
        <f>VLOOKUP(D1155,tblProduct[],4,FALSE)</f>
        <v>90000</v>
      </c>
      <c r="P1155">
        <v>2786.84</v>
      </c>
      <c r="Q1155" s="19" t="str">
        <f t="shared" si="18"/>
        <v>Dec-2024</v>
      </c>
      <c r="R1155" s="26">
        <f>DATE(YEAR(tblEnriched[[#This Row],[Date]]),MONTH(tblEnriched[[#This Row],[Date]]),1)</f>
        <v>45627</v>
      </c>
    </row>
    <row r="1156" spans="1:18">
      <c r="A1156" t="s">
        <v>4135</v>
      </c>
      <c r="B1156" s="10">
        <v>45819</v>
      </c>
      <c r="C1156" t="s">
        <v>4136</v>
      </c>
      <c r="D1156" t="s">
        <v>22</v>
      </c>
      <c r="E1156">
        <v>3</v>
      </c>
      <c r="F1156" s="4">
        <v>198.63</v>
      </c>
      <c r="G1156" t="s">
        <v>71</v>
      </c>
      <c r="H1156" t="s">
        <v>95</v>
      </c>
      <c r="I1156">
        <v>8</v>
      </c>
      <c r="J1156" t="s">
        <v>27</v>
      </c>
      <c r="K1156" t="s">
        <v>28</v>
      </c>
      <c r="L1156" s="4">
        <v>595.89</v>
      </c>
      <c r="M1156" t="str">
        <f>VLOOKUP(D1156,tblProduct[],2,FALSE)</f>
        <v>Electronics</v>
      </c>
      <c r="N1156" t="str">
        <f>VLOOKUP(D1156,tblProduct[],3,FALSE)</f>
        <v>Medium</v>
      </c>
      <c r="O1156">
        <f>VLOOKUP(D1156,tblProduct[],4,FALSE)</f>
        <v>90000</v>
      </c>
      <c r="P1156">
        <v>595.89</v>
      </c>
      <c r="Q1156" s="19" t="str">
        <f t="shared" si="18"/>
        <v>Jun-2025</v>
      </c>
      <c r="R1156" s="26">
        <f>DATE(YEAR(tblEnriched[[#This Row],[Date]]),MONTH(tblEnriched[[#This Row],[Date]]),1)</f>
        <v>45809</v>
      </c>
    </row>
    <row r="1157" spans="1:18">
      <c r="A1157" t="s">
        <v>4138</v>
      </c>
      <c r="B1157" s="10">
        <v>45151</v>
      </c>
      <c r="C1157" t="s">
        <v>4139</v>
      </c>
      <c r="D1157" t="s">
        <v>54</v>
      </c>
      <c r="E1157">
        <v>4</v>
      </c>
      <c r="F1157" s="4">
        <v>534.57000000000005</v>
      </c>
      <c r="G1157" t="s">
        <v>40</v>
      </c>
      <c r="H1157" t="s">
        <v>56</v>
      </c>
      <c r="I1157">
        <v>6</v>
      </c>
      <c r="J1157" t="s">
        <v>43</v>
      </c>
      <c r="K1157" t="s">
        <v>51</v>
      </c>
      <c r="L1157" s="4">
        <v>2138.2800000000002</v>
      </c>
      <c r="M1157" t="str">
        <f>VLOOKUP(D1157,tblProduct[],2,FALSE)</f>
        <v>Electronics</v>
      </c>
      <c r="N1157" t="str">
        <f>VLOOKUP(D1157,tblProduct[],3,FALSE)</f>
        <v>Medium</v>
      </c>
      <c r="O1157">
        <f>VLOOKUP(D1157,tblProduct[],4,FALSE)</f>
        <v>80000</v>
      </c>
      <c r="P1157">
        <v>2138.2800000000002</v>
      </c>
      <c r="Q1157" s="19" t="str">
        <f t="shared" si="18"/>
        <v>Aug-2023</v>
      </c>
      <c r="R1157" s="26">
        <f>DATE(YEAR(tblEnriched[[#This Row],[Date]]),MONTH(tblEnriched[[#This Row],[Date]]),1)</f>
        <v>45139</v>
      </c>
    </row>
    <row r="1158" spans="1:18">
      <c r="A1158" t="s">
        <v>4141</v>
      </c>
      <c r="B1158" s="10">
        <v>45126</v>
      </c>
      <c r="C1158" t="s">
        <v>4142</v>
      </c>
      <c r="D1158" t="s">
        <v>64</v>
      </c>
      <c r="E1158">
        <v>4</v>
      </c>
      <c r="F1158" s="4">
        <v>690.78</v>
      </c>
      <c r="G1158" t="s">
        <v>40</v>
      </c>
      <c r="H1158" t="s">
        <v>25</v>
      </c>
      <c r="I1158">
        <v>9</v>
      </c>
      <c r="K1158" t="s">
        <v>35</v>
      </c>
      <c r="L1158" s="4">
        <v>2763.12</v>
      </c>
      <c r="M1158" t="str">
        <f>VLOOKUP(D1158,tblProduct[],2,FALSE)</f>
        <v>Electronics</v>
      </c>
      <c r="N1158" t="str">
        <f>VLOOKUP(D1158,tblProduct[],3,FALSE)</f>
        <v>High</v>
      </c>
      <c r="O1158">
        <f>VLOOKUP(D1158,tblProduct[],4,FALSE)</f>
        <v>150000</v>
      </c>
      <c r="P1158">
        <v>2763.12</v>
      </c>
      <c r="Q1158" s="19" t="str">
        <f t="shared" si="18"/>
        <v>Jul-2023</v>
      </c>
      <c r="R1158" s="26">
        <f>DATE(YEAR(tblEnriched[[#This Row],[Date]]),MONTH(tblEnriched[[#This Row],[Date]]),1)</f>
        <v>45108</v>
      </c>
    </row>
    <row r="1159" spans="1:18">
      <c r="A1159" t="s">
        <v>4144</v>
      </c>
      <c r="B1159" s="10">
        <v>45441</v>
      </c>
      <c r="C1159" t="s">
        <v>4145</v>
      </c>
      <c r="D1159" t="s">
        <v>22</v>
      </c>
      <c r="E1159">
        <v>3</v>
      </c>
      <c r="F1159" s="4">
        <v>301.55</v>
      </c>
      <c r="G1159" t="s">
        <v>24</v>
      </c>
      <c r="H1159" t="s">
        <v>56</v>
      </c>
      <c r="I1159">
        <v>5</v>
      </c>
      <c r="J1159" t="s">
        <v>43</v>
      </c>
      <c r="K1159" t="s">
        <v>82</v>
      </c>
      <c r="L1159" s="4">
        <v>904.65000000000009</v>
      </c>
      <c r="M1159" t="str">
        <f>VLOOKUP(D1159,tblProduct[],2,FALSE)</f>
        <v>Electronics</v>
      </c>
      <c r="N1159" t="str">
        <f>VLOOKUP(D1159,tblProduct[],3,FALSE)</f>
        <v>Medium</v>
      </c>
      <c r="O1159">
        <f>VLOOKUP(D1159,tblProduct[],4,FALSE)</f>
        <v>90000</v>
      </c>
      <c r="P1159">
        <v>904.65000000000009</v>
      </c>
      <c r="Q1159" s="19" t="str">
        <f t="shared" si="18"/>
        <v>May-2024</v>
      </c>
      <c r="R1159" s="26">
        <f>DATE(YEAR(tblEnriched[[#This Row],[Date]]),MONTH(tblEnriched[[#This Row],[Date]]),1)</f>
        <v>45413</v>
      </c>
    </row>
    <row r="1160" spans="1:18">
      <c r="A1160" t="s">
        <v>4147</v>
      </c>
      <c r="B1160" s="10">
        <v>45036</v>
      </c>
      <c r="C1160" t="s">
        <v>4148</v>
      </c>
      <c r="D1160" t="s">
        <v>22</v>
      </c>
      <c r="E1160">
        <v>4</v>
      </c>
      <c r="F1160" s="4">
        <v>27.42</v>
      </c>
      <c r="G1160" t="s">
        <v>24</v>
      </c>
      <c r="H1160" t="s">
        <v>95</v>
      </c>
      <c r="I1160">
        <v>4</v>
      </c>
      <c r="J1160" t="s">
        <v>27</v>
      </c>
      <c r="K1160" t="s">
        <v>35</v>
      </c>
      <c r="L1160" s="4">
        <v>109.68</v>
      </c>
      <c r="M1160" t="str">
        <f>VLOOKUP(D1160,tblProduct[],2,FALSE)</f>
        <v>Electronics</v>
      </c>
      <c r="N1160" t="str">
        <f>VLOOKUP(D1160,tblProduct[],3,FALSE)</f>
        <v>Medium</v>
      </c>
      <c r="O1160">
        <f>VLOOKUP(D1160,tblProduct[],4,FALSE)</f>
        <v>90000</v>
      </c>
      <c r="P1160">
        <v>109.68</v>
      </c>
      <c r="Q1160" s="19" t="str">
        <f t="shared" si="18"/>
        <v>Apr-2023</v>
      </c>
      <c r="R1160" s="26">
        <f>DATE(YEAR(tblEnriched[[#This Row],[Date]]),MONTH(tblEnriched[[#This Row],[Date]]),1)</f>
        <v>45017</v>
      </c>
    </row>
    <row r="1161" spans="1:18">
      <c r="A1161" t="s">
        <v>4150</v>
      </c>
      <c r="B1161" s="10">
        <v>45345</v>
      </c>
      <c r="C1161" t="s">
        <v>4151</v>
      </c>
      <c r="D1161" t="s">
        <v>79</v>
      </c>
      <c r="E1161">
        <v>4</v>
      </c>
      <c r="F1161" s="4">
        <v>466.7</v>
      </c>
      <c r="G1161" t="s">
        <v>24</v>
      </c>
      <c r="H1161" t="s">
        <v>49</v>
      </c>
      <c r="I1161">
        <v>8</v>
      </c>
      <c r="K1161" t="s">
        <v>28</v>
      </c>
      <c r="L1161" s="4">
        <v>1866.8</v>
      </c>
      <c r="M1161" t="str">
        <f>VLOOKUP(D1161,tblProduct[],2,FALSE)</f>
        <v>Furniture</v>
      </c>
      <c r="N1161" t="str">
        <f>VLOOKUP(D1161,tblProduct[],3,FALSE)</f>
        <v>High</v>
      </c>
      <c r="O1161">
        <f>VLOOKUP(D1161,tblProduct[],4,FALSE)</f>
        <v>75000</v>
      </c>
      <c r="P1161">
        <v>1866.8</v>
      </c>
      <c r="Q1161" s="19" t="str">
        <f t="shared" si="18"/>
        <v>Feb-2024</v>
      </c>
      <c r="R1161" s="26">
        <f>DATE(YEAR(tblEnriched[[#This Row],[Date]]),MONTH(tblEnriched[[#This Row],[Date]]),1)</f>
        <v>45323</v>
      </c>
    </row>
    <row r="1162" spans="1:18">
      <c r="A1162" t="s">
        <v>4153</v>
      </c>
      <c r="B1162" s="10">
        <v>45539</v>
      </c>
      <c r="C1162" t="s">
        <v>4154</v>
      </c>
      <c r="D1162" t="s">
        <v>79</v>
      </c>
      <c r="E1162">
        <v>1</v>
      </c>
      <c r="F1162" s="4">
        <v>541.64</v>
      </c>
      <c r="G1162" t="s">
        <v>24</v>
      </c>
      <c r="H1162" t="s">
        <v>25</v>
      </c>
      <c r="I1162">
        <v>5</v>
      </c>
      <c r="J1162" t="s">
        <v>27</v>
      </c>
      <c r="K1162" t="s">
        <v>44</v>
      </c>
      <c r="L1162" s="4">
        <v>541.64</v>
      </c>
      <c r="M1162" t="str">
        <f>VLOOKUP(D1162,tblProduct[],2,FALSE)</f>
        <v>Furniture</v>
      </c>
      <c r="N1162" t="str">
        <f>VLOOKUP(D1162,tblProduct[],3,FALSE)</f>
        <v>High</v>
      </c>
      <c r="O1162">
        <f>VLOOKUP(D1162,tblProduct[],4,FALSE)</f>
        <v>75000</v>
      </c>
      <c r="P1162">
        <v>541.64</v>
      </c>
      <c r="Q1162" s="19" t="str">
        <f t="shared" si="18"/>
        <v>Sep-2024</v>
      </c>
      <c r="R1162" s="26">
        <f>DATE(YEAR(tblEnriched[[#This Row],[Date]]),MONTH(tblEnriched[[#This Row],[Date]]),1)</f>
        <v>45536</v>
      </c>
    </row>
    <row r="1163" spans="1:18">
      <c r="A1163" t="s">
        <v>4156</v>
      </c>
      <c r="B1163" s="10">
        <v>45215</v>
      </c>
      <c r="C1163" t="s">
        <v>4157</v>
      </c>
      <c r="D1163" t="s">
        <v>31</v>
      </c>
      <c r="E1163">
        <v>1</v>
      </c>
      <c r="F1163" s="4">
        <v>11.39</v>
      </c>
      <c r="G1163" t="s">
        <v>71</v>
      </c>
      <c r="H1163" t="s">
        <v>41</v>
      </c>
      <c r="I1163">
        <v>6</v>
      </c>
      <c r="J1163" t="s">
        <v>87</v>
      </c>
      <c r="K1163" t="s">
        <v>44</v>
      </c>
      <c r="L1163" s="4">
        <v>11.39</v>
      </c>
      <c r="M1163" t="str">
        <f>VLOOKUP(D1163,tblProduct[],2,FALSE)</f>
        <v>Electronics</v>
      </c>
      <c r="N1163" t="str">
        <f>VLOOKUP(D1163,tblProduct[],3,FALSE)</f>
        <v>High</v>
      </c>
      <c r="O1163">
        <f>VLOOKUP(D1163,tblProduct[],4,FALSE)</f>
        <v>120000</v>
      </c>
      <c r="P1163">
        <v>11.39</v>
      </c>
      <c r="Q1163" s="19" t="str">
        <f t="shared" si="18"/>
        <v>Oct-2023</v>
      </c>
      <c r="R1163" s="26">
        <f>DATE(YEAR(tblEnriched[[#This Row],[Date]]),MONTH(tblEnriched[[#This Row],[Date]]),1)</f>
        <v>45200</v>
      </c>
    </row>
    <row r="1164" spans="1:18">
      <c r="A1164" t="s">
        <v>4159</v>
      </c>
      <c r="B1164" s="10">
        <v>45727</v>
      </c>
      <c r="C1164" t="s">
        <v>4160</v>
      </c>
      <c r="D1164" t="s">
        <v>31</v>
      </c>
      <c r="E1164">
        <v>2</v>
      </c>
      <c r="F1164" s="4">
        <v>224.37</v>
      </c>
      <c r="G1164" t="s">
        <v>24</v>
      </c>
      <c r="H1164" t="s">
        <v>56</v>
      </c>
      <c r="I1164">
        <v>3</v>
      </c>
      <c r="J1164" t="s">
        <v>87</v>
      </c>
      <c r="K1164" t="s">
        <v>35</v>
      </c>
      <c r="L1164" s="4">
        <v>448.74</v>
      </c>
      <c r="M1164" t="str">
        <f>VLOOKUP(D1164,tblProduct[],2,FALSE)</f>
        <v>Electronics</v>
      </c>
      <c r="N1164" t="str">
        <f>VLOOKUP(D1164,tblProduct[],3,FALSE)</f>
        <v>High</v>
      </c>
      <c r="O1164">
        <f>VLOOKUP(D1164,tblProduct[],4,FALSE)</f>
        <v>120000</v>
      </c>
      <c r="P1164">
        <v>448.74</v>
      </c>
      <c r="Q1164" s="19" t="str">
        <f t="shared" si="18"/>
        <v>Mar-2025</v>
      </c>
      <c r="R1164" s="26">
        <f>DATE(YEAR(tblEnriched[[#This Row],[Date]]),MONTH(tblEnriched[[#This Row],[Date]]),1)</f>
        <v>45717</v>
      </c>
    </row>
    <row r="1165" spans="1:18">
      <c r="A1165" t="s">
        <v>4163</v>
      </c>
      <c r="B1165" s="10">
        <v>45454</v>
      </c>
      <c r="C1165" t="s">
        <v>4164</v>
      </c>
      <c r="D1165" t="s">
        <v>64</v>
      </c>
      <c r="E1165">
        <v>3</v>
      </c>
      <c r="F1165" s="4">
        <v>306.29000000000002</v>
      </c>
      <c r="G1165" t="s">
        <v>40</v>
      </c>
      <c r="H1165" t="s">
        <v>49</v>
      </c>
      <c r="I1165">
        <v>7</v>
      </c>
      <c r="J1165" t="s">
        <v>87</v>
      </c>
      <c r="K1165" t="s">
        <v>28</v>
      </c>
      <c r="L1165" s="4">
        <v>918.87000000000012</v>
      </c>
      <c r="M1165" t="str">
        <f>VLOOKUP(D1165,tblProduct[],2,FALSE)</f>
        <v>Electronics</v>
      </c>
      <c r="N1165" t="str">
        <f>VLOOKUP(D1165,tblProduct[],3,FALSE)</f>
        <v>High</v>
      </c>
      <c r="O1165">
        <f>VLOOKUP(D1165,tblProduct[],4,FALSE)</f>
        <v>150000</v>
      </c>
      <c r="P1165">
        <v>918.87000000000012</v>
      </c>
      <c r="Q1165" s="19" t="str">
        <f t="shared" si="18"/>
        <v>Jun-2024</v>
      </c>
      <c r="R1165" s="26">
        <f>DATE(YEAR(tblEnriched[[#This Row],[Date]]),MONTH(tblEnriched[[#This Row],[Date]]),1)</f>
        <v>45444</v>
      </c>
    </row>
    <row r="1166" spans="1:18">
      <c r="A1166" t="s">
        <v>4167</v>
      </c>
      <c r="B1166" s="10">
        <v>45299</v>
      </c>
      <c r="C1166" t="s">
        <v>4168</v>
      </c>
      <c r="D1166" t="s">
        <v>38</v>
      </c>
      <c r="E1166">
        <v>5</v>
      </c>
      <c r="F1166" s="4">
        <v>315.57</v>
      </c>
      <c r="G1166" t="s">
        <v>24</v>
      </c>
      <c r="H1166" t="s">
        <v>56</v>
      </c>
      <c r="I1166">
        <v>6</v>
      </c>
      <c r="J1166" t="s">
        <v>87</v>
      </c>
      <c r="K1166" t="s">
        <v>44</v>
      </c>
      <c r="L1166" s="4">
        <v>1577.85</v>
      </c>
      <c r="M1166" t="str">
        <f>VLOOKUP(D1166,tblProduct[],2,FALSE)</f>
        <v>Electronics</v>
      </c>
      <c r="N1166" t="str">
        <f>VLOOKUP(D1166,tblProduct[],3,FALSE)</f>
        <v>Medium</v>
      </c>
      <c r="O1166">
        <f>VLOOKUP(D1166,tblProduct[],4,FALSE)</f>
        <v>100000</v>
      </c>
      <c r="P1166">
        <v>1577.85</v>
      </c>
      <c r="Q1166" s="19" t="str">
        <f t="shared" si="18"/>
        <v>Jan-2024</v>
      </c>
      <c r="R1166" s="26">
        <f>DATE(YEAR(tblEnriched[[#This Row],[Date]]),MONTH(tblEnriched[[#This Row],[Date]]),1)</f>
        <v>45292</v>
      </c>
    </row>
    <row r="1167" spans="1:18">
      <c r="A1167" t="s">
        <v>4170</v>
      </c>
      <c r="B1167" s="10">
        <v>45121</v>
      </c>
      <c r="C1167" t="s">
        <v>4171</v>
      </c>
      <c r="D1167" t="s">
        <v>47</v>
      </c>
      <c r="E1167">
        <v>3</v>
      </c>
      <c r="F1167" s="4">
        <v>223.79</v>
      </c>
      <c r="G1167" t="s">
        <v>24</v>
      </c>
      <c r="H1167" t="s">
        <v>95</v>
      </c>
      <c r="I1167">
        <v>3</v>
      </c>
      <c r="K1167" t="s">
        <v>82</v>
      </c>
      <c r="L1167" s="4">
        <v>671.37</v>
      </c>
      <c r="M1167" t="str">
        <f>VLOOKUP(D1167,tblProduct[],2,FALSE)</f>
        <v>Furniture</v>
      </c>
      <c r="N1167" t="str">
        <f>VLOOKUP(D1167,tblProduct[],3,FALSE)</f>
        <v>Medium</v>
      </c>
      <c r="O1167">
        <f>VLOOKUP(D1167,tblProduct[],4,FALSE)</f>
        <v>70000</v>
      </c>
      <c r="P1167">
        <v>671.37</v>
      </c>
      <c r="Q1167" s="19" t="str">
        <f t="shared" si="18"/>
        <v>Jul-2023</v>
      </c>
      <c r="R1167" s="26">
        <f>DATE(YEAR(tblEnriched[[#This Row],[Date]]),MONTH(tblEnriched[[#This Row],[Date]]),1)</f>
        <v>45108</v>
      </c>
    </row>
    <row r="1168" spans="1:18">
      <c r="A1168" t="s">
        <v>4174</v>
      </c>
      <c r="B1168" s="10">
        <v>45138</v>
      </c>
      <c r="C1168" t="s">
        <v>4175</v>
      </c>
      <c r="D1168" t="s">
        <v>47</v>
      </c>
      <c r="E1168">
        <v>3</v>
      </c>
      <c r="F1168" s="4">
        <v>324.47000000000003</v>
      </c>
      <c r="G1168" t="s">
        <v>71</v>
      </c>
      <c r="H1168" t="s">
        <v>56</v>
      </c>
      <c r="I1168">
        <v>4</v>
      </c>
      <c r="J1168" t="s">
        <v>87</v>
      </c>
      <c r="K1168" t="s">
        <v>44</v>
      </c>
      <c r="L1168" s="4">
        <v>973.41000000000008</v>
      </c>
      <c r="M1168" t="str">
        <f>VLOOKUP(D1168,tblProduct[],2,FALSE)</f>
        <v>Furniture</v>
      </c>
      <c r="N1168" t="str">
        <f>VLOOKUP(D1168,tblProduct[],3,FALSE)</f>
        <v>Medium</v>
      </c>
      <c r="O1168">
        <f>VLOOKUP(D1168,tblProduct[],4,FALSE)</f>
        <v>70000</v>
      </c>
      <c r="P1168">
        <v>973.41000000000008</v>
      </c>
      <c r="Q1168" s="19" t="str">
        <f t="shared" si="18"/>
        <v>Jul-2023</v>
      </c>
      <c r="R1168" s="26">
        <f>DATE(YEAR(tblEnriched[[#This Row],[Date]]),MONTH(tblEnriched[[#This Row],[Date]]),1)</f>
        <v>45108</v>
      </c>
    </row>
    <row r="1169" spans="1:18">
      <c r="A1169" t="s">
        <v>4177</v>
      </c>
      <c r="B1169" s="10">
        <v>45216</v>
      </c>
      <c r="C1169" t="s">
        <v>4178</v>
      </c>
      <c r="D1169" t="s">
        <v>54</v>
      </c>
      <c r="E1169">
        <v>2</v>
      </c>
      <c r="F1169" s="4">
        <v>92.87</v>
      </c>
      <c r="G1169" t="s">
        <v>40</v>
      </c>
      <c r="H1169" t="s">
        <v>95</v>
      </c>
      <c r="I1169">
        <v>5</v>
      </c>
      <c r="J1169" t="s">
        <v>43</v>
      </c>
      <c r="K1169" t="s">
        <v>51</v>
      </c>
      <c r="L1169" s="4">
        <v>185.74</v>
      </c>
      <c r="M1169" t="str">
        <f>VLOOKUP(D1169,tblProduct[],2,FALSE)</f>
        <v>Electronics</v>
      </c>
      <c r="N1169" t="str">
        <f>VLOOKUP(D1169,tblProduct[],3,FALSE)</f>
        <v>Medium</v>
      </c>
      <c r="O1169">
        <f>VLOOKUP(D1169,tblProduct[],4,FALSE)</f>
        <v>80000</v>
      </c>
      <c r="P1169">
        <v>185.74</v>
      </c>
      <c r="Q1169" s="19" t="str">
        <f t="shared" si="18"/>
        <v>Oct-2023</v>
      </c>
      <c r="R1169" s="26">
        <f>DATE(YEAR(tblEnriched[[#This Row],[Date]]),MONTH(tblEnriched[[#This Row],[Date]]),1)</f>
        <v>45200</v>
      </c>
    </row>
    <row r="1170" spans="1:18">
      <c r="A1170" t="s">
        <v>4180</v>
      </c>
      <c r="B1170" s="10">
        <v>45024</v>
      </c>
      <c r="C1170" t="s">
        <v>4181</v>
      </c>
      <c r="D1170" t="s">
        <v>64</v>
      </c>
      <c r="E1170">
        <v>2</v>
      </c>
      <c r="F1170" s="4">
        <v>331.42</v>
      </c>
      <c r="G1170" t="s">
        <v>40</v>
      </c>
      <c r="H1170" t="s">
        <v>56</v>
      </c>
      <c r="I1170">
        <v>6</v>
      </c>
      <c r="J1170" t="s">
        <v>87</v>
      </c>
      <c r="K1170" t="s">
        <v>82</v>
      </c>
      <c r="L1170" s="4">
        <v>662.84</v>
      </c>
      <c r="M1170" t="str">
        <f>VLOOKUP(D1170,tblProduct[],2,FALSE)</f>
        <v>Electronics</v>
      </c>
      <c r="N1170" t="str">
        <f>VLOOKUP(D1170,tblProduct[],3,FALSE)</f>
        <v>High</v>
      </c>
      <c r="O1170">
        <f>VLOOKUP(D1170,tblProduct[],4,FALSE)</f>
        <v>150000</v>
      </c>
      <c r="P1170">
        <v>662.84</v>
      </c>
      <c r="Q1170" s="19" t="str">
        <f t="shared" si="18"/>
        <v>Apr-2023</v>
      </c>
      <c r="R1170" s="26">
        <f>DATE(YEAR(tblEnriched[[#This Row],[Date]]),MONTH(tblEnriched[[#This Row],[Date]]),1)</f>
        <v>45017</v>
      </c>
    </row>
    <row r="1171" spans="1:18">
      <c r="A1171" t="s">
        <v>4184</v>
      </c>
      <c r="B1171" s="10">
        <v>45649</v>
      </c>
      <c r="C1171" t="s">
        <v>4185</v>
      </c>
      <c r="D1171" t="s">
        <v>47</v>
      </c>
      <c r="E1171">
        <v>1</v>
      </c>
      <c r="F1171" s="4">
        <v>525.42999999999995</v>
      </c>
      <c r="G1171" t="s">
        <v>71</v>
      </c>
      <c r="H1171" t="s">
        <v>41</v>
      </c>
      <c r="I1171">
        <v>2</v>
      </c>
      <c r="J1171" t="s">
        <v>27</v>
      </c>
      <c r="K1171" t="s">
        <v>28</v>
      </c>
      <c r="L1171" s="4">
        <v>525.42999999999995</v>
      </c>
      <c r="M1171" t="str">
        <f>VLOOKUP(D1171,tblProduct[],2,FALSE)</f>
        <v>Furniture</v>
      </c>
      <c r="N1171" t="str">
        <f>VLOOKUP(D1171,tblProduct[],3,FALSE)</f>
        <v>Medium</v>
      </c>
      <c r="O1171">
        <f>VLOOKUP(D1171,tblProduct[],4,FALSE)</f>
        <v>70000</v>
      </c>
      <c r="P1171">
        <v>525.42999999999995</v>
      </c>
      <c r="Q1171" s="19" t="str">
        <f t="shared" si="18"/>
        <v>Dec-2024</v>
      </c>
      <c r="R1171" s="26">
        <f>DATE(YEAR(tblEnriched[[#This Row],[Date]]),MONTH(tblEnriched[[#This Row],[Date]]),1)</f>
        <v>45627</v>
      </c>
    </row>
    <row r="1172" spans="1:18">
      <c r="A1172" t="s">
        <v>4188</v>
      </c>
      <c r="B1172" s="10">
        <v>45141</v>
      </c>
      <c r="C1172" t="s">
        <v>4189</v>
      </c>
      <c r="D1172" t="s">
        <v>54</v>
      </c>
      <c r="E1172">
        <v>2</v>
      </c>
      <c r="F1172" s="4">
        <v>697.19</v>
      </c>
      <c r="G1172" t="s">
        <v>71</v>
      </c>
      <c r="H1172" t="s">
        <v>49</v>
      </c>
      <c r="I1172">
        <v>7</v>
      </c>
      <c r="J1172" t="s">
        <v>43</v>
      </c>
      <c r="K1172" t="s">
        <v>44</v>
      </c>
      <c r="L1172" s="4">
        <v>1394.38</v>
      </c>
      <c r="M1172" t="str">
        <f>VLOOKUP(D1172,tblProduct[],2,FALSE)</f>
        <v>Electronics</v>
      </c>
      <c r="N1172" t="str">
        <f>VLOOKUP(D1172,tblProduct[],3,FALSE)</f>
        <v>Medium</v>
      </c>
      <c r="O1172">
        <f>VLOOKUP(D1172,tblProduct[],4,FALSE)</f>
        <v>80000</v>
      </c>
      <c r="P1172">
        <v>1394.38</v>
      </c>
      <c r="Q1172" s="19" t="str">
        <f t="shared" si="18"/>
        <v>Aug-2023</v>
      </c>
      <c r="R1172" s="26">
        <f>DATE(YEAR(tblEnriched[[#This Row],[Date]]),MONTH(tblEnriched[[#This Row],[Date]]),1)</f>
        <v>45139</v>
      </c>
    </row>
    <row r="1173" spans="1:18">
      <c r="A1173" t="s">
        <v>4191</v>
      </c>
      <c r="B1173" s="10">
        <v>45166</v>
      </c>
      <c r="C1173" t="s">
        <v>4192</v>
      </c>
      <c r="D1173" t="s">
        <v>31</v>
      </c>
      <c r="E1173">
        <v>4</v>
      </c>
      <c r="F1173" s="4">
        <v>518.4</v>
      </c>
      <c r="G1173" t="s">
        <v>40</v>
      </c>
      <c r="H1173" t="s">
        <v>56</v>
      </c>
      <c r="I1173">
        <v>7</v>
      </c>
      <c r="J1173" t="s">
        <v>27</v>
      </c>
      <c r="K1173" t="s">
        <v>51</v>
      </c>
      <c r="L1173" s="4">
        <v>2073.6</v>
      </c>
      <c r="M1173" t="str">
        <f>VLOOKUP(D1173,tblProduct[],2,FALSE)</f>
        <v>Electronics</v>
      </c>
      <c r="N1173" t="str">
        <f>VLOOKUP(D1173,tblProduct[],3,FALSE)</f>
        <v>High</v>
      </c>
      <c r="O1173">
        <f>VLOOKUP(D1173,tblProduct[],4,FALSE)</f>
        <v>120000</v>
      </c>
      <c r="P1173">
        <v>2073.6</v>
      </c>
      <c r="Q1173" s="19" t="str">
        <f t="shared" si="18"/>
        <v>Aug-2023</v>
      </c>
      <c r="R1173" s="26">
        <f>DATE(YEAR(tblEnriched[[#This Row],[Date]]),MONTH(tblEnriched[[#This Row],[Date]]),1)</f>
        <v>45139</v>
      </c>
    </row>
    <row r="1174" spans="1:18">
      <c r="A1174" t="s">
        <v>4195</v>
      </c>
      <c r="B1174" s="10">
        <v>45692</v>
      </c>
      <c r="C1174" t="s">
        <v>4196</v>
      </c>
      <c r="D1174" t="s">
        <v>79</v>
      </c>
      <c r="E1174">
        <v>3</v>
      </c>
      <c r="F1174" s="4">
        <v>131.96</v>
      </c>
      <c r="G1174" t="s">
        <v>40</v>
      </c>
      <c r="H1174" t="s">
        <v>95</v>
      </c>
      <c r="I1174">
        <v>8</v>
      </c>
      <c r="K1174" t="s">
        <v>28</v>
      </c>
      <c r="L1174" s="4">
        <v>395.88</v>
      </c>
      <c r="M1174" t="str">
        <f>VLOOKUP(D1174,tblProduct[],2,FALSE)</f>
        <v>Furniture</v>
      </c>
      <c r="N1174" t="str">
        <f>VLOOKUP(D1174,tblProduct[],3,FALSE)</f>
        <v>High</v>
      </c>
      <c r="O1174">
        <f>VLOOKUP(D1174,tblProduct[],4,FALSE)</f>
        <v>75000</v>
      </c>
      <c r="P1174">
        <v>395.88</v>
      </c>
      <c r="Q1174" s="19" t="str">
        <f t="shared" si="18"/>
        <v>Feb-2025</v>
      </c>
      <c r="R1174" s="26">
        <f>DATE(YEAR(tblEnriched[[#This Row],[Date]]),MONTH(tblEnriched[[#This Row],[Date]]),1)</f>
        <v>45689</v>
      </c>
    </row>
    <row r="1175" spans="1:18">
      <c r="A1175" t="s">
        <v>4198</v>
      </c>
      <c r="B1175" s="10">
        <v>45569</v>
      </c>
      <c r="C1175" t="s">
        <v>4199</v>
      </c>
      <c r="D1175" t="s">
        <v>22</v>
      </c>
      <c r="E1175">
        <v>1</v>
      </c>
      <c r="F1175" s="4">
        <v>208.36</v>
      </c>
      <c r="G1175" t="s">
        <v>33</v>
      </c>
      <c r="H1175" t="s">
        <v>25</v>
      </c>
      <c r="I1175">
        <v>4</v>
      </c>
      <c r="J1175" t="s">
        <v>43</v>
      </c>
      <c r="K1175" t="s">
        <v>44</v>
      </c>
      <c r="L1175" s="4">
        <v>208.36</v>
      </c>
      <c r="M1175" t="str">
        <f>VLOOKUP(D1175,tblProduct[],2,FALSE)</f>
        <v>Electronics</v>
      </c>
      <c r="N1175" t="str">
        <f>VLOOKUP(D1175,tblProduct[],3,FALSE)</f>
        <v>Medium</v>
      </c>
      <c r="O1175">
        <f>VLOOKUP(D1175,tblProduct[],4,FALSE)</f>
        <v>90000</v>
      </c>
      <c r="P1175">
        <v>208.36</v>
      </c>
      <c r="Q1175" s="19" t="str">
        <f t="shared" si="18"/>
        <v>Oct-2024</v>
      </c>
      <c r="R1175" s="26">
        <f>DATE(YEAR(tblEnriched[[#This Row],[Date]]),MONTH(tblEnriched[[#This Row],[Date]]),1)</f>
        <v>45566</v>
      </c>
    </row>
    <row r="1176" spans="1:18">
      <c r="A1176" t="s">
        <v>4201</v>
      </c>
      <c r="B1176" s="10">
        <v>45257</v>
      </c>
      <c r="C1176" t="s">
        <v>4202</v>
      </c>
      <c r="D1176" t="s">
        <v>54</v>
      </c>
      <c r="E1176">
        <v>3</v>
      </c>
      <c r="F1176" s="4">
        <v>222.34</v>
      </c>
      <c r="G1176" t="s">
        <v>40</v>
      </c>
      <c r="H1176" t="s">
        <v>49</v>
      </c>
      <c r="I1176">
        <v>5</v>
      </c>
      <c r="J1176" t="s">
        <v>87</v>
      </c>
      <c r="K1176" t="s">
        <v>44</v>
      </c>
      <c r="L1176" s="4">
        <v>667.02</v>
      </c>
      <c r="M1176" t="str">
        <f>VLOOKUP(D1176,tblProduct[],2,FALSE)</f>
        <v>Electronics</v>
      </c>
      <c r="N1176" t="str">
        <f>VLOOKUP(D1176,tblProduct[],3,FALSE)</f>
        <v>Medium</v>
      </c>
      <c r="O1176">
        <f>VLOOKUP(D1176,tblProduct[],4,FALSE)</f>
        <v>80000</v>
      </c>
      <c r="P1176">
        <v>667.02</v>
      </c>
      <c r="Q1176" s="19" t="str">
        <f t="shared" si="18"/>
        <v>Nov-2023</v>
      </c>
      <c r="R1176" s="26">
        <f>DATE(YEAR(tblEnriched[[#This Row],[Date]]),MONTH(tblEnriched[[#This Row],[Date]]),1)</f>
        <v>45231</v>
      </c>
    </row>
    <row r="1177" spans="1:18">
      <c r="A1177" t="s">
        <v>4205</v>
      </c>
      <c r="B1177" s="10">
        <v>45545</v>
      </c>
      <c r="C1177" t="s">
        <v>4206</v>
      </c>
      <c r="D1177" t="s">
        <v>54</v>
      </c>
      <c r="E1177">
        <v>3</v>
      </c>
      <c r="F1177" s="4">
        <v>91.74</v>
      </c>
      <c r="G1177" t="s">
        <v>24</v>
      </c>
      <c r="H1177" t="s">
        <v>49</v>
      </c>
      <c r="I1177">
        <v>8</v>
      </c>
      <c r="J1177" t="s">
        <v>43</v>
      </c>
      <c r="K1177" t="s">
        <v>35</v>
      </c>
      <c r="L1177" s="4">
        <v>275.22000000000003</v>
      </c>
      <c r="M1177" t="str">
        <f>VLOOKUP(D1177,tblProduct[],2,FALSE)</f>
        <v>Electronics</v>
      </c>
      <c r="N1177" t="str">
        <f>VLOOKUP(D1177,tblProduct[],3,FALSE)</f>
        <v>Medium</v>
      </c>
      <c r="O1177">
        <f>VLOOKUP(D1177,tblProduct[],4,FALSE)</f>
        <v>80000</v>
      </c>
      <c r="P1177">
        <v>275.22000000000003</v>
      </c>
      <c r="Q1177" s="19" t="str">
        <f t="shared" si="18"/>
        <v>Sep-2024</v>
      </c>
      <c r="R1177" s="26">
        <f>DATE(YEAR(tblEnriched[[#This Row],[Date]]),MONTH(tblEnriched[[#This Row],[Date]]),1)</f>
        <v>45536</v>
      </c>
    </row>
    <row r="1178" spans="1:18">
      <c r="A1178" t="s">
        <v>4208</v>
      </c>
      <c r="B1178" s="10">
        <v>45151</v>
      </c>
      <c r="C1178" t="s">
        <v>4209</v>
      </c>
      <c r="D1178" t="s">
        <v>38</v>
      </c>
      <c r="E1178">
        <v>2</v>
      </c>
      <c r="F1178" s="4">
        <v>213.83</v>
      </c>
      <c r="G1178" t="s">
        <v>24</v>
      </c>
      <c r="H1178" t="s">
        <v>41</v>
      </c>
      <c r="I1178">
        <v>2</v>
      </c>
      <c r="J1178" t="s">
        <v>87</v>
      </c>
      <c r="K1178" t="s">
        <v>44</v>
      </c>
      <c r="L1178" s="4">
        <v>427.66</v>
      </c>
      <c r="M1178" t="str">
        <f>VLOOKUP(D1178,tblProduct[],2,FALSE)</f>
        <v>Electronics</v>
      </c>
      <c r="N1178" t="str">
        <f>VLOOKUP(D1178,tblProduct[],3,FALSE)</f>
        <v>Medium</v>
      </c>
      <c r="O1178">
        <f>VLOOKUP(D1178,tblProduct[],4,FALSE)</f>
        <v>100000</v>
      </c>
      <c r="P1178">
        <v>427.66</v>
      </c>
      <c r="Q1178" s="19" t="str">
        <f t="shared" si="18"/>
        <v>Aug-2023</v>
      </c>
      <c r="R1178" s="26">
        <f>DATE(YEAR(tblEnriched[[#This Row],[Date]]),MONTH(tblEnriched[[#This Row],[Date]]),1)</f>
        <v>45139</v>
      </c>
    </row>
    <row r="1179" spans="1:18">
      <c r="A1179" t="s">
        <v>4212</v>
      </c>
      <c r="B1179" s="10">
        <v>45043</v>
      </c>
      <c r="C1179" t="s">
        <v>4213</v>
      </c>
      <c r="D1179" t="s">
        <v>54</v>
      </c>
      <c r="E1179">
        <v>1</v>
      </c>
      <c r="F1179" s="4">
        <v>127.55</v>
      </c>
      <c r="G1179" t="s">
        <v>71</v>
      </c>
      <c r="H1179" t="s">
        <v>25</v>
      </c>
      <c r="I1179">
        <v>3</v>
      </c>
      <c r="J1179" t="s">
        <v>27</v>
      </c>
      <c r="K1179" t="s">
        <v>35</v>
      </c>
      <c r="L1179" s="4">
        <v>127.55</v>
      </c>
      <c r="M1179" t="str">
        <f>VLOOKUP(D1179,tblProduct[],2,FALSE)</f>
        <v>Electronics</v>
      </c>
      <c r="N1179" t="str">
        <f>VLOOKUP(D1179,tblProduct[],3,FALSE)</f>
        <v>Medium</v>
      </c>
      <c r="O1179">
        <f>VLOOKUP(D1179,tblProduct[],4,FALSE)</f>
        <v>80000</v>
      </c>
      <c r="P1179">
        <v>127.55</v>
      </c>
      <c r="Q1179" s="19" t="str">
        <f t="shared" si="18"/>
        <v>Apr-2023</v>
      </c>
      <c r="R1179" s="26">
        <f>DATE(YEAR(tblEnriched[[#This Row],[Date]]),MONTH(tblEnriched[[#This Row],[Date]]),1)</f>
        <v>45017</v>
      </c>
    </row>
    <row r="1180" spans="1:18">
      <c r="A1180" t="s">
        <v>4215</v>
      </c>
      <c r="B1180" s="10">
        <v>45543</v>
      </c>
      <c r="C1180" t="s">
        <v>4216</v>
      </c>
      <c r="D1180" t="s">
        <v>22</v>
      </c>
      <c r="E1180">
        <v>1</v>
      </c>
      <c r="F1180" s="4">
        <v>70.239999999999995</v>
      </c>
      <c r="G1180" t="s">
        <v>40</v>
      </c>
      <c r="H1180" t="s">
        <v>41</v>
      </c>
      <c r="I1180">
        <v>4</v>
      </c>
      <c r="J1180" t="s">
        <v>43</v>
      </c>
      <c r="K1180" t="s">
        <v>82</v>
      </c>
      <c r="L1180" s="4">
        <v>70.239999999999995</v>
      </c>
      <c r="M1180" t="str">
        <f>VLOOKUP(D1180,tblProduct[],2,FALSE)</f>
        <v>Electronics</v>
      </c>
      <c r="N1180" t="str">
        <f>VLOOKUP(D1180,tblProduct[],3,FALSE)</f>
        <v>Medium</v>
      </c>
      <c r="O1180">
        <f>VLOOKUP(D1180,tblProduct[],4,FALSE)</f>
        <v>90000</v>
      </c>
      <c r="P1180">
        <v>70.239999999999995</v>
      </c>
      <c r="Q1180" s="19" t="str">
        <f t="shared" si="18"/>
        <v>Sep-2024</v>
      </c>
      <c r="R1180" s="26">
        <f>DATE(YEAR(tblEnriched[[#This Row],[Date]]),MONTH(tblEnriched[[#This Row],[Date]]),1)</f>
        <v>45536</v>
      </c>
    </row>
    <row r="1181" spans="1:18">
      <c r="A1181" t="s">
        <v>4218</v>
      </c>
      <c r="B1181" s="10">
        <v>44934</v>
      </c>
      <c r="C1181" t="s">
        <v>4219</v>
      </c>
      <c r="D1181" t="s">
        <v>64</v>
      </c>
      <c r="E1181">
        <v>5</v>
      </c>
      <c r="F1181" s="4">
        <v>518.54999999999995</v>
      </c>
      <c r="G1181" t="s">
        <v>40</v>
      </c>
      <c r="H1181" t="s">
        <v>41</v>
      </c>
      <c r="I1181">
        <v>6</v>
      </c>
      <c r="J1181" t="s">
        <v>87</v>
      </c>
      <c r="K1181" t="s">
        <v>28</v>
      </c>
      <c r="L1181" s="4">
        <v>2592.75</v>
      </c>
      <c r="M1181" t="str">
        <f>VLOOKUP(D1181,tblProduct[],2,FALSE)</f>
        <v>Electronics</v>
      </c>
      <c r="N1181" t="str">
        <f>VLOOKUP(D1181,tblProduct[],3,FALSE)</f>
        <v>High</v>
      </c>
      <c r="O1181">
        <f>VLOOKUP(D1181,tblProduct[],4,FALSE)</f>
        <v>150000</v>
      </c>
      <c r="P1181">
        <v>2592.75</v>
      </c>
      <c r="Q1181" s="19" t="str">
        <f t="shared" si="18"/>
        <v>Jan-2023</v>
      </c>
      <c r="R1181" s="26">
        <f>DATE(YEAR(tblEnriched[[#This Row],[Date]]),MONTH(tblEnriched[[#This Row],[Date]]),1)</f>
        <v>44927</v>
      </c>
    </row>
    <row r="1182" spans="1:18">
      <c r="A1182" t="s">
        <v>4221</v>
      </c>
      <c r="B1182" s="10">
        <v>45230</v>
      </c>
      <c r="C1182" t="s">
        <v>4222</v>
      </c>
      <c r="D1182" t="s">
        <v>47</v>
      </c>
      <c r="E1182">
        <v>4</v>
      </c>
      <c r="F1182" s="4">
        <v>298.36</v>
      </c>
      <c r="G1182" t="s">
        <v>24</v>
      </c>
      <c r="H1182" t="s">
        <v>95</v>
      </c>
      <c r="I1182">
        <v>8</v>
      </c>
      <c r="J1182" t="s">
        <v>43</v>
      </c>
      <c r="K1182" t="s">
        <v>82</v>
      </c>
      <c r="L1182" s="4">
        <v>1193.44</v>
      </c>
      <c r="M1182" t="str">
        <f>VLOOKUP(D1182,tblProduct[],2,FALSE)</f>
        <v>Furniture</v>
      </c>
      <c r="N1182" t="str">
        <f>VLOOKUP(D1182,tblProduct[],3,FALSE)</f>
        <v>Medium</v>
      </c>
      <c r="O1182">
        <f>VLOOKUP(D1182,tblProduct[],4,FALSE)</f>
        <v>70000</v>
      </c>
      <c r="P1182">
        <v>1193.44</v>
      </c>
      <c r="Q1182" s="19" t="str">
        <f t="shared" si="18"/>
        <v>Oct-2023</v>
      </c>
      <c r="R1182" s="26">
        <f>DATE(YEAR(tblEnriched[[#This Row],[Date]]),MONTH(tblEnriched[[#This Row],[Date]]),1)</f>
        <v>45200</v>
      </c>
    </row>
    <row r="1183" spans="1:18">
      <c r="A1183" t="s">
        <v>4224</v>
      </c>
      <c r="B1183" s="10">
        <v>45134</v>
      </c>
      <c r="C1183" t="s">
        <v>4225</v>
      </c>
      <c r="D1183" t="s">
        <v>79</v>
      </c>
      <c r="E1183">
        <v>3</v>
      </c>
      <c r="F1183" s="4">
        <v>158.74</v>
      </c>
      <c r="G1183" t="s">
        <v>33</v>
      </c>
      <c r="H1183" t="s">
        <v>95</v>
      </c>
      <c r="I1183">
        <v>7</v>
      </c>
      <c r="J1183" t="s">
        <v>43</v>
      </c>
      <c r="K1183" t="s">
        <v>28</v>
      </c>
      <c r="L1183" s="4">
        <v>476.22</v>
      </c>
      <c r="M1183" t="str">
        <f>VLOOKUP(D1183,tblProduct[],2,FALSE)</f>
        <v>Furniture</v>
      </c>
      <c r="N1183" t="str">
        <f>VLOOKUP(D1183,tblProduct[],3,FALSE)</f>
        <v>High</v>
      </c>
      <c r="O1183">
        <f>VLOOKUP(D1183,tblProduct[],4,FALSE)</f>
        <v>75000</v>
      </c>
      <c r="P1183">
        <v>476.22</v>
      </c>
      <c r="Q1183" s="19" t="str">
        <f t="shared" si="18"/>
        <v>Jul-2023</v>
      </c>
      <c r="R1183" s="26">
        <f>DATE(YEAR(tblEnriched[[#This Row],[Date]]),MONTH(tblEnriched[[#This Row],[Date]]),1)</f>
        <v>45108</v>
      </c>
    </row>
    <row r="1184" spans="1:18">
      <c r="A1184" t="s">
        <v>4227</v>
      </c>
      <c r="B1184" s="10">
        <v>45822</v>
      </c>
      <c r="C1184" t="s">
        <v>4228</v>
      </c>
      <c r="D1184" t="s">
        <v>47</v>
      </c>
      <c r="E1184">
        <v>2</v>
      </c>
      <c r="F1184" s="4">
        <v>420.29</v>
      </c>
      <c r="G1184" t="s">
        <v>66</v>
      </c>
      <c r="H1184" t="s">
        <v>49</v>
      </c>
      <c r="I1184">
        <v>3</v>
      </c>
      <c r="J1184" t="s">
        <v>27</v>
      </c>
      <c r="K1184" t="s">
        <v>82</v>
      </c>
      <c r="L1184" s="4">
        <v>840.58</v>
      </c>
      <c r="M1184" t="str">
        <f>VLOOKUP(D1184,tblProduct[],2,FALSE)</f>
        <v>Furniture</v>
      </c>
      <c r="N1184" t="str">
        <f>VLOOKUP(D1184,tblProduct[],3,FALSE)</f>
        <v>Medium</v>
      </c>
      <c r="O1184">
        <f>VLOOKUP(D1184,tblProduct[],4,FALSE)</f>
        <v>70000</v>
      </c>
      <c r="P1184">
        <v>840.58</v>
      </c>
      <c r="Q1184" s="19" t="str">
        <f t="shared" si="18"/>
        <v>Jun-2025</v>
      </c>
      <c r="R1184" s="26">
        <f>DATE(YEAR(tblEnriched[[#This Row],[Date]]),MONTH(tblEnriched[[#This Row],[Date]]),1)</f>
        <v>45809</v>
      </c>
    </row>
    <row r="1185" spans="1:18">
      <c r="A1185" t="s">
        <v>4230</v>
      </c>
      <c r="B1185" s="10">
        <v>45021</v>
      </c>
      <c r="C1185" t="s">
        <v>4231</v>
      </c>
      <c r="D1185" t="s">
        <v>79</v>
      </c>
      <c r="E1185">
        <v>1</v>
      </c>
      <c r="F1185" s="4">
        <v>281.52</v>
      </c>
      <c r="G1185" t="s">
        <v>66</v>
      </c>
      <c r="H1185" t="s">
        <v>25</v>
      </c>
      <c r="I1185">
        <v>6</v>
      </c>
      <c r="J1185" t="s">
        <v>87</v>
      </c>
      <c r="K1185" t="s">
        <v>35</v>
      </c>
      <c r="L1185" s="4">
        <v>281.52</v>
      </c>
      <c r="M1185" t="str">
        <f>VLOOKUP(D1185,tblProduct[],2,FALSE)</f>
        <v>Furniture</v>
      </c>
      <c r="N1185" t="str">
        <f>VLOOKUP(D1185,tblProduct[],3,FALSE)</f>
        <v>High</v>
      </c>
      <c r="O1185">
        <f>VLOOKUP(D1185,tblProduct[],4,FALSE)</f>
        <v>75000</v>
      </c>
      <c r="P1185">
        <v>281.52</v>
      </c>
      <c r="Q1185" s="19" t="str">
        <f t="shared" si="18"/>
        <v>Apr-2023</v>
      </c>
      <c r="R1185" s="26">
        <f>DATE(YEAR(tblEnriched[[#This Row],[Date]]),MONTH(tblEnriched[[#This Row],[Date]]),1)</f>
        <v>45017</v>
      </c>
    </row>
    <row r="1186" spans="1:18">
      <c r="A1186" t="s">
        <v>4233</v>
      </c>
      <c r="B1186" s="10">
        <v>45196</v>
      </c>
      <c r="C1186" t="s">
        <v>4234</v>
      </c>
      <c r="D1186" t="s">
        <v>64</v>
      </c>
      <c r="E1186">
        <v>1</v>
      </c>
      <c r="F1186" s="4">
        <v>204.08</v>
      </c>
      <c r="G1186" t="s">
        <v>66</v>
      </c>
      <c r="H1186" t="s">
        <v>49</v>
      </c>
      <c r="I1186">
        <v>4</v>
      </c>
      <c r="K1186" t="s">
        <v>82</v>
      </c>
      <c r="L1186" s="4">
        <v>204.08</v>
      </c>
      <c r="M1186" t="str">
        <f>VLOOKUP(D1186,tblProduct[],2,FALSE)</f>
        <v>Electronics</v>
      </c>
      <c r="N1186" t="str">
        <f>VLOOKUP(D1186,tblProduct[],3,FALSE)</f>
        <v>High</v>
      </c>
      <c r="O1186">
        <f>VLOOKUP(D1186,tblProduct[],4,FALSE)</f>
        <v>150000</v>
      </c>
      <c r="P1186">
        <v>204.08</v>
      </c>
      <c r="Q1186" s="19" t="str">
        <f t="shared" si="18"/>
        <v>Sep-2023</v>
      </c>
      <c r="R1186" s="26">
        <f>DATE(YEAR(tblEnriched[[#This Row],[Date]]),MONTH(tblEnriched[[#This Row],[Date]]),1)</f>
        <v>45170</v>
      </c>
    </row>
    <row r="1187" spans="1:18">
      <c r="A1187" t="s">
        <v>4236</v>
      </c>
      <c r="B1187" s="10">
        <v>45481</v>
      </c>
      <c r="C1187" t="s">
        <v>4237</v>
      </c>
      <c r="D1187" t="s">
        <v>47</v>
      </c>
      <c r="E1187">
        <v>1</v>
      </c>
      <c r="F1187" s="4">
        <v>343.31</v>
      </c>
      <c r="G1187" t="s">
        <v>66</v>
      </c>
      <c r="H1187" t="s">
        <v>49</v>
      </c>
      <c r="I1187">
        <v>6</v>
      </c>
      <c r="J1187" t="s">
        <v>27</v>
      </c>
      <c r="K1187" t="s">
        <v>82</v>
      </c>
      <c r="L1187" s="4">
        <v>343.31</v>
      </c>
      <c r="M1187" t="str">
        <f>VLOOKUP(D1187,tblProduct[],2,FALSE)</f>
        <v>Furniture</v>
      </c>
      <c r="N1187" t="str">
        <f>VLOOKUP(D1187,tblProduct[],3,FALSE)</f>
        <v>Medium</v>
      </c>
      <c r="O1187">
        <f>VLOOKUP(D1187,tblProduct[],4,FALSE)</f>
        <v>70000</v>
      </c>
      <c r="P1187">
        <v>343.31</v>
      </c>
      <c r="Q1187" s="19" t="str">
        <f t="shared" si="18"/>
        <v>Jul-2024</v>
      </c>
      <c r="R1187" s="26">
        <f>DATE(YEAR(tblEnriched[[#This Row],[Date]]),MONTH(tblEnriched[[#This Row],[Date]]),1)</f>
        <v>45474</v>
      </c>
    </row>
    <row r="1188" spans="1:18">
      <c r="A1188" t="s">
        <v>4240</v>
      </c>
      <c r="B1188" s="10">
        <v>45248</v>
      </c>
      <c r="C1188" t="s">
        <v>4241</v>
      </c>
      <c r="D1188" t="s">
        <v>22</v>
      </c>
      <c r="E1188">
        <v>1</v>
      </c>
      <c r="F1188" s="4">
        <v>163.32</v>
      </c>
      <c r="G1188" t="s">
        <v>71</v>
      </c>
      <c r="H1188" t="s">
        <v>25</v>
      </c>
      <c r="I1188">
        <v>6</v>
      </c>
      <c r="J1188" t="s">
        <v>87</v>
      </c>
      <c r="K1188" t="s">
        <v>51</v>
      </c>
      <c r="L1188" s="4">
        <v>163.32</v>
      </c>
      <c r="M1188" t="str">
        <f>VLOOKUP(D1188,tblProduct[],2,FALSE)</f>
        <v>Electronics</v>
      </c>
      <c r="N1188" t="str">
        <f>VLOOKUP(D1188,tblProduct[],3,FALSE)</f>
        <v>Medium</v>
      </c>
      <c r="O1188">
        <f>VLOOKUP(D1188,tblProduct[],4,FALSE)</f>
        <v>90000</v>
      </c>
      <c r="P1188">
        <v>163.32</v>
      </c>
      <c r="Q1188" s="19" t="str">
        <f t="shared" si="18"/>
        <v>Nov-2023</v>
      </c>
      <c r="R1188" s="26">
        <f>DATE(YEAR(tblEnriched[[#This Row],[Date]]),MONTH(tblEnriched[[#This Row],[Date]]),1)</f>
        <v>45231</v>
      </c>
    </row>
    <row r="1189" spans="1:18">
      <c r="A1189" t="s">
        <v>4244</v>
      </c>
      <c r="B1189" s="10">
        <v>45364</v>
      </c>
      <c r="C1189" t="s">
        <v>4245</v>
      </c>
      <c r="D1189" t="s">
        <v>79</v>
      </c>
      <c r="E1189">
        <v>2</v>
      </c>
      <c r="F1189" s="4">
        <v>184.6</v>
      </c>
      <c r="G1189" t="s">
        <v>66</v>
      </c>
      <c r="H1189" t="s">
        <v>56</v>
      </c>
      <c r="I1189">
        <v>7</v>
      </c>
      <c r="J1189" t="s">
        <v>87</v>
      </c>
      <c r="K1189" t="s">
        <v>44</v>
      </c>
      <c r="L1189" s="4">
        <v>369.2</v>
      </c>
      <c r="M1189" t="str">
        <f>VLOOKUP(D1189,tblProduct[],2,FALSE)</f>
        <v>Furniture</v>
      </c>
      <c r="N1189" t="str">
        <f>VLOOKUP(D1189,tblProduct[],3,FALSE)</f>
        <v>High</v>
      </c>
      <c r="O1189">
        <f>VLOOKUP(D1189,tblProduct[],4,FALSE)</f>
        <v>75000</v>
      </c>
      <c r="P1189">
        <v>369.2</v>
      </c>
      <c r="Q1189" s="19" t="str">
        <f t="shared" si="18"/>
        <v>Mar-2024</v>
      </c>
      <c r="R1189" s="26">
        <f>DATE(YEAR(tblEnriched[[#This Row],[Date]]),MONTH(tblEnriched[[#This Row],[Date]]),1)</f>
        <v>45352</v>
      </c>
    </row>
    <row r="1190" spans="1:18">
      <c r="A1190" t="s">
        <v>4247</v>
      </c>
      <c r="B1190" s="10">
        <v>45206</v>
      </c>
      <c r="C1190" t="s">
        <v>4248</v>
      </c>
      <c r="D1190" t="s">
        <v>54</v>
      </c>
      <c r="E1190">
        <v>2</v>
      </c>
      <c r="F1190" s="4">
        <v>371.29</v>
      </c>
      <c r="G1190" t="s">
        <v>66</v>
      </c>
      <c r="H1190" t="s">
        <v>25</v>
      </c>
      <c r="I1190">
        <v>5</v>
      </c>
      <c r="J1190" t="s">
        <v>87</v>
      </c>
      <c r="K1190" t="s">
        <v>51</v>
      </c>
      <c r="L1190" s="4">
        <v>742.58</v>
      </c>
      <c r="M1190" t="str">
        <f>VLOOKUP(D1190,tblProduct[],2,FALSE)</f>
        <v>Electronics</v>
      </c>
      <c r="N1190" t="str">
        <f>VLOOKUP(D1190,tblProduct[],3,FALSE)</f>
        <v>Medium</v>
      </c>
      <c r="O1190">
        <f>VLOOKUP(D1190,tblProduct[],4,FALSE)</f>
        <v>80000</v>
      </c>
      <c r="P1190">
        <v>742.58</v>
      </c>
      <c r="Q1190" s="19" t="str">
        <f t="shared" si="18"/>
        <v>Oct-2023</v>
      </c>
      <c r="R1190" s="26">
        <f>DATE(YEAR(tblEnriched[[#This Row],[Date]]),MONTH(tblEnriched[[#This Row],[Date]]),1)</f>
        <v>45200</v>
      </c>
    </row>
    <row r="1191" spans="1:18">
      <c r="A1191" t="s">
        <v>4251</v>
      </c>
      <c r="B1191" s="10">
        <v>45521</v>
      </c>
      <c r="C1191" t="s">
        <v>4252</v>
      </c>
      <c r="D1191" t="s">
        <v>38</v>
      </c>
      <c r="E1191">
        <v>5</v>
      </c>
      <c r="F1191" s="4">
        <v>389.22</v>
      </c>
      <c r="G1191" t="s">
        <v>71</v>
      </c>
      <c r="H1191" t="s">
        <v>41</v>
      </c>
      <c r="I1191">
        <v>7</v>
      </c>
      <c r="K1191" t="s">
        <v>35</v>
      </c>
      <c r="L1191" s="4">
        <v>1946.1</v>
      </c>
      <c r="M1191" t="str">
        <f>VLOOKUP(D1191,tblProduct[],2,FALSE)</f>
        <v>Electronics</v>
      </c>
      <c r="N1191" t="str">
        <f>VLOOKUP(D1191,tblProduct[],3,FALSE)</f>
        <v>Medium</v>
      </c>
      <c r="O1191">
        <f>VLOOKUP(D1191,tblProduct[],4,FALSE)</f>
        <v>100000</v>
      </c>
      <c r="P1191">
        <v>1946.1</v>
      </c>
      <c r="Q1191" s="19" t="str">
        <f t="shared" si="18"/>
        <v>Aug-2024</v>
      </c>
      <c r="R1191" s="26">
        <f>DATE(YEAR(tblEnriched[[#This Row],[Date]]),MONTH(tblEnriched[[#This Row],[Date]]),1)</f>
        <v>45505</v>
      </c>
    </row>
    <row r="1192" spans="1:18">
      <c r="A1192" t="s">
        <v>4255</v>
      </c>
      <c r="B1192" s="10">
        <v>45816</v>
      </c>
      <c r="C1192" t="s">
        <v>4256</v>
      </c>
      <c r="D1192" t="s">
        <v>79</v>
      </c>
      <c r="E1192">
        <v>3</v>
      </c>
      <c r="F1192" s="4">
        <v>616.39</v>
      </c>
      <c r="G1192" t="s">
        <v>40</v>
      </c>
      <c r="H1192" t="s">
        <v>25</v>
      </c>
      <c r="I1192">
        <v>6</v>
      </c>
      <c r="J1192" t="s">
        <v>43</v>
      </c>
      <c r="K1192" t="s">
        <v>28</v>
      </c>
      <c r="L1192" s="4">
        <v>1849.17</v>
      </c>
      <c r="M1192" t="str">
        <f>VLOOKUP(D1192,tblProduct[],2,FALSE)</f>
        <v>Furniture</v>
      </c>
      <c r="N1192" t="str">
        <f>VLOOKUP(D1192,tblProduct[],3,FALSE)</f>
        <v>High</v>
      </c>
      <c r="O1192">
        <f>VLOOKUP(D1192,tblProduct[],4,FALSE)</f>
        <v>75000</v>
      </c>
      <c r="P1192">
        <v>1849.17</v>
      </c>
      <c r="Q1192" s="19" t="str">
        <f t="shared" si="18"/>
        <v>Jun-2025</v>
      </c>
      <c r="R1192" s="26">
        <f>DATE(YEAR(tblEnriched[[#This Row],[Date]]),MONTH(tblEnriched[[#This Row],[Date]]),1)</f>
        <v>45809</v>
      </c>
    </row>
    <row r="1193" spans="1:18">
      <c r="A1193" t="s">
        <v>4259</v>
      </c>
      <c r="B1193" s="10">
        <v>45698</v>
      </c>
      <c r="C1193" t="s">
        <v>4260</v>
      </c>
      <c r="D1193" t="s">
        <v>79</v>
      </c>
      <c r="E1193">
        <v>4</v>
      </c>
      <c r="F1193" s="4">
        <v>376.43</v>
      </c>
      <c r="G1193" t="s">
        <v>66</v>
      </c>
      <c r="H1193" t="s">
        <v>95</v>
      </c>
      <c r="I1193">
        <v>5</v>
      </c>
      <c r="J1193" t="s">
        <v>87</v>
      </c>
      <c r="K1193" t="s">
        <v>28</v>
      </c>
      <c r="L1193" s="4">
        <v>1505.72</v>
      </c>
      <c r="M1193" t="str">
        <f>VLOOKUP(D1193,tblProduct[],2,FALSE)</f>
        <v>Furniture</v>
      </c>
      <c r="N1193" t="str">
        <f>VLOOKUP(D1193,tblProduct[],3,FALSE)</f>
        <v>High</v>
      </c>
      <c r="O1193">
        <f>VLOOKUP(D1193,tblProduct[],4,FALSE)</f>
        <v>75000</v>
      </c>
      <c r="P1193">
        <v>1505.72</v>
      </c>
      <c r="Q1193" s="19" t="str">
        <f t="shared" si="18"/>
        <v>Feb-2025</v>
      </c>
      <c r="R1193" s="26">
        <f>DATE(YEAR(tblEnriched[[#This Row],[Date]]),MONTH(tblEnriched[[#This Row],[Date]]),1)</f>
        <v>45689</v>
      </c>
    </row>
    <row r="1194" spans="1:18">
      <c r="A1194" t="s">
        <v>4262</v>
      </c>
      <c r="B1194" s="10">
        <v>45350</v>
      </c>
      <c r="C1194" t="s">
        <v>4263</v>
      </c>
      <c r="D1194" t="s">
        <v>47</v>
      </c>
      <c r="E1194">
        <v>3</v>
      </c>
      <c r="F1194" s="4">
        <v>432.85</v>
      </c>
      <c r="G1194" t="s">
        <v>33</v>
      </c>
      <c r="H1194" t="s">
        <v>95</v>
      </c>
      <c r="I1194">
        <v>4</v>
      </c>
      <c r="K1194" t="s">
        <v>28</v>
      </c>
      <c r="L1194" s="4">
        <v>1298.55</v>
      </c>
      <c r="M1194" t="str">
        <f>VLOOKUP(D1194,tblProduct[],2,FALSE)</f>
        <v>Furniture</v>
      </c>
      <c r="N1194" t="str">
        <f>VLOOKUP(D1194,tblProduct[],3,FALSE)</f>
        <v>Medium</v>
      </c>
      <c r="O1194">
        <f>VLOOKUP(D1194,tblProduct[],4,FALSE)</f>
        <v>70000</v>
      </c>
      <c r="P1194">
        <v>1298.55</v>
      </c>
      <c r="Q1194" s="19" t="str">
        <f t="shared" si="18"/>
        <v>Feb-2024</v>
      </c>
      <c r="R1194" s="26">
        <f>DATE(YEAR(tblEnriched[[#This Row],[Date]]),MONTH(tblEnriched[[#This Row],[Date]]),1)</f>
        <v>45323</v>
      </c>
    </row>
    <row r="1195" spans="1:18">
      <c r="A1195" t="s">
        <v>4265</v>
      </c>
      <c r="B1195" s="10">
        <v>45824</v>
      </c>
      <c r="C1195" t="s">
        <v>4266</v>
      </c>
      <c r="D1195" t="s">
        <v>38</v>
      </c>
      <c r="E1195">
        <v>1</v>
      </c>
      <c r="F1195" s="4">
        <v>687.89</v>
      </c>
      <c r="G1195" t="s">
        <v>71</v>
      </c>
      <c r="H1195" t="s">
        <v>49</v>
      </c>
      <c r="I1195">
        <v>1</v>
      </c>
      <c r="J1195" t="s">
        <v>43</v>
      </c>
      <c r="K1195" t="s">
        <v>44</v>
      </c>
      <c r="L1195" s="4">
        <v>687.89</v>
      </c>
      <c r="M1195" t="str">
        <f>VLOOKUP(D1195,tblProduct[],2,FALSE)</f>
        <v>Electronics</v>
      </c>
      <c r="N1195" t="str">
        <f>VLOOKUP(D1195,tblProduct[],3,FALSE)</f>
        <v>Medium</v>
      </c>
      <c r="O1195">
        <f>VLOOKUP(D1195,tblProduct[],4,FALSE)</f>
        <v>100000</v>
      </c>
      <c r="P1195">
        <v>687.89</v>
      </c>
      <c r="Q1195" s="19" t="str">
        <f t="shared" si="18"/>
        <v>Jun-2025</v>
      </c>
      <c r="R1195" s="26">
        <f>DATE(YEAR(tblEnriched[[#This Row],[Date]]),MONTH(tblEnriched[[#This Row],[Date]]),1)</f>
        <v>45809</v>
      </c>
    </row>
    <row r="1196" spans="1:18">
      <c r="A1196" t="s">
        <v>4268</v>
      </c>
      <c r="B1196" s="10">
        <v>45249</v>
      </c>
      <c r="C1196" t="s">
        <v>4269</v>
      </c>
      <c r="D1196" t="s">
        <v>54</v>
      </c>
      <c r="E1196">
        <v>3</v>
      </c>
      <c r="F1196" s="4">
        <v>189.44</v>
      </c>
      <c r="G1196" t="s">
        <v>71</v>
      </c>
      <c r="H1196" t="s">
        <v>95</v>
      </c>
      <c r="I1196">
        <v>4</v>
      </c>
      <c r="J1196" t="s">
        <v>43</v>
      </c>
      <c r="K1196" t="s">
        <v>44</v>
      </c>
      <c r="L1196" s="4">
        <v>568.31999999999994</v>
      </c>
      <c r="M1196" t="str">
        <f>VLOOKUP(D1196,tblProduct[],2,FALSE)</f>
        <v>Electronics</v>
      </c>
      <c r="N1196" t="str">
        <f>VLOOKUP(D1196,tblProduct[],3,FALSE)</f>
        <v>Medium</v>
      </c>
      <c r="O1196">
        <f>VLOOKUP(D1196,tblProduct[],4,FALSE)</f>
        <v>80000</v>
      </c>
      <c r="P1196">
        <v>568.31999999999994</v>
      </c>
      <c r="Q1196" s="19" t="str">
        <f t="shared" si="18"/>
        <v>Nov-2023</v>
      </c>
      <c r="R1196" s="26">
        <f>DATE(YEAR(tblEnriched[[#This Row],[Date]]),MONTH(tblEnriched[[#This Row],[Date]]),1)</f>
        <v>45231</v>
      </c>
    </row>
    <row r="1197" spans="1:18">
      <c r="A1197" t="s">
        <v>4271</v>
      </c>
      <c r="B1197" s="10">
        <v>45463</v>
      </c>
      <c r="C1197" t="s">
        <v>4272</v>
      </c>
      <c r="D1197" t="s">
        <v>79</v>
      </c>
      <c r="E1197">
        <v>1</v>
      </c>
      <c r="F1197" s="4">
        <v>107.04</v>
      </c>
      <c r="G1197" t="s">
        <v>40</v>
      </c>
      <c r="H1197" t="s">
        <v>41</v>
      </c>
      <c r="I1197">
        <v>6</v>
      </c>
      <c r="J1197" t="s">
        <v>43</v>
      </c>
      <c r="K1197" t="s">
        <v>82</v>
      </c>
      <c r="L1197" s="4">
        <v>107.04</v>
      </c>
      <c r="M1197" t="str">
        <f>VLOOKUP(D1197,tblProduct[],2,FALSE)</f>
        <v>Furniture</v>
      </c>
      <c r="N1197" t="str">
        <f>VLOOKUP(D1197,tblProduct[],3,FALSE)</f>
        <v>High</v>
      </c>
      <c r="O1197">
        <f>VLOOKUP(D1197,tblProduct[],4,FALSE)</f>
        <v>75000</v>
      </c>
      <c r="P1197">
        <v>107.04</v>
      </c>
      <c r="Q1197" s="19" t="str">
        <f t="shared" si="18"/>
        <v>Jun-2024</v>
      </c>
      <c r="R1197" s="26">
        <f>DATE(YEAR(tblEnriched[[#This Row],[Date]]),MONTH(tblEnriched[[#This Row],[Date]]),1)</f>
        <v>45444</v>
      </c>
    </row>
    <row r="1198" spans="1:18">
      <c r="A1198" t="s">
        <v>4275</v>
      </c>
      <c r="B1198" s="10">
        <v>45355</v>
      </c>
      <c r="C1198" t="s">
        <v>4276</v>
      </c>
      <c r="D1198" t="s">
        <v>22</v>
      </c>
      <c r="E1198">
        <v>2</v>
      </c>
      <c r="F1198" s="4">
        <v>662.53</v>
      </c>
      <c r="G1198" t="s">
        <v>33</v>
      </c>
      <c r="H1198" t="s">
        <v>41</v>
      </c>
      <c r="I1198">
        <v>5</v>
      </c>
      <c r="K1198" t="s">
        <v>51</v>
      </c>
      <c r="L1198" s="4">
        <v>1325.06</v>
      </c>
      <c r="M1198" t="str">
        <f>VLOOKUP(D1198,tblProduct[],2,FALSE)</f>
        <v>Electronics</v>
      </c>
      <c r="N1198" t="str">
        <f>VLOOKUP(D1198,tblProduct[],3,FALSE)</f>
        <v>Medium</v>
      </c>
      <c r="O1198">
        <f>VLOOKUP(D1198,tblProduct[],4,FALSE)</f>
        <v>90000</v>
      </c>
      <c r="P1198">
        <v>1325.06</v>
      </c>
      <c r="Q1198" s="19" t="str">
        <f t="shared" si="18"/>
        <v>Mar-2024</v>
      </c>
      <c r="R1198" s="26">
        <f>DATE(YEAR(tblEnriched[[#This Row],[Date]]),MONTH(tblEnriched[[#This Row],[Date]]),1)</f>
        <v>45352</v>
      </c>
    </row>
    <row r="1199" spans="1:18">
      <c r="A1199" t="s">
        <v>4278</v>
      </c>
      <c r="B1199" s="10">
        <v>45120</v>
      </c>
      <c r="C1199" t="s">
        <v>4279</v>
      </c>
      <c r="D1199" t="s">
        <v>38</v>
      </c>
      <c r="E1199">
        <v>2</v>
      </c>
      <c r="F1199" s="4">
        <v>436.84</v>
      </c>
      <c r="G1199" t="s">
        <v>33</v>
      </c>
      <c r="H1199" t="s">
        <v>56</v>
      </c>
      <c r="I1199">
        <v>2</v>
      </c>
      <c r="J1199" t="s">
        <v>43</v>
      </c>
      <c r="K1199" t="s">
        <v>28</v>
      </c>
      <c r="L1199" s="4">
        <v>873.68</v>
      </c>
      <c r="M1199" t="str">
        <f>VLOOKUP(D1199,tblProduct[],2,FALSE)</f>
        <v>Electronics</v>
      </c>
      <c r="N1199" t="str">
        <f>VLOOKUP(D1199,tblProduct[],3,FALSE)</f>
        <v>Medium</v>
      </c>
      <c r="O1199">
        <f>VLOOKUP(D1199,tblProduct[],4,FALSE)</f>
        <v>100000</v>
      </c>
      <c r="P1199">
        <v>873.68</v>
      </c>
      <c r="Q1199" s="19" t="str">
        <f t="shared" si="18"/>
        <v>Jul-2023</v>
      </c>
      <c r="R1199" s="26">
        <f>DATE(YEAR(tblEnriched[[#This Row],[Date]]),MONTH(tblEnriched[[#This Row],[Date]]),1)</f>
        <v>45108</v>
      </c>
    </row>
    <row r="1200" spans="1:18">
      <c r="A1200" t="s">
        <v>4281</v>
      </c>
      <c r="B1200" s="10">
        <v>45526</v>
      </c>
      <c r="C1200" t="s">
        <v>4282</v>
      </c>
      <c r="D1200" t="s">
        <v>47</v>
      </c>
      <c r="E1200">
        <v>4</v>
      </c>
      <c r="F1200" s="4">
        <v>262.52</v>
      </c>
      <c r="G1200" t="s">
        <v>24</v>
      </c>
      <c r="H1200" t="s">
        <v>41</v>
      </c>
      <c r="I1200">
        <v>4</v>
      </c>
      <c r="J1200" t="s">
        <v>87</v>
      </c>
      <c r="K1200" t="s">
        <v>28</v>
      </c>
      <c r="L1200" s="4">
        <v>1050.08</v>
      </c>
      <c r="M1200" t="str">
        <f>VLOOKUP(D1200,tblProduct[],2,FALSE)</f>
        <v>Furniture</v>
      </c>
      <c r="N1200" t="str">
        <f>VLOOKUP(D1200,tblProduct[],3,FALSE)</f>
        <v>Medium</v>
      </c>
      <c r="O1200">
        <f>VLOOKUP(D1200,tblProduct[],4,FALSE)</f>
        <v>70000</v>
      </c>
      <c r="P1200">
        <v>1050.08</v>
      </c>
      <c r="Q1200" s="19" t="str">
        <f t="shared" si="18"/>
        <v>Aug-2024</v>
      </c>
      <c r="R1200" s="26">
        <f>DATE(YEAR(tblEnriched[[#This Row],[Date]]),MONTH(tblEnriched[[#This Row],[Date]]),1)</f>
        <v>45505</v>
      </c>
    </row>
    <row r="1201" spans="1:18">
      <c r="A1201" t="s">
        <v>4285</v>
      </c>
      <c r="B1201" s="10">
        <v>45088</v>
      </c>
      <c r="C1201" t="s">
        <v>4286</v>
      </c>
      <c r="D1201" t="s">
        <v>38</v>
      </c>
      <c r="E1201">
        <v>4</v>
      </c>
      <c r="F1201" s="4">
        <v>560.58000000000004</v>
      </c>
      <c r="G1201" t="s">
        <v>66</v>
      </c>
      <c r="H1201" t="s">
        <v>49</v>
      </c>
      <c r="I1201">
        <v>6</v>
      </c>
      <c r="J1201" t="s">
        <v>27</v>
      </c>
      <c r="K1201" t="s">
        <v>35</v>
      </c>
      <c r="L1201" s="4">
        <v>2242.3200000000002</v>
      </c>
      <c r="M1201" t="str">
        <f>VLOOKUP(D1201,tblProduct[],2,FALSE)</f>
        <v>Electronics</v>
      </c>
      <c r="N1201" t="str">
        <f>VLOOKUP(D1201,tblProduct[],3,FALSE)</f>
        <v>Medium</v>
      </c>
      <c r="O1201">
        <f>VLOOKUP(D1201,tblProduct[],4,FALSE)</f>
        <v>100000</v>
      </c>
      <c r="P1201">
        <v>2242.3200000000002</v>
      </c>
      <c r="Q1201" s="19" t="str">
        <f t="shared" si="18"/>
        <v>Jun-2023</v>
      </c>
      <c r="R1201" s="26">
        <f>DATE(YEAR(tblEnriched[[#This Row],[Date]]),MONTH(tblEnriched[[#This Row],[Date]]),1)</f>
        <v>45078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14984-3AFC-4644-902B-9868BED6E2C5}">
  <sheetPr codeName="Sheet4"/>
  <dimension ref="A1:B14"/>
  <sheetViews>
    <sheetView workbookViewId="0">
      <selection activeCell="A22" sqref="A22"/>
    </sheetView>
  </sheetViews>
  <sheetFormatPr defaultRowHeight="14.4"/>
  <cols>
    <col min="1" max="1" width="58.88671875" customWidth="1"/>
    <col min="2" max="2" width="29.5546875" customWidth="1"/>
  </cols>
  <sheetData>
    <row r="1" spans="1:2" ht="19.8">
      <c r="A1" s="13" t="s">
        <v>4309</v>
      </c>
    </row>
    <row r="3" spans="1:2">
      <c r="A3" s="14" t="s">
        <v>4310</v>
      </c>
      <c r="B3" s="14" t="s">
        <v>4321</v>
      </c>
    </row>
    <row r="4" spans="1:2">
      <c r="A4" s="9" t="s">
        <v>4311</v>
      </c>
      <c r="B4">
        <f>COUNTA(tblEnriched[OrderID])</f>
        <v>1200</v>
      </c>
    </row>
    <row r="5" spans="1:2">
      <c r="A5" s="9" t="s">
        <v>4312</v>
      </c>
      <c r="B5">
        <f>SUM(tblEnriched[TotalPrice])</f>
        <v>1264761.9600000004</v>
      </c>
    </row>
    <row r="6" spans="1:2">
      <c r="A6" s="9" t="s">
        <v>4313</v>
      </c>
      <c r="B6">
        <f>IFERROR(B5/B4,0)</f>
        <v>1053.9683000000005</v>
      </c>
    </row>
    <row r="7" spans="1:2">
      <c r="A7" s="9" t="s">
        <v>4314</v>
      </c>
      <c r="B7">
        <f>SUM(tblEnriched[Quantity])</f>
        <v>3535</v>
      </c>
    </row>
    <row r="8" spans="1:2">
      <c r="A8" s="9" t="s">
        <v>4315</v>
      </c>
      <c r="B8">
        <f>COUNTIF(tblEnriched[OrderStatus],"Delivered")</f>
        <v>231</v>
      </c>
    </row>
    <row r="9" spans="1:2">
      <c r="A9" t="s">
        <v>4322</v>
      </c>
      <c r="B9" s="15">
        <f>COUNTIF(tblEnriched[OrderStatus],"Shipped")</f>
        <v>235</v>
      </c>
    </row>
    <row r="10" spans="1:2">
      <c r="A10" s="9" t="s">
        <v>4316</v>
      </c>
      <c r="B10">
        <f>COUNTIF(tblEnriched[OrderStatus],"Pending")</f>
        <v>237</v>
      </c>
    </row>
    <row r="11" spans="1:2">
      <c r="A11" s="9" t="s">
        <v>4317</v>
      </c>
      <c r="B11">
        <f>COUNTIF(tblEnriched[OrderStatus],"Cancelled")</f>
        <v>250</v>
      </c>
    </row>
    <row r="12" spans="1:2">
      <c r="A12" s="9" t="s">
        <v>4318</v>
      </c>
      <c r="B12">
        <f>COUNTIF(tblEnriched[OrderStatus],"Returned")</f>
        <v>247</v>
      </c>
    </row>
    <row r="13" spans="1:2">
      <c r="A13" s="9" t="s">
        <v>4319</v>
      </c>
      <c r="B13">
        <f>COUNTIF(tblEnriched[OrderStatus],"Cancelled")/COUNTA(tblEnriched[OrderID])</f>
        <v>0.20833333333333334</v>
      </c>
    </row>
    <row r="14" spans="1:2">
      <c r="A14" s="9" t="s">
        <v>4320</v>
      </c>
      <c r="B14">
        <f>COUNTIF(tblEnriched[OrderStatus],"Returned")/COUNTA(tblEnriched[OrderID])</f>
        <v>0.20583333333333334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5751-68AB-4E5F-9A11-8D44EC555EFE}">
  <sheetPr codeName="Sheet5"/>
  <dimension ref="A3:AF34"/>
  <sheetViews>
    <sheetView zoomScale="71" zoomScaleNormal="71" workbookViewId="0">
      <selection activeCell="T26" sqref="T26"/>
    </sheetView>
  </sheetViews>
  <sheetFormatPr defaultRowHeight="14.4"/>
  <cols>
    <col min="1" max="1" width="13.77734375" bestFit="1" customWidth="1"/>
    <col min="2" max="2" width="16.5546875" bestFit="1" customWidth="1"/>
    <col min="3" max="3" width="5" bestFit="1" customWidth="1"/>
    <col min="4" max="4" width="13.77734375" bestFit="1" customWidth="1"/>
    <col min="5" max="5" width="16.5546875" bestFit="1" customWidth="1"/>
    <col min="6" max="6" width="6.44140625" bestFit="1" customWidth="1"/>
    <col min="7" max="7" width="13.77734375" bestFit="1" customWidth="1"/>
    <col min="8" max="8" width="15.88671875" customWidth="1"/>
    <col min="9" max="9" width="16.5546875" customWidth="1"/>
    <col min="11" max="11" width="13.77734375" bestFit="1" customWidth="1"/>
    <col min="12" max="12" width="16.5546875" bestFit="1" customWidth="1"/>
    <col min="13" max="13" width="13.77734375" bestFit="1" customWidth="1"/>
    <col min="14" max="14" width="16.5546875" bestFit="1" customWidth="1"/>
    <col min="15" max="15" width="15.88671875" bestFit="1" customWidth="1"/>
    <col min="16" max="16" width="15.6640625" bestFit="1" customWidth="1"/>
    <col min="18" max="18" width="13.77734375" bestFit="1" customWidth="1"/>
    <col min="19" max="19" width="15.88671875" bestFit="1" customWidth="1"/>
    <col min="20" max="20" width="16.5546875" bestFit="1" customWidth="1"/>
    <col min="23" max="23" width="13.77734375" bestFit="1" customWidth="1"/>
    <col min="24" max="25" width="16.5546875" bestFit="1" customWidth="1"/>
    <col min="31" max="31" width="13.77734375" bestFit="1" customWidth="1"/>
    <col min="32" max="32" width="15.88671875" bestFit="1" customWidth="1"/>
  </cols>
  <sheetData>
    <row r="3" spans="1:32">
      <c r="A3" s="16" t="s">
        <v>4326</v>
      </c>
      <c r="B3" t="s">
        <v>4324</v>
      </c>
      <c r="D3" s="16" t="s">
        <v>4326</v>
      </c>
      <c r="E3" t="s">
        <v>4324</v>
      </c>
      <c r="G3" s="16" t="s">
        <v>4326</v>
      </c>
      <c r="H3" t="s">
        <v>4357</v>
      </c>
      <c r="I3" t="s">
        <v>4324</v>
      </c>
      <c r="K3" s="16" t="s">
        <v>4326</v>
      </c>
      <c r="L3" t="s">
        <v>4324</v>
      </c>
      <c r="AE3" s="16" t="s">
        <v>4326</v>
      </c>
      <c r="AF3" t="s">
        <v>4357</v>
      </c>
    </row>
    <row r="4" spans="1:32">
      <c r="A4" s="17" t="s">
        <v>4327</v>
      </c>
      <c r="B4" s="29">
        <v>27751.710000000006</v>
      </c>
      <c r="D4" s="17" t="s">
        <v>47</v>
      </c>
      <c r="E4" s="29">
        <v>195620.11000000002</v>
      </c>
      <c r="G4" s="17" t="s">
        <v>41</v>
      </c>
      <c r="H4" s="29">
        <v>250</v>
      </c>
      <c r="I4" s="29">
        <v>276396.20999999996</v>
      </c>
      <c r="K4" s="17" t="s">
        <v>44</v>
      </c>
      <c r="L4" s="29">
        <v>261808.55000000002</v>
      </c>
      <c r="AE4" s="17" t="s">
        <v>71</v>
      </c>
      <c r="AF4" s="29">
        <v>246</v>
      </c>
    </row>
    <row r="5" spans="1:32">
      <c r="A5" s="17" t="s">
        <v>4328</v>
      </c>
      <c r="B5" s="29">
        <v>49613.139999999992</v>
      </c>
      <c r="D5" s="17" t="s">
        <v>79</v>
      </c>
      <c r="E5" s="29">
        <v>167459.93</v>
      </c>
      <c r="G5" s="17" t="s">
        <v>56</v>
      </c>
      <c r="H5" s="29">
        <v>231</v>
      </c>
      <c r="I5" s="29">
        <v>242600.31999999998</v>
      </c>
      <c r="K5" s="17" t="s">
        <v>51</v>
      </c>
      <c r="L5" s="29">
        <v>250410.9</v>
      </c>
      <c r="AE5" s="17" t="s">
        <v>40</v>
      </c>
      <c r="AF5" s="29">
        <v>234</v>
      </c>
    </row>
    <row r="6" spans="1:32">
      <c r="A6" s="17" t="s">
        <v>4329</v>
      </c>
      <c r="B6" s="29">
        <v>31821.200000000001</v>
      </c>
      <c r="D6" s="17" t="s">
        <v>64</v>
      </c>
      <c r="E6" s="29">
        <v>192126.55999999994</v>
      </c>
      <c r="G6" s="17" t="s">
        <v>95</v>
      </c>
      <c r="H6" s="29">
        <v>237</v>
      </c>
      <c r="I6" s="29">
        <v>256328.15000000002</v>
      </c>
      <c r="K6" s="17" t="s">
        <v>82</v>
      </c>
      <c r="L6" s="29">
        <v>250441.47999999998</v>
      </c>
      <c r="AE6" s="17" t="s">
        <v>24</v>
      </c>
      <c r="AF6" s="29">
        <v>232</v>
      </c>
    </row>
    <row r="7" spans="1:32">
      <c r="A7" s="17" t="s">
        <v>4330</v>
      </c>
      <c r="B7" s="29">
        <v>54352.14</v>
      </c>
      <c r="D7" s="17" t="s">
        <v>22</v>
      </c>
      <c r="E7" s="29">
        <v>175651.40999999997</v>
      </c>
      <c r="G7" s="17" t="s">
        <v>49</v>
      </c>
      <c r="H7" s="29">
        <v>247</v>
      </c>
      <c r="I7" s="29">
        <v>243277.70000000013</v>
      </c>
      <c r="K7" s="17" t="s">
        <v>28</v>
      </c>
      <c r="L7" s="29">
        <v>275285.45000000007</v>
      </c>
      <c r="AE7" s="17" t="s">
        <v>66</v>
      </c>
      <c r="AF7" s="29">
        <v>230</v>
      </c>
    </row>
    <row r="8" spans="1:32">
      <c r="A8" s="17" t="s">
        <v>4331</v>
      </c>
      <c r="B8" s="29">
        <v>31991.07</v>
      </c>
      <c r="D8" s="17" t="s">
        <v>31</v>
      </c>
      <c r="E8" s="29">
        <v>151722.39000000001</v>
      </c>
      <c r="G8" s="17" t="s">
        <v>25</v>
      </c>
      <c r="H8" s="29">
        <v>235</v>
      </c>
      <c r="I8" s="29">
        <v>246159.57999999987</v>
      </c>
      <c r="K8" s="17" t="s">
        <v>35</v>
      </c>
      <c r="L8" s="29">
        <v>226815.5799999999</v>
      </c>
      <c r="AE8" s="17" t="s">
        <v>33</v>
      </c>
      <c r="AF8" s="29">
        <v>258</v>
      </c>
    </row>
    <row r="9" spans="1:32">
      <c r="A9" s="17" t="s">
        <v>4332</v>
      </c>
      <c r="B9" s="29">
        <v>43754.729999999981</v>
      </c>
      <c r="D9" s="17" t="s">
        <v>54</v>
      </c>
      <c r="E9" s="29">
        <v>195612.60999999996</v>
      </c>
      <c r="G9" s="17" t="s">
        <v>4325</v>
      </c>
      <c r="H9" s="29">
        <v>1200</v>
      </c>
      <c r="I9" s="29">
        <v>1264761.9600000014</v>
      </c>
      <c r="K9" s="17" t="s">
        <v>4325</v>
      </c>
      <c r="L9" s="29">
        <v>1264761.96</v>
      </c>
      <c r="AE9" s="17" t="s">
        <v>4325</v>
      </c>
      <c r="AF9" s="29">
        <v>1200</v>
      </c>
    </row>
    <row r="10" spans="1:32">
      <c r="A10" s="17" t="s">
        <v>4333</v>
      </c>
      <c r="B10" s="29">
        <v>38785.769999999997</v>
      </c>
      <c r="D10" s="17" t="s">
        <v>38</v>
      </c>
      <c r="E10" s="29">
        <v>186568.95000000007</v>
      </c>
    </row>
    <row r="11" spans="1:32">
      <c r="A11" s="17" t="s">
        <v>4334</v>
      </c>
      <c r="B11" s="29">
        <v>40117.659999999996</v>
      </c>
      <c r="D11" s="17" t="s">
        <v>4325</v>
      </c>
      <c r="E11" s="29">
        <v>1264761.96</v>
      </c>
    </row>
    <row r="12" spans="1:32">
      <c r="A12" s="17" t="s">
        <v>4335</v>
      </c>
      <c r="B12" s="29">
        <v>36909.570000000014</v>
      </c>
    </row>
    <row r="13" spans="1:32">
      <c r="A13" s="17" t="s">
        <v>4336</v>
      </c>
      <c r="B13" s="29">
        <v>35317.549999999996</v>
      </c>
    </row>
    <row r="14" spans="1:32">
      <c r="A14" s="17" t="s">
        <v>4337</v>
      </c>
      <c r="B14" s="29">
        <v>56685.749999999985</v>
      </c>
    </row>
    <row r="15" spans="1:32">
      <c r="A15" s="17" t="s">
        <v>4338</v>
      </c>
      <c r="B15" s="29">
        <v>38528.079999999994</v>
      </c>
    </row>
    <row r="16" spans="1:32">
      <c r="A16" s="17" t="s">
        <v>4339</v>
      </c>
      <c r="B16" s="29">
        <v>29099.399999999998</v>
      </c>
    </row>
    <row r="17" spans="1:2">
      <c r="A17" s="17" t="s">
        <v>4340</v>
      </c>
      <c r="B17" s="29">
        <v>42820.66</v>
      </c>
    </row>
    <row r="18" spans="1:2">
      <c r="A18" s="17" t="s">
        <v>4341</v>
      </c>
      <c r="B18" s="29">
        <v>42963.98</v>
      </c>
    </row>
    <row r="19" spans="1:2">
      <c r="A19" s="17" t="s">
        <v>4342</v>
      </c>
      <c r="B19" s="29">
        <v>49500.19</v>
      </c>
    </row>
    <row r="20" spans="1:2">
      <c r="A20" s="17" t="s">
        <v>4343</v>
      </c>
      <c r="B20" s="29">
        <v>68068.539999999979</v>
      </c>
    </row>
    <row r="21" spans="1:2">
      <c r="A21" s="17" t="s">
        <v>4344</v>
      </c>
      <c r="B21" s="29">
        <v>53047.399999999994</v>
      </c>
    </row>
    <row r="22" spans="1:2">
      <c r="A22" s="17" t="s">
        <v>4345</v>
      </c>
      <c r="B22" s="29">
        <v>48609.37000000001</v>
      </c>
    </row>
    <row r="23" spans="1:2">
      <c r="A23" s="17" t="s">
        <v>4346</v>
      </c>
      <c r="B23" s="29">
        <v>36030.899999999994</v>
      </c>
    </row>
    <row r="24" spans="1:2">
      <c r="A24" s="17" t="s">
        <v>4347</v>
      </c>
      <c r="B24" s="29">
        <v>39200.660000000011</v>
      </c>
    </row>
    <row r="25" spans="1:2">
      <c r="A25" s="17" t="s">
        <v>4348</v>
      </c>
      <c r="B25" s="29">
        <v>63836.840000000026</v>
      </c>
    </row>
    <row r="26" spans="1:2">
      <c r="A26" s="17" t="s">
        <v>4349</v>
      </c>
      <c r="B26" s="29">
        <v>27909.110000000004</v>
      </c>
    </row>
    <row r="27" spans="1:2">
      <c r="A27" s="17" t="s">
        <v>4350</v>
      </c>
      <c r="B27" s="29">
        <v>43396.639999999992</v>
      </c>
    </row>
    <row r="28" spans="1:2">
      <c r="A28" s="17" t="s">
        <v>4351</v>
      </c>
      <c r="B28" s="29">
        <v>43079.67</v>
      </c>
    </row>
    <row r="29" spans="1:2">
      <c r="A29" s="17" t="s">
        <v>4352</v>
      </c>
      <c r="B29" s="29">
        <v>32413.760000000006</v>
      </c>
    </row>
    <row r="30" spans="1:2">
      <c r="A30" s="17" t="s">
        <v>4353</v>
      </c>
      <c r="B30" s="29">
        <v>52607.85</v>
      </c>
    </row>
    <row r="31" spans="1:2">
      <c r="A31" s="17" t="s">
        <v>4354</v>
      </c>
      <c r="B31" s="29">
        <v>37226.969999999994</v>
      </c>
    </row>
    <row r="32" spans="1:2">
      <c r="A32" s="17" t="s">
        <v>4355</v>
      </c>
      <c r="B32" s="29">
        <v>29526.67</v>
      </c>
    </row>
    <row r="33" spans="1:2">
      <c r="A33" s="17" t="s">
        <v>4356</v>
      </c>
      <c r="B33" s="29">
        <v>39794.979999999996</v>
      </c>
    </row>
    <row r="34" spans="1:2">
      <c r="A34" s="17" t="s">
        <v>4325</v>
      </c>
      <c r="B34" s="29">
        <v>1264761.9600000002</v>
      </c>
    </row>
  </sheetData>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D5668-DE27-420D-8F8C-372538106961}">
  <sheetPr codeName="Sheet6"/>
  <dimension ref="A1:P5"/>
  <sheetViews>
    <sheetView topLeftCell="A4" zoomScale="42" zoomScaleNormal="55" workbookViewId="0">
      <selection activeCell="V18" sqref="V18"/>
    </sheetView>
  </sheetViews>
  <sheetFormatPr defaultRowHeight="14.4"/>
  <cols>
    <col min="1" max="1" width="18.6640625" customWidth="1"/>
    <col min="4" max="4" width="25.6640625" customWidth="1"/>
    <col min="6" max="6" width="7.88671875" customWidth="1"/>
    <col min="7" max="7" width="21.88671875" customWidth="1"/>
    <col min="10" max="10" width="22.6640625" customWidth="1"/>
    <col min="13" max="13" width="18.77734375" customWidth="1"/>
    <col min="16" max="16" width="18.33203125" customWidth="1"/>
  </cols>
  <sheetData>
    <row r="1" spans="1:16" ht="31.2">
      <c r="A1" s="31" t="s">
        <v>4358</v>
      </c>
      <c r="B1" s="27"/>
      <c r="C1" s="27"/>
      <c r="D1" s="27"/>
    </row>
    <row r="4" spans="1:16" ht="23.4">
      <c r="A4" s="20" t="s">
        <v>4311</v>
      </c>
      <c r="B4" s="21"/>
      <c r="C4" s="21"/>
      <c r="D4" s="20" t="s">
        <v>4312</v>
      </c>
      <c r="E4" s="20"/>
      <c r="F4" s="20"/>
      <c r="G4" s="20" t="s">
        <v>4359</v>
      </c>
      <c r="H4" s="20"/>
      <c r="I4" s="20"/>
      <c r="J4" s="20" t="s">
        <v>4314</v>
      </c>
      <c r="K4" s="20"/>
      <c r="L4" s="20"/>
      <c r="M4" s="20" t="s">
        <v>4360</v>
      </c>
      <c r="N4" s="20"/>
      <c r="O4" s="20"/>
      <c r="P4" s="20" t="s">
        <v>4320</v>
      </c>
    </row>
    <row r="5" spans="1:16" ht="23.4">
      <c r="A5" s="28">
        <f>'04_MIS_Report'!B4</f>
        <v>1200</v>
      </c>
      <c r="B5" s="21"/>
      <c r="C5" s="21"/>
      <c r="D5" s="23">
        <f>'04_MIS_Report'!B5</f>
        <v>1264761.9600000004</v>
      </c>
      <c r="E5" s="20"/>
      <c r="F5" s="20"/>
      <c r="G5" s="22">
        <f>'04_MIS_Report'!B6</f>
        <v>1053.9683000000005</v>
      </c>
      <c r="H5" s="20"/>
      <c r="I5" s="20"/>
      <c r="J5" s="23">
        <f>'04_MIS_Report'!B7</f>
        <v>3535</v>
      </c>
      <c r="K5" s="20"/>
      <c r="L5" s="20"/>
      <c r="M5" s="24">
        <f>'04_MIS_Report'!B13</f>
        <v>0.20833333333333334</v>
      </c>
      <c r="N5" s="20"/>
      <c r="O5" s="20"/>
      <c r="P5" s="24">
        <f>'04_MIS_Report'!B14</f>
        <v>0.20583333333333334</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9B0-48DD-4348-A3E7-99E0FEEC4FBD}">
  <sheetPr codeName="Sheet7"/>
  <dimension ref="A1:B11"/>
  <sheetViews>
    <sheetView workbookViewId="0">
      <selection activeCell="G8" sqref="G8"/>
    </sheetView>
  </sheetViews>
  <sheetFormatPr defaultRowHeight="14.4"/>
  <cols>
    <col min="1" max="1" width="23.44140625" customWidth="1"/>
    <col min="2" max="2" width="21.77734375" customWidth="1"/>
  </cols>
  <sheetData>
    <row r="1" spans="1:2" ht="36" customHeight="1">
      <c r="A1" s="30" t="s">
        <v>4362</v>
      </c>
      <c r="B1" s="30"/>
    </row>
    <row r="3" spans="1:2" ht="28.8">
      <c r="A3" s="9" t="s">
        <v>4363</v>
      </c>
      <c r="B3" s="9" t="s">
        <v>4364</v>
      </c>
    </row>
    <row r="4" spans="1:2" ht="43.2">
      <c r="A4" s="9" t="s">
        <v>4290</v>
      </c>
      <c r="B4" s="9" t="s">
        <v>4365</v>
      </c>
    </row>
    <row r="6" spans="1:2">
      <c r="A6" s="9" t="s">
        <v>4366</v>
      </c>
      <c r="B6" t="s">
        <v>4371</v>
      </c>
    </row>
    <row r="7" spans="1:2">
      <c r="A7" s="9"/>
    </row>
    <row r="8" spans="1:2">
      <c r="A8" s="9" t="s">
        <v>4367</v>
      </c>
    </row>
    <row r="9" spans="1:2" ht="28.8">
      <c r="A9" s="9" t="s">
        <v>4368</v>
      </c>
    </row>
    <row r="10" spans="1:2" ht="28.8">
      <c r="A10" s="9" t="s">
        <v>4369</v>
      </c>
    </row>
    <row r="11" spans="1:2" ht="43.2">
      <c r="A11" s="9" t="s">
        <v>4370</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RefreshMISReport">
                <anchor moveWithCells="1">
                  <from>
                    <xdr:col>1</xdr:col>
                    <xdr:colOff>0</xdr:colOff>
                    <xdr:row>8</xdr:row>
                    <xdr:rowOff>0</xdr:rowOff>
                  </from>
                  <to>
                    <xdr:col>2</xdr:col>
                    <xdr:colOff>7620</xdr:colOff>
                    <xdr:row>9</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9"/>
  <sheetViews>
    <sheetView tabSelected="1" topLeftCell="B1" workbookViewId="0">
      <pane ySplit="2" topLeftCell="A3" activePane="bottomLeft" state="frozen"/>
      <selection pane="bottomLeft" activeCell="B1" sqref="B1"/>
    </sheetView>
  </sheetViews>
  <sheetFormatPr defaultRowHeight="14.4"/>
  <cols>
    <col min="1" max="1" width="35" customWidth="1"/>
    <col min="2" max="2" width="146.88671875" customWidth="1"/>
    <col min="3" max="3" width="53.6640625" customWidth="1"/>
  </cols>
  <sheetData>
    <row r="1" spans="1:2" ht="21">
      <c r="A1" s="5" t="s">
        <v>4289</v>
      </c>
    </row>
    <row r="3" spans="1:2">
      <c r="A3" t="s">
        <v>4290</v>
      </c>
      <c r="B3" t="s">
        <v>4291</v>
      </c>
    </row>
    <row r="4" spans="1:2">
      <c r="A4" t="s">
        <v>4292</v>
      </c>
      <c r="B4">
        <v>1200</v>
      </c>
    </row>
    <row r="5" spans="1:2">
      <c r="A5" t="s">
        <v>4293</v>
      </c>
      <c r="B5" t="s">
        <v>4294</v>
      </c>
    </row>
    <row r="6" spans="1:2">
      <c r="A6" t="s">
        <v>4295</v>
      </c>
      <c r="B6" t="s">
        <v>4296</v>
      </c>
    </row>
    <row r="8" spans="1:2">
      <c r="A8" t="s">
        <v>4297</v>
      </c>
      <c r="B8" t="s">
        <v>4298</v>
      </c>
    </row>
    <row r="9" spans="1:2">
      <c r="A9" t="s">
        <v>4299</v>
      </c>
      <c r="B9" t="s">
        <v>4300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01_Raw_Data</vt:lpstr>
      <vt:lpstr>02_Master_Data</vt:lpstr>
      <vt:lpstr>03_Enriched_Data</vt:lpstr>
      <vt:lpstr>04_MIS_Report</vt:lpstr>
      <vt:lpstr>05_Pivot_Analysis</vt:lpstr>
      <vt:lpstr>06_MIS_Dashboard</vt:lpstr>
      <vt:lpstr>07_Control_Panel</vt:lpstr>
      <vt:lpstr>README_Raw_Data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Medha</dc:creator>
  <cp:lastModifiedBy>Medha Shankari K</cp:lastModifiedBy>
  <dcterms:created xsi:type="dcterms:W3CDTF">2025-06-21T13:19:12Z</dcterms:created>
  <dcterms:modified xsi:type="dcterms:W3CDTF">2026-10-01T03:10:57Z</dcterms:modified>
</cp:coreProperties>
</file>